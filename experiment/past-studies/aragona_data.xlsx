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6.xml" ContentType="application/vnd.openxmlformats-officedocument.drawingml.chart+xml"/>
  <Override PartName="/xl/charts/chart47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37.xml" ContentType="application/vnd.openxmlformats-officedocument.drawingml.chart+xml"/>
  <Override PartName="/xl/charts/chart4.xml" ContentType="application/vnd.openxmlformats-officedocument.drawingml.chart+xml"/>
  <Override PartName="/xl/charts/chart36.xml" ContentType="application/vnd.openxmlformats-officedocument.drawingml.chart+xml"/>
  <Override PartName="/xl/charts/chart3.xml" ContentType="application/vnd.openxmlformats-officedocument.drawingml.chart+xml"/>
  <Override PartName="/xl/charts/chart35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60.xml" ContentType="application/vnd.openxmlformats-officedocument.drawingml.chart+xml"/>
  <Override PartName="/xl/charts/chart20.xml" ContentType="application/vnd.openxmlformats-officedocument.drawingml.chart+xml"/>
  <Override PartName="/xl/charts/chart57.xml" ContentType="application/vnd.openxmlformats-officedocument.drawingml.chart+xml"/>
  <Override PartName="/xl/charts/chart25.xml" ContentType="application/vnd.openxmlformats-officedocument.drawingml.chart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6.xml" ContentType="application/vnd.openxmlformats-officedocument.drawingml.chart+xml"/>
  <Override PartName="/xl/charts/chart24.xml" ContentType="application/vnd.openxmlformats-officedocument.drawingml.chart+xml"/>
  <Override PartName="/xl/charts/chart59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58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38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48.xml" ContentType="application/vnd.openxmlformats-officedocument.drawingml.chart+xml"/>
  <Override PartName="/xl/charts/chart39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49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1.xml" ContentType="application/vnd.openxmlformats-officedocument.drawingml.chart+xml"/>
  <Override PartName="/xl/charts/chart33.xml" ContentType="application/vnd.openxmlformats-officedocument.drawingml.chart+xml"/>
  <Override PartName="/xl/charts/chart2.xml" ContentType="application/vnd.openxmlformats-officedocument.drawingml.chart+xml"/>
  <Override PartName="/xl/charts/chart3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XPAND CLONAL DATA" sheetId="1" state="visible" r:id="rId3"/>
    <sheet name="xy_data" sheetId="2" state="visible" r:id="rId4"/>
    <sheet name="joint dist" sheetId="3" state="visible" r:id="rId5"/>
    <sheet name="EXPAND CLONAL TPA" sheetId="4" state="visible" r:id="rId6"/>
    <sheet name="EXPAND PERSISTANCE" sheetId="5" state="visible" r:id="rId7"/>
    <sheet name="TPA CLONAL DATA" sheetId="6" state="visible" r:id="rId8"/>
    <sheet name="TPA PERSISTANCE" sheetId="7" state="visible" r:id="rId9"/>
    <sheet name="EXPAND BRDU" sheetId="8" state="visible" r:id="rId10"/>
    <sheet name="TPA BRDU" sheetId="9" state="visible" r:id="rId11"/>
    <sheet name="Hydrogel Volume" sheetId="10" state="visible" r:id="rId12"/>
    <sheet name="Hydrogel Area" sheetId="11" state="visible" r:id="rId13"/>
    <sheet name="Area of IFE" sheetId="12" state="visible" r:id="rId14"/>
    <sheet name="Cellular area" sheetId="13" state="visible" r:id="rId15"/>
    <sheet name="Cellular density" sheetId="14" state="visible" r:id="rId16"/>
  </sheets>
  <definedNames>
    <definedName function="false" hidden="false" localSheetId="0" name="clone_dist" vbProcedure="false">'expand clonal data '!#ref!</definedName>
    <definedName function="false" hidden="false" localSheetId="3" name="clone_dist" vbProcedure="false">'expand clonal tpa'!#ref!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<sst xmlns="http://schemas.openxmlformats.org/spreadsheetml/2006/main" count="534" uniqueCount="151">
  <si>
    <t xml:space="preserve">CTRL D0 B</t>
  </si>
  <si>
    <t xml:space="preserve">CTRL D0 T</t>
  </si>
  <si>
    <t xml:space="preserve">CTRL D0 S</t>
  </si>
  <si>
    <t xml:space="preserve">CTRL D2 B</t>
  </si>
  <si>
    <t xml:space="preserve">CTRL D2 T</t>
  </si>
  <si>
    <t xml:space="preserve">CTRL D2 S</t>
  </si>
  <si>
    <t xml:space="preserve">EXP D2 B</t>
  </si>
  <si>
    <t xml:space="preserve">EXP D2 T</t>
  </si>
  <si>
    <t xml:space="preserve">EXP D2 S</t>
  </si>
  <si>
    <t xml:space="preserve">CTRL D4 B</t>
  </si>
  <si>
    <t xml:space="preserve">CTRL D4 T</t>
  </si>
  <si>
    <t xml:space="preserve">CTRL D4 S</t>
  </si>
  <si>
    <t xml:space="preserve">EXP D4 B</t>
  </si>
  <si>
    <t xml:space="preserve">EXP D4 T</t>
  </si>
  <si>
    <t xml:space="preserve">EXP D4 S</t>
  </si>
  <si>
    <t xml:space="preserve">CTRL D8 B</t>
  </si>
  <si>
    <t xml:space="preserve">CTRL D8 T</t>
  </si>
  <si>
    <t xml:space="preserve">CTRL D8 S</t>
  </si>
  <si>
    <t xml:space="preserve">EXP D8 B</t>
  </si>
  <si>
    <t xml:space="preserve">EXP D8 T</t>
  </si>
  <si>
    <t xml:space="preserve">EXP D8 S</t>
  </si>
  <si>
    <t xml:space="preserve">CTRL D10 B</t>
  </si>
  <si>
    <t xml:space="preserve">CTRL D10 T</t>
  </si>
  <si>
    <t xml:space="preserve">CTRL D10 S</t>
  </si>
  <si>
    <t xml:space="preserve">EXP D10 B</t>
  </si>
  <si>
    <t xml:space="preserve">EXP D10 T</t>
  </si>
  <si>
    <t xml:space="preserve">EXP D10 S</t>
  </si>
  <si>
    <t xml:space="preserve">CTRL D14 B</t>
  </si>
  <si>
    <t xml:space="preserve">CTRL D14 T</t>
  </si>
  <si>
    <t xml:space="preserve">CTRL D14 S</t>
  </si>
  <si>
    <t xml:space="preserve">EXP D14 B</t>
  </si>
  <si>
    <t xml:space="preserve">EXP D14 T</t>
  </si>
  <si>
    <t xml:space="preserve">EXP D14 S</t>
  </si>
  <si>
    <t xml:space="preserve">CTRL D0</t>
  </si>
  <si>
    <t xml:space="preserve">distributions</t>
  </si>
  <si>
    <t xml:space="preserve">cumulative distribution</t>
  </si>
  <si>
    <t xml:space="preserve">fit</t>
  </si>
  <si>
    <t xml:space="preserve">CTRL B</t>
  </si>
  <si>
    <t xml:space="preserve">EXP B</t>
  </si>
  <si>
    <t xml:space="preserve">dprob</t>
  </si>
  <si>
    <t xml:space="preserve">proliferation rate</t>
  </si>
  <si>
    <t xml:space="preserve">BB</t>
  </si>
  <si>
    <t xml:space="preserve">max</t>
  </si>
  <si>
    <t xml:space="preserve">CTRL T</t>
  </si>
  <si>
    <t xml:space="preserve">EXP T</t>
  </si>
  <si>
    <t xml:space="preserve">1/l</t>
  </si>
  <si>
    <t xml:space="preserve">distribution</t>
  </si>
  <si>
    <t xml:space="preserve">dlr</t>
  </si>
  <si>
    <t xml:space="preserve">BS</t>
  </si>
  <si>
    <t xml:space="preserve">time</t>
  </si>
  <si>
    <t xml:space="preserve">dasym</t>
  </si>
  <si>
    <t xml:space="preserve">effective time</t>
  </si>
  <si>
    <t xml:space="preserve">SS</t>
  </si>
  <si>
    <t xml:space="preserve">average</t>
  </si>
  <si>
    <t xml:space="preserve">t0</t>
  </si>
  <si>
    <t xml:space="preserve">n0</t>
  </si>
  <si>
    <t xml:space="preserve">persistence</t>
  </si>
  <si>
    <t xml:space="preserve">rho</t>
  </si>
  <si>
    <t xml:space="preserve">b</t>
  </si>
  <si>
    <t xml:space="preserve">m</t>
  </si>
  <si>
    <t xml:space="preserve">CTRL D2</t>
  </si>
  <si>
    <t xml:space="preserve">product</t>
  </si>
  <si>
    <t xml:space="preserve">r</t>
  </si>
  <si>
    <t xml:space="preserve">a</t>
  </si>
  <si>
    <t xml:space="preserve">amp</t>
  </si>
  <si>
    <t xml:space="preserve">exp</t>
  </si>
  <si>
    <t xml:space="preserve">square</t>
  </si>
  <si>
    <t xml:space="preserve">a est</t>
  </si>
  <si>
    <t xml:space="preserve">b est</t>
  </si>
  <si>
    <t xml:space="preserve">theory</t>
  </si>
  <si>
    <t xml:space="preserve">EXP D2</t>
  </si>
  <si>
    <t xml:space="preserve">CTRL D4</t>
  </si>
  <si>
    <t xml:space="preserve">EXP D4</t>
  </si>
  <si>
    <t xml:space="preserve">CTRL D8</t>
  </si>
  <si>
    <t xml:space="preserve">EXP D8</t>
  </si>
  <si>
    <t xml:space="preserve">CTRL D10</t>
  </si>
  <si>
    <t xml:space="preserve">EXP D10</t>
  </si>
  <si>
    <t xml:space="preserve">CTRL D14</t>
  </si>
  <si>
    <t xml:space="preserve">EXP D14</t>
  </si>
  <si>
    <t xml:space="preserve">CTRL</t>
  </si>
  <si>
    <t xml:space="preserve">basal ctrl</t>
  </si>
  <si>
    <t xml:space="preserve">total ctrl</t>
  </si>
  <si>
    <t xml:space="preserve">basal exp</t>
  </si>
  <si>
    <t xml:space="preserve">total exp</t>
  </si>
  <si>
    <t xml:space="preserve">basal tpa</t>
  </si>
  <si>
    <t xml:space="preserve">total tpa</t>
  </si>
  <si>
    <t xml:space="preserve">d0</t>
  </si>
  <si>
    <t xml:space="preserve">d2</t>
  </si>
  <si>
    <t xml:space="preserve">d4</t>
  </si>
  <si>
    <t xml:space="preserve">d8</t>
  </si>
  <si>
    <t xml:space="preserve">d10</t>
  </si>
  <si>
    <t xml:space="preserve">d14</t>
  </si>
  <si>
    <t xml:space="preserve">d1</t>
  </si>
  <si>
    <t xml:space="preserve">x</t>
  </si>
  <si>
    <t xml:space="preserve">y</t>
  </si>
  <si>
    <t xml:space="preserve">suprabasal</t>
  </si>
  <si>
    <t xml:space="preserve">Basal</t>
  </si>
  <si>
    <t xml:space="preserve">CTRL_D1 B</t>
  </si>
  <si>
    <t xml:space="preserve">CTRL_D1 T</t>
  </si>
  <si>
    <t xml:space="preserve">CTRL_D1 S</t>
  </si>
  <si>
    <t xml:space="preserve">2XTPA_D1 B</t>
  </si>
  <si>
    <t xml:space="preserve">2XTPA_D1 T</t>
  </si>
  <si>
    <t xml:space="preserve">2XTPA_D1 S</t>
  </si>
  <si>
    <t xml:space="preserve">CTRL_D14 B</t>
  </si>
  <si>
    <t xml:space="preserve">CTRL_D14 T</t>
  </si>
  <si>
    <t xml:space="preserve">CTRL_D14 S</t>
  </si>
  <si>
    <t xml:space="preserve">2XTPA_D14 B</t>
  </si>
  <si>
    <t xml:space="preserve">2XTPA_D14 T</t>
  </si>
  <si>
    <t xml:space="preserve">2XTPA_D14 S</t>
  </si>
  <si>
    <t xml:space="preserve">D0 CTRL</t>
  </si>
  <si>
    <t xml:space="preserve">D2 CTRL</t>
  </si>
  <si>
    <t xml:space="preserve">D2 EXP</t>
  </si>
  <si>
    <t xml:space="preserve">D4 CTRL</t>
  </si>
  <si>
    <t xml:space="preserve">D4 EXP</t>
  </si>
  <si>
    <t xml:space="preserve">D8 CTRL</t>
  </si>
  <si>
    <t xml:space="preserve">D8 EXP</t>
  </si>
  <si>
    <t xml:space="preserve">D10 CTRL</t>
  </si>
  <si>
    <t xml:space="preserve">D10 EXP</t>
  </si>
  <si>
    <t xml:space="preserve">D14 CTRL</t>
  </si>
  <si>
    <t xml:space="preserve">D14 EXP</t>
  </si>
  <si>
    <t xml:space="preserve">8W CTRL</t>
  </si>
  <si>
    <t xml:space="preserve">24W CTRL</t>
  </si>
  <si>
    <t xml:space="preserve">2xTPA D1</t>
  </si>
  <si>
    <t xml:space="preserve">2xTPA D4</t>
  </si>
  <si>
    <t xml:space="preserve">2xTPA D14</t>
  </si>
  <si>
    <t xml:space="preserve">dfac</t>
  </si>
  <si>
    <t xml:space="preserve">dcycle</t>
  </si>
  <si>
    <t xml:space="preserve">CTRL
</t>
  </si>
  <si>
    <t xml:space="preserve">D1
</t>
  </si>
  <si>
    <t xml:space="preserve">D2
</t>
  </si>
  <si>
    <t xml:space="preserve">D4
</t>
  </si>
  <si>
    <t xml:space="preserve">D8
</t>
  </si>
  <si>
    <t xml:space="preserve">D10
</t>
  </si>
  <si>
    <t xml:space="preserve">D14
</t>
  </si>
  <si>
    <t xml:space="preserve">l_0</t>
  </si>
  <si>
    <t xml:space="preserve">r_0</t>
  </si>
  <si>
    <t xml:space="preserve">fac</t>
  </si>
  <si>
    <t xml:space="preserve">ctrl</t>
  </si>
  <si>
    <t xml:space="preserve">CTRL 
</t>
  </si>
  <si>
    <t xml:space="preserve">2XTPA 
</t>
  </si>
  <si>
    <t xml:space="preserve">D0</t>
  </si>
  <si>
    <t xml:space="preserve">D0.5</t>
  </si>
  <si>
    <t xml:space="preserve">D1</t>
  </si>
  <si>
    <t xml:space="preserve">D2</t>
  </si>
  <si>
    <t xml:space="preserve">D3</t>
  </si>
  <si>
    <t xml:space="preserve">D4</t>
  </si>
  <si>
    <t xml:space="preserve">D6</t>
  </si>
  <si>
    <t xml:space="preserve">D8</t>
  </si>
  <si>
    <t xml:space="preserve">D10</t>
  </si>
  <si>
    <t xml:space="preserve">D14</t>
  </si>
  <si>
    <t xml:space="preserve">CTRLS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</si>
</sst>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EBF1D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'EXPAND CLONAL DATA'!$BB$11:$BB$41</c:f>
              <c:numCache>
                <c:formatCode>General</c:formatCode>
                <c:ptCount val="31"/>
                <c:pt idx="0">
                  <c:v>129</c:v>
                </c:pt>
                <c:pt idx="1">
                  <c:v>28</c:v>
                </c:pt>
                <c:pt idx="2">
                  <c:v>30</c:v>
                </c:pt>
                <c:pt idx="3">
                  <c:v>6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</c:ser>
        <c:axId val="47801294"/>
        <c:axId val="57790421"/>
      </c:scatterChart>
      <c:valAx>
        <c:axId val="4780129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7790421"/>
        <c:crosses val="autoZero"/>
        <c:crossBetween val="midCat"/>
      </c:valAx>
      <c:valAx>
        <c:axId val="577904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780129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DATA'!$EN$10</c:f>
              <c:strCache>
                <c:ptCount val="1"/>
                <c:pt idx="0">
                  <c:v>EXP D14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DATA'!$EM$11:$EM$53</c:f>
              <c:numCache>
                <c:formatCode>General</c:formatCode>
                <c:ptCount val="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</c:numCache>
            </c:numRef>
          </c:xVal>
          <c:yVal>
            <c:numRef>
              <c:f>'EXPAND CLONAL DATA'!$EN$11:$EN$53</c:f>
              <c:numCache>
                <c:formatCode>General</c:formatCode>
                <c:ptCount val="43"/>
                <c:pt idx="0">
                  <c:v>100</c:v>
                </c:pt>
                <c:pt idx="1">
                  <c:v>93.4673366834171</c:v>
                </c:pt>
                <c:pt idx="2">
                  <c:v>63.8190954773869</c:v>
                </c:pt>
                <c:pt idx="3">
                  <c:v>59.2964824120603</c:v>
                </c:pt>
                <c:pt idx="4">
                  <c:v>35.678391959799</c:v>
                </c:pt>
                <c:pt idx="5">
                  <c:v>32.6633165829146</c:v>
                </c:pt>
                <c:pt idx="6">
                  <c:v>19.5979899497487</c:v>
                </c:pt>
                <c:pt idx="7">
                  <c:v>19.0954773869347</c:v>
                </c:pt>
                <c:pt idx="8">
                  <c:v>12.0603015075377</c:v>
                </c:pt>
                <c:pt idx="9">
                  <c:v>11.5577889447236</c:v>
                </c:pt>
                <c:pt idx="10">
                  <c:v>6.53266331658292</c:v>
                </c:pt>
                <c:pt idx="11">
                  <c:v>6.53266331658292</c:v>
                </c:pt>
                <c:pt idx="12">
                  <c:v>4.02010050251256</c:v>
                </c:pt>
                <c:pt idx="13">
                  <c:v>3.51758793969849</c:v>
                </c:pt>
                <c:pt idx="14">
                  <c:v>3.01507537688442</c:v>
                </c:pt>
                <c:pt idx="15">
                  <c:v>3.01507537688442</c:v>
                </c:pt>
                <c:pt idx="16">
                  <c:v>2.51256281407035</c:v>
                </c:pt>
                <c:pt idx="17">
                  <c:v>2.51256281407035</c:v>
                </c:pt>
                <c:pt idx="18">
                  <c:v>2.51256281407035</c:v>
                </c:pt>
                <c:pt idx="19">
                  <c:v>2.51256281407035</c:v>
                </c:pt>
                <c:pt idx="20">
                  <c:v>2.01005025125628</c:v>
                </c:pt>
                <c:pt idx="21">
                  <c:v>2.01005025125628</c:v>
                </c:pt>
                <c:pt idx="22">
                  <c:v>2.01005025125628</c:v>
                </c:pt>
                <c:pt idx="23">
                  <c:v>2.01005025125628</c:v>
                </c:pt>
                <c:pt idx="24">
                  <c:v>1.50753768844221</c:v>
                </c:pt>
                <c:pt idx="25">
                  <c:v>1.50753768844221</c:v>
                </c:pt>
                <c:pt idx="26">
                  <c:v>1.50753768844221</c:v>
                </c:pt>
                <c:pt idx="27">
                  <c:v>1.50753768844221</c:v>
                </c:pt>
                <c:pt idx="28">
                  <c:v>1.50753768844221</c:v>
                </c:pt>
                <c:pt idx="29">
                  <c:v>1.50753768844221</c:v>
                </c:pt>
                <c:pt idx="30">
                  <c:v>0.502512562814072</c:v>
                </c:pt>
                <c:pt idx="31">
                  <c:v>0.502512562814072</c:v>
                </c:pt>
                <c:pt idx="32">
                  <c:v>0.502512562814072</c:v>
                </c:pt>
                <c:pt idx="33">
                  <c:v>0.502512562814072</c:v>
                </c:pt>
                <c:pt idx="34">
                  <c:v>0.502512562814072</c:v>
                </c:pt>
                <c:pt idx="35">
                  <c:v>0.502512562814072</c:v>
                </c:pt>
                <c:pt idx="36">
                  <c:v>0.502512562814072</c:v>
                </c:pt>
                <c:pt idx="37">
                  <c:v>0.502512562814072</c:v>
                </c:pt>
                <c:pt idx="38">
                  <c:v>0.502512562814072</c:v>
                </c:pt>
                <c:pt idx="39">
                  <c:v>0.502512562814072</c:v>
                </c:pt>
                <c:pt idx="40">
                  <c:v>0.502512562814072</c:v>
                </c:pt>
                <c:pt idx="41">
                  <c:v>0.502512562814072</c:v>
                </c:pt>
                <c:pt idx="42">
                  <c:v>0.502512562814072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DATA'!$EO$10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DATA'!$EM$11:$EM$53</c:f>
              <c:numCache>
                <c:formatCode>General</c:formatCode>
                <c:ptCount val="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</c:numCache>
            </c:numRef>
          </c:xVal>
          <c:yVal>
            <c:numRef>
              <c:f>'EXPAND CLONAL DATA'!$EO$11:$EO$53</c:f>
              <c:numCache>
                <c:formatCode>General</c:formatCode>
                <c:ptCount val="43"/>
                <c:pt idx="0">
                  <c:v>120</c:v>
                </c:pt>
                <c:pt idx="1">
                  <c:v>91.2423487874402</c:v>
                </c:pt>
                <c:pt idx="2">
                  <c:v>69.3763851020741</c:v>
                </c:pt>
                <c:pt idx="3">
                  <c:v>52.7505360591268</c:v>
                </c:pt>
                <c:pt idx="4">
                  <c:v>40.1090234152607</c:v>
                </c:pt>
                <c:pt idx="5">
                  <c:v>30.4970125331569</c:v>
                </c:pt>
                <c:pt idx="6">
                  <c:v>23.1884921210436</c:v>
                </c:pt>
                <c:pt idx="7">
                  <c:v>17.6314373830256</c:v>
                </c:pt>
                <c:pt idx="8">
                  <c:v>13.4061146610494</c:v>
                </c:pt>
                <c:pt idx="9">
                  <c:v>10.1933782482324</c:v>
                </c:pt>
                <c:pt idx="10">
                  <c:v>7.75056477872939</c:v>
                </c:pt>
                <c:pt idx="11">
                  <c:v>5.89316445700397</c:v>
                </c:pt>
                <c:pt idx="12">
                  <c:v>4.48088472373085</c:v>
                </c:pt>
                <c:pt idx="13">
                  <c:v>3.40705372365802</c:v>
                </c:pt>
                <c:pt idx="14">
                  <c:v>2.59056320159627</c:v>
                </c:pt>
                <c:pt idx="15">
                  <c:v>1.96974225996629</c:v>
                </c:pt>
                <c:pt idx="16">
                  <c:v>1.49769925254337</c:v>
                </c:pt>
                <c:pt idx="17">
                  <c:v>1.13877997982709</c:v>
                </c:pt>
                <c:pt idx="18">
                  <c:v>0.865874667596145</c:v>
                </c:pt>
                <c:pt idx="19">
                  <c:v>0.658370320225136</c:v>
                </c:pt>
                <c:pt idx="20">
                  <c:v>0.500593786577338</c:v>
                </c:pt>
                <c:pt idx="21">
                  <c:v>0.380627940630957</c:v>
                </c:pt>
                <c:pt idx="22">
                  <c:v>0.289411560977457</c:v>
                </c:pt>
                <c:pt idx="23">
                  <c:v>0.220054921581856</c:v>
                </c:pt>
                <c:pt idx="24">
                  <c:v>0.167319399228037</c:v>
                </c:pt>
                <c:pt idx="25">
                  <c:v>0.127221791527246</c:v>
                </c:pt>
                <c:pt idx="26">
                  <c:v>0.0967334589657666</c:v>
                </c:pt>
                <c:pt idx="27">
                  <c:v>0.0735515666864168</c:v>
                </c:pt>
                <c:pt idx="28">
                  <c:v>0.0559251475122059</c:v>
                </c:pt>
                <c:pt idx="29">
                  <c:v>0.0425228484608144</c:v>
                </c:pt>
                <c:pt idx="30">
                  <c:v>0.0323323714224758</c:v>
                </c:pt>
                <c:pt idx="31">
                  <c:v>0.0245840125871217</c:v>
                </c:pt>
                <c:pt idx="32">
                  <c:v>0.0186925254255748</c:v>
                </c:pt>
                <c:pt idx="33">
                  <c:v>0.0142129160383199</c:v>
                </c:pt>
                <c:pt idx="34">
                  <c:v>0.0108068320204582</c:v>
                </c:pt>
                <c:pt idx="35">
                  <c:v>0.00821700613748272</c:v>
                </c:pt>
                <c:pt idx="36">
                  <c:v>0.0062478244998728</c:v>
                </c:pt>
                <c:pt idx="37">
                  <c:v>0.00475055151816757</c:v>
                </c:pt>
                <c:pt idx="38">
                  <c:v>0.00361209565461124</c:v>
                </c:pt>
                <c:pt idx="39">
                  <c:v>0.00274646742976363</c:v>
                </c:pt>
                <c:pt idx="40">
                  <c:v>0.00208828449299865</c:v>
                </c:pt>
                <c:pt idx="41">
                  <c:v>0.00158783318397988</c:v>
                </c:pt>
                <c:pt idx="42">
                  <c:v>0.0012073135765747</c:v>
                </c:pt>
              </c:numCache>
            </c:numRef>
          </c:yVal>
          <c:smooth val="0"/>
        </c:ser>
        <c:axId val="69637555"/>
        <c:axId val="71817902"/>
      </c:scatterChart>
      <c:valAx>
        <c:axId val="6963755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817902"/>
        <c:crosses val="autoZero"/>
        <c:crossBetween val="midCat"/>
      </c:valAx>
      <c:valAx>
        <c:axId val="7181790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963755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DATA'!$FM$10</c:f>
              <c:strCache>
                <c:ptCount val="1"/>
                <c:pt idx="0">
                  <c:v>CTRL D14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DATA'!$FL$11:$FL$29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'EXPAND CLONAL DATA'!$FM$11:$FM$29</c:f>
              <c:numCache>
                <c:formatCode>General</c:formatCode>
                <c:ptCount val="19"/>
                <c:pt idx="0">
                  <c:v>100</c:v>
                </c:pt>
                <c:pt idx="1">
                  <c:v>81.025641025641</c:v>
                </c:pt>
                <c:pt idx="2">
                  <c:v>42.051282051282</c:v>
                </c:pt>
                <c:pt idx="3">
                  <c:v>29.2307692307692</c:v>
                </c:pt>
                <c:pt idx="4">
                  <c:v>9.74358974358974</c:v>
                </c:pt>
                <c:pt idx="5">
                  <c:v>7.17948717948717</c:v>
                </c:pt>
                <c:pt idx="6">
                  <c:v>2.56410256410256</c:v>
                </c:pt>
                <c:pt idx="7">
                  <c:v>2.05128205128205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DATA'!$FN$10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DATA'!$FL$11:$FL$29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'EXPAND CLONAL DATA'!$FN$11:$FN$29</c:f>
              <c:numCache>
                <c:formatCode>General</c:formatCode>
                <c:ptCount val="19"/>
                <c:pt idx="0">
                  <c:v>170</c:v>
                </c:pt>
                <c:pt idx="1">
                  <c:v>87.2809102355406</c:v>
                </c:pt>
                <c:pt idx="2">
                  <c:v>44.8115134796736</c:v>
                </c:pt>
                <c:pt idx="3">
                  <c:v>23.0069981502242</c:v>
                </c:pt>
                <c:pt idx="4">
                  <c:v>11.8121867078763</c:v>
                </c:pt>
                <c:pt idx="5">
                  <c:v>6.06457886903291</c:v>
                </c:pt>
                <c:pt idx="6">
                  <c:v>3.11365861108481</c:v>
                </c:pt>
                <c:pt idx="7">
                  <c:v>1.59860563375419</c:v>
                </c:pt>
                <c:pt idx="8">
                  <c:v>0.820751498951345</c:v>
                </c:pt>
                <c:pt idx="9">
                  <c:v>0.421387870033281</c:v>
                </c:pt>
                <c:pt idx="10">
                  <c:v>0.216347746227767</c:v>
                </c:pt>
                <c:pt idx="11">
                  <c:v>0.111076636577455</c:v>
                </c:pt>
                <c:pt idx="12">
                  <c:v>0.057028646743427</c:v>
                </c:pt>
                <c:pt idx="13">
                  <c:v>0.0292794835133377</c:v>
                </c:pt>
                <c:pt idx="14">
                  <c:v>0.0150325880721801</c:v>
                </c:pt>
                <c:pt idx="15">
                  <c:v>0.00771798805962243</c:v>
                </c:pt>
                <c:pt idx="16">
                  <c:v>0.00396254719429929</c:v>
                </c:pt>
                <c:pt idx="17">
                  <c:v>0.00203443956452782</c:v>
                </c:pt>
                <c:pt idx="18">
                  <c:v>0.0010445161000658</c:v>
                </c:pt>
              </c:numCache>
            </c:numRef>
          </c:yVal>
          <c:smooth val="0"/>
        </c:ser>
        <c:axId val="36691485"/>
        <c:axId val="77752511"/>
      </c:scatterChart>
      <c:valAx>
        <c:axId val="3669148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752511"/>
        <c:crosses val="autoZero"/>
        <c:crossBetween val="midCat"/>
      </c:valAx>
      <c:valAx>
        <c:axId val="7775251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69148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DATA'!$BX$2</c:f>
              <c:strCache>
                <c:ptCount val="1"/>
                <c:pt idx="0">
                  <c:v>CTRL B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DATA'!$BW$3:$BW$8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DATA'!$BX$3:$BX$8</c:f>
              <c:numCache>
                <c:formatCode>General</c:formatCode>
                <c:ptCount val="6"/>
                <c:pt idx="0">
                  <c:v>142.431990149068</c:v>
                </c:pt>
                <c:pt idx="1">
                  <c:v>152.859182938776</c:v>
                </c:pt>
                <c:pt idx="2">
                  <c:v>192.312493735294</c:v>
                </c:pt>
                <c:pt idx="3">
                  <c:v>145.820087253669</c:v>
                </c:pt>
                <c:pt idx="4">
                  <c:v>161.72385673516</c:v>
                </c:pt>
                <c:pt idx="5">
                  <c:v>170.460981153846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DATA'!$BY$2</c:f>
              <c:strCache>
                <c:ptCount val="1"/>
                <c:pt idx="0">
                  <c:v>CTRL 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DATA'!$BW$3:$BW$8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DATA'!$BY$3:$BY$8</c:f>
              <c:numCache>
                <c:formatCode>General</c:formatCode>
                <c:ptCount val="6"/>
                <c:pt idx="0">
                  <c:v>142.431990149068</c:v>
                </c:pt>
                <c:pt idx="1">
                  <c:v>160.376847673469</c:v>
                </c:pt>
                <c:pt idx="2">
                  <c:v>231.888055147059</c:v>
                </c:pt>
                <c:pt idx="3">
                  <c:v>203.897428595388</c:v>
                </c:pt>
                <c:pt idx="4">
                  <c:v>253.291448858447</c:v>
                </c:pt>
                <c:pt idx="5">
                  <c:v>299.743185961538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'EXPAND CLONAL DATA'!$BZ$2</c:f>
              <c:strCache>
                <c:ptCount val="1"/>
                <c:pt idx="0">
                  <c:v>EXP B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DATA'!$BW$3:$BW$8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DATA'!$BZ$3:$BZ$8</c:f>
              <c:numCache>
                <c:formatCode>General</c:formatCode>
                <c:ptCount val="6"/>
                <c:pt idx="1">
                  <c:v>137.016454285714</c:v>
                </c:pt>
                <c:pt idx="2">
                  <c:v>245.482401015228</c:v>
                </c:pt>
                <c:pt idx="3">
                  <c:v>243.747662311558</c:v>
                </c:pt>
                <c:pt idx="4">
                  <c:v>300.364962356688</c:v>
                </c:pt>
                <c:pt idx="5">
                  <c:v>237.180091959799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'EXPAND CLONAL DATA'!$CA$2</c:f>
              <c:strCache>
                <c:ptCount val="1"/>
                <c:pt idx="0">
                  <c:v>EXP T</c:v>
                </c:pt>
              </c:strCache>
            </c:strRef>
          </c:tx>
          <c:spPr>
            <a:solidFill>
              <a:srgbClr val="8064a2"/>
            </a:solidFill>
            <a:ln w="1908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DATA'!$BW$3:$BW$8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DATA'!$CA$3:$CA$8</c:f>
              <c:numCache>
                <c:formatCode>General</c:formatCode>
                <c:ptCount val="6"/>
                <c:pt idx="1">
                  <c:v>146.283267619048</c:v>
                </c:pt>
                <c:pt idx="2">
                  <c:v>295.397155888325</c:v>
                </c:pt>
                <c:pt idx="3">
                  <c:v>416.517667273869</c:v>
                </c:pt>
                <c:pt idx="4">
                  <c:v>538.932348726115</c:v>
                </c:pt>
                <c:pt idx="5">
                  <c:v>484.21336281407</c:v>
                </c:pt>
              </c:numCache>
            </c:numRef>
          </c:yVal>
          <c:smooth val="0"/>
        </c:ser>
        <c:axId val="96939246"/>
        <c:axId val="55921248"/>
      </c:scatterChart>
      <c:valAx>
        <c:axId val="9693924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921248"/>
        <c:crosses val="autoZero"/>
        <c:crossBetween val="midCat"/>
      </c:valAx>
      <c:valAx>
        <c:axId val="559212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93924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DATA'!$CI$2</c:f>
              <c:strCache>
                <c:ptCount val="1"/>
                <c:pt idx="0">
                  <c:v>CTRL B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DATA'!$CH$3:$CH$8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DATA'!$CI$3:$CI$8</c:f>
              <c:numCache>
                <c:formatCode>General</c:formatCode>
                <c:ptCount val="6"/>
                <c:pt idx="0">
                  <c:v>1.53913043478261</c:v>
                </c:pt>
                <c:pt idx="1">
                  <c:v>1.74285714285714</c:v>
                </c:pt>
                <c:pt idx="2">
                  <c:v>2.28676470588235</c:v>
                </c:pt>
                <c:pt idx="3">
                  <c:v>2.19496855345912</c:v>
                </c:pt>
                <c:pt idx="4">
                  <c:v>2.43150684931507</c:v>
                </c:pt>
                <c:pt idx="5">
                  <c:v>2.73846153846154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DATA'!$CJ$2</c:f>
              <c:strCache>
                <c:ptCount val="1"/>
                <c:pt idx="0">
                  <c:v>CTRL 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DATA'!$CH$3:$CH$8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DATA'!$CJ$3:$CJ$8</c:f>
              <c:numCache>
                <c:formatCode>General</c:formatCode>
                <c:ptCount val="6"/>
                <c:pt idx="0">
                  <c:v>1.53913043478261</c:v>
                </c:pt>
                <c:pt idx="1">
                  <c:v>1.82857142857143</c:v>
                </c:pt>
                <c:pt idx="2">
                  <c:v>2.75735294117647</c:v>
                </c:pt>
                <c:pt idx="3">
                  <c:v>3.06918238993711</c:v>
                </c:pt>
                <c:pt idx="4">
                  <c:v>3.80821917808219</c:v>
                </c:pt>
                <c:pt idx="5">
                  <c:v>4.81538461538462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'EXPAND CLONAL DATA'!$CM$2</c:f>
              <c:strCache>
                <c:ptCount val="1"/>
                <c:pt idx="0">
                  <c:v>EXP B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DATA'!$CH$3:$CH$8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DATA'!$CM$3:$CM$8</c:f>
              <c:numCache>
                <c:formatCode>General</c:formatCode>
                <c:ptCount val="6"/>
                <c:pt idx="1">
                  <c:v>1.79220779220779</c:v>
                </c:pt>
                <c:pt idx="2">
                  <c:v>3.04568527918782</c:v>
                </c:pt>
                <c:pt idx="3">
                  <c:v>3.53768844221106</c:v>
                </c:pt>
                <c:pt idx="4">
                  <c:v>5.32484076433121</c:v>
                </c:pt>
                <c:pt idx="5">
                  <c:v>5.08040201005025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'EXPAND CLONAL DATA'!$CN$2</c:f>
              <c:strCache>
                <c:ptCount val="1"/>
                <c:pt idx="0">
                  <c:v>EXP T</c:v>
                </c:pt>
              </c:strCache>
            </c:strRef>
          </c:tx>
          <c:spPr>
            <a:solidFill>
              <a:srgbClr val="8064a2"/>
            </a:solidFill>
            <a:ln w="1908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DATA'!$CH$3:$CH$8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DATA'!$CN$3:$CN$8</c:f>
              <c:numCache>
                <c:formatCode>General</c:formatCode>
                <c:ptCount val="6"/>
                <c:pt idx="1">
                  <c:v>1.91341991341991</c:v>
                </c:pt>
                <c:pt idx="2">
                  <c:v>3.66497461928934</c:v>
                </c:pt>
                <c:pt idx="3">
                  <c:v>6.04522613065327</c:v>
                </c:pt>
                <c:pt idx="4">
                  <c:v>9.55414012738854</c:v>
                </c:pt>
                <c:pt idx="5">
                  <c:v>10.3718592964824</c:v>
                </c:pt>
              </c:numCache>
            </c:numRef>
          </c:yVal>
          <c:smooth val="0"/>
        </c:ser>
        <c:axId val="35322343"/>
        <c:axId val="10940328"/>
      </c:scatterChart>
      <c:valAx>
        <c:axId val="3532234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0940328"/>
        <c:crosses val="autoZero"/>
        <c:crossBetween val="midCat"/>
      </c:valAx>
      <c:valAx>
        <c:axId val="109403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532234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DATA'!$GL$10</c:f>
              <c:strCache>
                <c:ptCount val="1"/>
                <c:pt idx="0">
                  <c:v>EXP D14 B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DATA'!$FQ$11:$FQ$50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'EXPAND CLONAL DATA'!$GL$11:$GL$40</c:f>
              <c:numCache>
                <c:formatCode>General</c:formatCode>
                <c:ptCount val="30"/>
                <c:pt idx="0">
                  <c:v>0</c:v>
                </c:pt>
                <c:pt idx="1">
                  <c:v>6.53266331658292</c:v>
                </c:pt>
                <c:pt idx="2">
                  <c:v>29.6482412060302</c:v>
                </c:pt>
                <c:pt idx="3">
                  <c:v>4.52261306532663</c:v>
                </c:pt>
                <c:pt idx="4">
                  <c:v>23.6180904522613</c:v>
                </c:pt>
                <c:pt idx="5">
                  <c:v>3.01507537688442</c:v>
                </c:pt>
                <c:pt idx="6">
                  <c:v>13.0653266331658</c:v>
                </c:pt>
                <c:pt idx="7">
                  <c:v>0.50251256281407</c:v>
                </c:pt>
                <c:pt idx="8">
                  <c:v>7.03517587939699</c:v>
                </c:pt>
                <c:pt idx="9">
                  <c:v>0.50251256281407</c:v>
                </c:pt>
                <c:pt idx="10">
                  <c:v>5.0251256281407</c:v>
                </c:pt>
                <c:pt idx="11">
                  <c:v>0</c:v>
                </c:pt>
                <c:pt idx="12">
                  <c:v>2.51256281407035</c:v>
                </c:pt>
                <c:pt idx="13">
                  <c:v>0.50251256281407</c:v>
                </c:pt>
                <c:pt idx="14">
                  <c:v>0.50251256281407</c:v>
                </c:pt>
                <c:pt idx="15">
                  <c:v>0</c:v>
                </c:pt>
                <c:pt idx="16">
                  <c:v>0.50251256281407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0.50251256281407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0.50251256281407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DATA'!$JL$10</c:f>
              <c:strCache>
                <c:ptCount val="1"/>
                <c:pt idx="0">
                  <c:v>theory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DATA'!$FQ$11:$FQ$50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'EXPAND CLONAL DATA'!$JL$11:$JL$40</c:f>
              <c:numCache>
                <c:formatCode>General</c:formatCode>
                <c:ptCount val="30"/>
                <c:pt idx="0">
                  <c:v>1.403096</c:v>
                </c:pt>
                <c:pt idx="1">
                  <c:v>29.19511</c:v>
                </c:pt>
                <c:pt idx="2">
                  <c:v>3.455387</c:v>
                </c:pt>
                <c:pt idx="3">
                  <c:v>23.404138</c:v>
                </c:pt>
                <c:pt idx="4">
                  <c:v>3.551079</c:v>
                </c:pt>
                <c:pt idx="5">
                  <c:v>14.64671</c:v>
                </c:pt>
                <c:pt idx="6">
                  <c:v>2.739587</c:v>
                </c:pt>
                <c:pt idx="7">
                  <c:v>8.543648</c:v>
                </c:pt>
                <c:pt idx="8">
                  <c:v>1.830657</c:v>
                </c:pt>
                <c:pt idx="9">
                  <c:v>4.522543</c:v>
                </c:pt>
                <c:pt idx="10">
                  <c:v>1.118929</c:v>
                </c:pt>
                <c:pt idx="11">
                  <c:v>2.348965</c:v>
                </c:pt>
                <c:pt idx="12">
                  <c:v>0.595676</c:v>
                </c:pt>
                <c:pt idx="13">
                  <c:v>1.098569</c:v>
                </c:pt>
                <c:pt idx="14">
                  <c:v>0.31878</c:v>
                </c:pt>
                <c:pt idx="15">
                  <c:v>0.514818</c:v>
                </c:pt>
                <c:pt idx="16">
                  <c:v>0.153573</c:v>
                </c:pt>
                <c:pt idx="17">
                  <c:v>0.248101</c:v>
                </c:pt>
                <c:pt idx="18">
                  <c:v>0.082022</c:v>
                </c:pt>
                <c:pt idx="19">
                  <c:v>0.103545</c:v>
                </c:pt>
                <c:pt idx="20">
                  <c:v>0.028504</c:v>
                </c:pt>
                <c:pt idx="21">
                  <c:v>0.046246</c:v>
                </c:pt>
                <c:pt idx="22">
                  <c:v>0.012798</c:v>
                </c:pt>
                <c:pt idx="23">
                  <c:v>0.015706</c:v>
                </c:pt>
                <c:pt idx="24">
                  <c:v>0.006981</c:v>
                </c:pt>
                <c:pt idx="25">
                  <c:v>0.007271</c:v>
                </c:pt>
                <c:pt idx="26">
                  <c:v>0.002036</c:v>
                </c:pt>
                <c:pt idx="27">
                  <c:v>0.001745</c:v>
                </c:pt>
                <c:pt idx="28">
                  <c:v>0.002036</c:v>
                </c:pt>
                <c:pt idx="29">
                  <c:v>0.000582</c:v>
                </c:pt>
              </c:numCache>
            </c:numRef>
          </c:yVal>
          <c:smooth val="0"/>
        </c:ser>
        <c:axId val="69087040"/>
        <c:axId val="81843063"/>
      </c:scatterChart>
      <c:valAx>
        <c:axId val="6908704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843063"/>
        <c:crosses val="autoZero"/>
        <c:crossBetween val="midCat"/>
      </c:valAx>
      <c:valAx>
        <c:axId val="8184306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908704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DATA'!$IW$10</c:f>
              <c:strCache>
                <c:ptCount val="1"/>
                <c:pt idx="0">
                  <c:v>EXP D10 B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DATA'!$IV$11:$IV$30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'EXPAND CLONAL DATA'!$IW$11:$IW$30</c:f>
              <c:numCache>
                <c:formatCode>General</c:formatCode>
                <c:ptCount val="20"/>
                <c:pt idx="0">
                  <c:v>0</c:v>
                </c:pt>
                <c:pt idx="1">
                  <c:v>7.00636942675159</c:v>
                </c:pt>
                <c:pt idx="2">
                  <c:v>22.2929936305733</c:v>
                </c:pt>
                <c:pt idx="3">
                  <c:v>7.64331210191083</c:v>
                </c:pt>
                <c:pt idx="4">
                  <c:v>18.4713375796178</c:v>
                </c:pt>
                <c:pt idx="5">
                  <c:v>5.73248407643312</c:v>
                </c:pt>
                <c:pt idx="6">
                  <c:v>19.1082802547771</c:v>
                </c:pt>
                <c:pt idx="7">
                  <c:v>1.27388535031847</c:v>
                </c:pt>
                <c:pt idx="8">
                  <c:v>5.09554140127389</c:v>
                </c:pt>
                <c:pt idx="9">
                  <c:v>1.27388535031847</c:v>
                </c:pt>
                <c:pt idx="10">
                  <c:v>1.91082802547771</c:v>
                </c:pt>
                <c:pt idx="11">
                  <c:v>0</c:v>
                </c:pt>
                <c:pt idx="12">
                  <c:v>3.18471337579618</c:v>
                </c:pt>
                <c:pt idx="13">
                  <c:v>1.27388535031847</c:v>
                </c:pt>
                <c:pt idx="14">
                  <c:v>1.91082802547771</c:v>
                </c:pt>
                <c:pt idx="15">
                  <c:v>0</c:v>
                </c:pt>
                <c:pt idx="16">
                  <c:v>1.27388535031847</c:v>
                </c:pt>
                <c:pt idx="17">
                  <c:v>0</c:v>
                </c:pt>
                <c:pt idx="18">
                  <c:v>0.636942675159236</c:v>
                </c:pt>
                <c:pt idx="1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DATA'!$JC$10</c:f>
              <c:strCache>
                <c:ptCount val="1"/>
                <c:pt idx="0">
                  <c:v>theory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DATA'!$IV$11:$IV$30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'EXPAND CLONAL DATA'!$JC$11:$JC$30</c:f>
              <c:numCache>
                <c:formatCode>General</c:formatCode>
                <c:ptCount val="20"/>
                <c:pt idx="0">
                  <c:v>2.305836</c:v>
                </c:pt>
                <c:pt idx="1">
                  <c:v>25.105008</c:v>
                </c:pt>
                <c:pt idx="2">
                  <c:v>5.346802</c:v>
                </c:pt>
                <c:pt idx="3">
                  <c:v>20.313364</c:v>
                </c:pt>
                <c:pt idx="4">
                  <c:v>5.376399</c:v>
                </c:pt>
                <c:pt idx="5">
                  <c:v>13.284644</c:v>
                </c:pt>
                <c:pt idx="6">
                  <c:v>4.210775</c:v>
                </c:pt>
                <c:pt idx="7">
                  <c:v>8.057124</c:v>
                </c:pt>
                <c:pt idx="8">
                  <c:v>2.881623</c:v>
                </c:pt>
                <c:pt idx="9">
                  <c:v>4.522585</c:v>
                </c:pt>
                <c:pt idx="10">
                  <c:v>1.76712</c:v>
                </c:pt>
                <c:pt idx="11">
                  <c:v>2.397317</c:v>
                </c:pt>
                <c:pt idx="12">
                  <c:v>0.993127</c:v>
                </c:pt>
                <c:pt idx="13">
                  <c:v>1.211962</c:v>
                </c:pt>
                <c:pt idx="14">
                  <c:v>0.540211</c:v>
                </c:pt>
                <c:pt idx="15">
                  <c:v>0.60897</c:v>
                </c:pt>
                <c:pt idx="16">
                  <c:v>0.281615</c:v>
                </c:pt>
                <c:pt idx="17">
                  <c:v>0.287594</c:v>
                </c:pt>
                <c:pt idx="18">
                  <c:v>0.136024</c:v>
                </c:pt>
                <c:pt idx="19">
                  <c:v>0.143498</c:v>
                </c:pt>
              </c:numCache>
            </c:numRef>
          </c:yVal>
          <c:smooth val="0"/>
        </c:ser>
        <c:axId val="26911913"/>
        <c:axId val="65499053"/>
      </c:scatterChart>
      <c:valAx>
        <c:axId val="2691191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5499053"/>
        <c:crosses val="autoZero"/>
        <c:crossBetween val="midCat"/>
      </c:valAx>
      <c:valAx>
        <c:axId val="6549905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691191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DATA'!$IN$10</c:f>
              <c:strCache>
                <c:ptCount val="1"/>
                <c:pt idx="0">
                  <c:v>EXP D8 B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DATA'!$IM$11:$IM$25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'EXPAND CLONAL DATA'!$IN$11:$IN$25</c:f>
              <c:numCache>
                <c:formatCode>General</c:formatCode>
                <c:ptCount val="15"/>
                <c:pt idx="0">
                  <c:v>0.50251256281407</c:v>
                </c:pt>
                <c:pt idx="1">
                  <c:v>12.0603015075377</c:v>
                </c:pt>
                <c:pt idx="2">
                  <c:v>26.6331658291457</c:v>
                </c:pt>
                <c:pt idx="3">
                  <c:v>17.0854271356784</c:v>
                </c:pt>
                <c:pt idx="4">
                  <c:v>19.0954773869347</c:v>
                </c:pt>
                <c:pt idx="5">
                  <c:v>8.04020100502513</c:v>
                </c:pt>
                <c:pt idx="6">
                  <c:v>8.5427135678392</c:v>
                </c:pt>
                <c:pt idx="7">
                  <c:v>2.51256281407035</c:v>
                </c:pt>
                <c:pt idx="8">
                  <c:v>2.01005025125628</c:v>
                </c:pt>
                <c:pt idx="9">
                  <c:v>1.00502512562814</c:v>
                </c:pt>
                <c:pt idx="10">
                  <c:v>1.50753768844221</c:v>
                </c:pt>
                <c:pt idx="11">
                  <c:v>0.50251256281407</c:v>
                </c:pt>
                <c:pt idx="12">
                  <c:v>0.50251256281407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DATA'!$IT$10</c:f>
              <c:strCache>
                <c:ptCount val="1"/>
                <c:pt idx="0">
                  <c:v>theory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DATA'!$IM$11:$IM$25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'EXPAND CLONAL DATA'!$IT$11:$IT$25</c:f>
              <c:numCache>
                <c:formatCode>General</c:formatCode>
                <c:ptCount val="15"/>
                <c:pt idx="0">
                  <c:v>10.971789</c:v>
                </c:pt>
                <c:pt idx="1">
                  <c:v>31.128394</c:v>
                </c:pt>
                <c:pt idx="2">
                  <c:v>16.151638</c:v>
                </c:pt>
                <c:pt idx="3">
                  <c:v>16.559852</c:v>
                </c:pt>
                <c:pt idx="4">
                  <c:v>9.095202</c:v>
                </c:pt>
                <c:pt idx="5">
                  <c:v>6.746589</c:v>
                </c:pt>
                <c:pt idx="6">
                  <c:v>3.820671</c:v>
                </c:pt>
                <c:pt idx="7">
                  <c:v>2.436614</c:v>
                </c:pt>
                <c:pt idx="8">
                  <c:v>1.33591</c:v>
                </c:pt>
                <c:pt idx="9">
                  <c:v>0.801454</c:v>
                </c:pt>
                <c:pt idx="10">
                  <c:v>0.440926</c:v>
                </c:pt>
                <c:pt idx="11">
                  <c:v>0.242579</c:v>
                </c:pt>
                <c:pt idx="12">
                  <c:v>0.128546</c:v>
                </c:pt>
                <c:pt idx="13">
                  <c:v>0.069341</c:v>
                </c:pt>
                <c:pt idx="14">
                  <c:v>0.030409</c:v>
                </c:pt>
              </c:numCache>
            </c:numRef>
          </c:yVal>
          <c:smooth val="0"/>
        </c:ser>
        <c:axId val="68765924"/>
        <c:axId val="94601372"/>
      </c:scatterChart>
      <c:valAx>
        <c:axId val="6876592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4601372"/>
        <c:crosses val="autoZero"/>
        <c:crossBetween val="midCat"/>
      </c:valAx>
      <c:valAx>
        <c:axId val="946013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76592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DATA'!$ID$11:$ID$17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'EXPAND CLONAL DATA'!$IE$11:$IE$17</c:f>
              <c:numCache>
                <c:formatCode>General</c:formatCode>
                <c:ptCount val="7"/>
                <c:pt idx="0">
                  <c:v>0</c:v>
                </c:pt>
                <c:pt idx="1">
                  <c:v>19.2893401015228</c:v>
                </c:pt>
                <c:pt idx="2">
                  <c:v>26.3959390862944</c:v>
                </c:pt>
                <c:pt idx="3">
                  <c:v>17.7664974619289</c:v>
                </c:pt>
                <c:pt idx="4">
                  <c:v>20.8121827411168</c:v>
                </c:pt>
                <c:pt idx="5">
                  <c:v>5.58375634517767</c:v>
                </c:pt>
                <c:pt idx="6">
                  <c:v>5.0761421319797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DATA'!$ID$11:$ID$17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'EXPAND CLONAL DATA'!$IK$11:$IK$17</c:f>
              <c:numCache>
                <c:formatCode>General</c:formatCode>
                <c:ptCount val="7"/>
                <c:pt idx="0">
                  <c:v>16.264621</c:v>
                </c:pt>
                <c:pt idx="1">
                  <c:v>32.733654</c:v>
                </c:pt>
                <c:pt idx="2">
                  <c:v>18.186517</c:v>
                </c:pt>
                <c:pt idx="3">
                  <c:v>14.681435</c:v>
                </c:pt>
                <c:pt idx="4">
                  <c:v>7.941985</c:v>
                </c:pt>
                <c:pt idx="5">
                  <c:v>4.824121</c:v>
                </c:pt>
                <c:pt idx="6">
                  <c:v>2.596137</c:v>
                </c:pt>
              </c:numCache>
            </c:numRef>
          </c:yVal>
          <c:smooth val="0"/>
        </c:ser>
        <c:axId val="65780293"/>
        <c:axId val="27705363"/>
      </c:scatterChart>
      <c:valAx>
        <c:axId val="6578029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7705363"/>
        <c:crosses val="autoZero"/>
        <c:crossBetween val="midCat"/>
      </c:valAx>
      <c:valAx>
        <c:axId val="2770536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578029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DATA'!$HV$10</c:f>
              <c:strCache>
                <c:ptCount val="1"/>
                <c:pt idx="0">
                  <c:v>CTRL D14 B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DATA'!$HU$11:$HU$20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'EXPAND CLONAL DATA'!$HV$11:$HV$20</c:f>
              <c:numCache>
                <c:formatCode>General</c:formatCode>
                <c:ptCount val="10"/>
                <c:pt idx="0">
                  <c:v>0</c:v>
                </c:pt>
                <c:pt idx="1">
                  <c:v>18.974358974359</c:v>
                </c:pt>
                <c:pt idx="2">
                  <c:v>38.974358974359</c:v>
                </c:pt>
                <c:pt idx="3">
                  <c:v>12.8205128205128</c:v>
                </c:pt>
                <c:pt idx="4">
                  <c:v>19.4871794871795</c:v>
                </c:pt>
                <c:pt idx="5">
                  <c:v>2.56410256410256</c:v>
                </c:pt>
                <c:pt idx="6">
                  <c:v>4.61538461538462</c:v>
                </c:pt>
                <c:pt idx="7">
                  <c:v>0.512820512820513</c:v>
                </c:pt>
                <c:pt idx="8">
                  <c:v>2.05128205128205</c:v>
                </c:pt>
                <c:pt idx="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DATA'!$IB$10</c:f>
              <c:strCache>
                <c:ptCount val="1"/>
                <c:pt idx="0">
                  <c:v>theory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DATA'!$HU$11:$HU$20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'EXPAND CLONAL DATA'!$IB$11:$IB$20</c:f>
              <c:numCache>
                <c:formatCode>General</c:formatCode>
                <c:ptCount val="10"/>
                <c:pt idx="0">
                  <c:v>13.139509</c:v>
                </c:pt>
                <c:pt idx="1">
                  <c:v>46.099695</c:v>
                </c:pt>
                <c:pt idx="2">
                  <c:v>13.960867</c:v>
                </c:pt>
                <c:pt idx="3">
                  <c:v>15.009924</c:v>
                </c:pt>
                <c:pt idx="4">
                  <c:v>5.214548</c:v>
                </c:pt>
                <c:pt idx="5">
                  <c:v>3.71802</c:v>
                </c:pt>
                <c:pt idx="6">
                  <c:v>1.428788</c:v>
                </c:pt>
                <c:pt idx="7">
                  <c:v>0.811065</c:v>
                </c:pt>
                <c:pt idx="8">
                  <c:v>0.33675</c:v>
                </c:pt>
                <c:pt idx="9">
                  <c:v>0.158012</c:v>
                </c:pt>
              </c:numCache>
            </c:numRef>
          </c:yVal>
          <c:smooth val="0"/>
        </c:ser>
        <c:axId val="41910443"/>
        <c:axId val="34972158"/>
      </c:scatterChart>
      <c:valAx>
        <c:axId val="4191044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4972158"/>
        <c:crosses val="autoZero"/>
        <c:crossBetween val="midCat"/>
      </c:valAx>
      <c:valAx>
        <c:axId val="349721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91044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DATA'!$HM$11:$HM$18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'EXPAND CLONAL DATA'!$HN$11:$HN$18</c:f>
              <c:numCache>
                <c:formatCode>General</c:formatCode>
                <c:ptCount val="8"/>
                <c:pt idx="0">
                  <c:v>0</c:v>
                </c:pt>
                <c:pt idx="1">
                  <c:v>18.4931506849315</c:v>
                </c:pt>
                <c:pt idx="2">
                  <c:v>50</c:v>
                </c:pt>
                <c:pt idx="3">
                  <c:v>9.58904109589041</c:v>
                </c:pt>
                <c:pt idx="4">
                  <c:v>15.0684931506849</c:v>
                </c:pt>
                <c:pt idx="5">
                  <c:v>5.47945205479452</c:v>
                </c:pt>
                <c:pt idx="6">
                  <c:v>1.36986301369863</c:v>
                </c:pt>
                <c:pt idx="7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DATA'!$HM$11:$HM$18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'EXPAND CLONAL DATA'!$HO$11:$HO$18</c:f>
              <c:numCache>
                <c:formatCode>General</c:formatCode>
                <c:ptCount val="8"/>
                <c:pt idx="0">
                  <c:v>165.214464182923</c:v>
                </c:pt>
                <c:pt idx="1">
                  <c:v>19.9273772657736</c:v>
                </c:pt>
                <c:pt idx="2">
                  <c:v>49.8809727497825</c:v>
                </c:pt>
                <c:pt idx="3">
                  <c:v>6.01640399516201</c:v>
                </c:pt>
                <c:pt idx="4">
                  <c:v>15.0598887014502</c:v>
                </c:pt>
                <c:pt idx="5">
                  <c:v>1.81645163586942</c:v>
                </c:pt>
                <c:pt idx="6">
                  <c:v>4.54682888478866</c:v>
                </c:pt>
                <c:pt idx="7">
                  <c:v>0.5484167200384</c:v>
                </c:pt>
              </c:numCache>
            </c:numRef>
          </c:yVal>
          <c:smooth val="0"/>
        </c:ser>
        <c:axId val="45346449"/>
        <c:axId val="16900615"/>
      </c:scatterChart>
      <c:valAx>
        <c:axId val="4534644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6900615"/>
        <c:crosses val="autoZero"/>
        <c:crossBetween val="midCat"/>
      </c:valAx>
      <c:valAx>
        <c:axId val="1690061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34644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DATA'!$HF$10</c:f>
              <c:strCache>
                <c:ptCount val="1"/>
                <c:pt idx="0">
                  <c:v>CTRL D8 B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DATA'!$HE$11:$HE$20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'EXPAND CLONAL DATA'!$HF$11:$HF$20</c:f>
              <c:numCache>
                <c:formatCode>General</c:formatCode>
                <c:ptCount val="10"/>
                <c:pt idx="0">
                  <c:v>0</c:v>
                </c:pt>
                <c:pt idx="1">
                  <c:v>32.0754716981132</c:v>
                </c:pt>
                <c:pt idx="2">
                  <c:v>41.5094339622642</c:v>
                </c:pt>
                <c:pt idx="3">
                  <c:v>9.43396226415094</c:v>
                </c:pt>
                <c:pt idx="4">
                  <c:v>11.9496855345912</c:v>
                </c:pt>
                <c:pt idx="5">
                  <c:v>3.14465408805031</c:v>
                </c:pt>
                <c:pt idx="6">
                  <c:v>1.25786163522013</c:v>
                </c:pt>
                <c:pt idx="7">
                  <c:v>0</c:v>
                </c:pt>
                <c:pt idx="8">
                  <c:v>0.628930817610063</c:v>
                </c:pt>
                <c:pt idx="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DATA'!$HG$10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DATA'!$HE$11:$HE$20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'EXPAND CLONAL DATA'!$HG$11:$HG$20</c:f>
              <c:numCache>
                <c:formatCode>General</c:formatCode>
                <c:ptCount val="10"/>
                <c:pt idx="0">
                  <c:v>205.194339078364</c:v>
                </c:pt>
                <c:pt idx="1">
                  <c:v>32.9259498061934</c:v>
                </c:pt>
                <c:pt idx="2">
                  <c:v>45.0965618837812</c:v>
                </c:pt>
                <c:pt idx="3">
                  <c:v>7.23629676962097</c:v>
                </c:pt>
                <c:pt idx="4">
                  <c:v>9.91109161623137</c:v>
                </c:pt>
                <c:pt idx="5">
                  <c:v>1.59035627662219</c:v>
                </c:pt>
                <c:pt idx="6">
                  <c:v>2.17820900135315</c:v>
                </c:pt>
                <c:pt idx="7">
                  <c:v>0.349520364782397</c:v>
                </c:pt>
                <c:pt idx="8">
                  <c:v>0.478715628640309</c:v>
                </c:pt>
                <c:pt idx="9">
                  <c:v>0.0768157973112093</c:v>
                </c:pt>
              </c:numCache>
            </c:numRef>
          </c:yVal>
          <c:smooth val="0"/>
        </c:ser>
        <c:axId val="97511683"/>
        <c:axId val="9372916"/>
      </c:scatterChart>
      <c:valAx>
        <c:axId val="9751168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72916"/>
        <c:crosses val="autoZero"/>
        <c:crossBetween val="midCat"/>
      </c:valAx>
      <c:valAx>
        <c:axId val="93729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51168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EXP D14 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DATA'!$JP$10</c:f>
              <c:strCache>
                <c:ptCount val="1"/>
                <c:pt idx="0">
                  <c:v>EXP D14 T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DATA'!$JO$11:$JO$57</c:f>
              <c:numCache>
                <c:formatCode>General</c:formatCode>
                <c:ptCount val="4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</c:numCache>
            </c:numRef>
          </c:xVal>
          <c:yVal>
            <c:numRef>
              <c:f>'EXPAND CLONAL DATA'!$JP$11:$JP$57</c:f>
              <c:numCache>
                <c:formatCode>General</c:formatCode>
                <c:ptCount val="47"/>
                <c:pt idx="0">
                  <c:v>0</c:v>
                </c:pt>
                <c:pt idx="1">
                  <c:v>1.50753768844221</c:v>
                </c:pt>
                <c:pt idx="2">
                  <c:v>8.5427135678392</c:v>
                </c:pt>
                <c:pt idx="3">
                  <c:v>2.51256281407035</c:v>
                </c:pt>
                <c:pt idx="4">
                  <c:v>14.070351758794</c:v>
                </c:pt>
                <c:pt idx="5">
                  <c:v>3.51758793969849</c:v>
                </c:pt>
                <c:pt idx="6">
                  <c:v>6.53266331658292</c:v>
                </c:pt>
                <c:pt idx="7">
                  <c:v>3.01507537688442</c:v>
                </c:pt>
                <c:pt idx="8">
                  <c:v>8.04020100502513</c:v>
                </c:pt>
                <c:pt idx="9">
                  <c:v>2.51256281407035</c:v>
                </c:pt>
                <c:pt idx="10">
                  <c:v>14.070351758794</c:v>
                </c:pt>
                <c:pt idx="11">
                  <c:v>1.00502512562814</c:v>
                </c:pt>
                <c:pt idx="12">
                  <c:v>8.04020100502513</c:v>
                </c:pt>
                <c:pt idx="13">
                  <c:v>1.50753768844221</c:v>
                </c:pt>
                <c:pt idx="14">
                  <c:v>5.0251256281407</c:v>
                </c:pt>
                <c:pt idx="15">
                  <c:v>0</c:v>
                </c:pt>
                <c:pt idx="16">
                  <c:v>4.02010050251256</c:v>
                </c:pt>
                <c:pt idx="17">
                  <c:v>0.50251256281407</c:v>
                </c:pt>
                <c:pt idx="18">
                  <c:v>2.01005025125628</c:v>
                </c:pt>
                <c:pt idx="19">
                  <c:v>2.01005025125628</c:v>
                </c:pt>
                <c:pt idx="20">
                  <c:v>4.02010050251256</c:v>
                </c:pt>
                <c:pt idx="21">
                  <c:v>0.50251256281407</c:v>
                </c:pt>
                <c:pt idx="22">
                  <c:v>1.00502512562814</c:v>
                </c:pt>
                <c:pt idx="23">
                  <c:v>0.50251256281407</c:v>
                </c:pt>
                <c:pt idx="24">
                  <c:v>1.00502512562814</c:v>
                </c:pt>
                <c:pt idx="25">
                  <c:v>0</c:v>
                </c:pt>
                <c:pt idx="26">
                  <c:v>1.50753768844221</c:v>
                </c:pt>
                <c:pt idx="27">
                  <c:v>0</c:v>
                </c:pt>
                <c:pt idx="28">
                  <c:v>0.50251256281407</c:v>
                </c:pt>
                <c:pt idx="29">
                  <c:v>0</c:v>
                </c:pt>
                <c:pt idx="30">
                  <c:v>0.50251256281407</c:v>
                </c:pt>
                <c:pt idx="31">
                  <c:v>0</c:v>
                </c:pt>
                <c:pt idx="32">
                  <c:v>0.50251256281407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0.50251256281407</c:v>
                </c:pt>
                <c:pt idx="41">
                  <c:v>0</c:v>
                </c:pt>
                <c:pt idx="42">
                  <c:v>0.50251256281407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yVal>
          <c:smooth val="0"/>
        </c:ser>
        <c:axId val="45914409"/>
        <c:axId val="53272447"/>
      </c:scatterChart>
      <c:valAx>
        <c:axId val="4591440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3272447"/>
        <c:crosses val="autoZero"/>
        <c:crossBetween val="midCat"/>
      </c:valAx>
      <c:valAx>
        <c:axId val="5327244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91440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EXP D14 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DATA'!$AG$1</c:f>
              <c:strCache>
                <c:ptCount val="1"/>
                <c:pt idx="0">
                  <c:v>EXP D14 S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DATA'!$AE$2:$AE$200</c:f>
              <c:numCache>
                <c:formatCode>General</c:formatCode>
                <c:ptCount val="199"/>
                <c:pt idx="0">
                  <c:v>16</c:v>
                </c:pt>
                <c:pt idx="1">
                  <c:v>44</c:v>
                </c:pt>
                <c:pt idx="2">
                  <c:v>10</c:v>
                </c:pt>
                <c:pt idx="3">
                  <c:v>24</c:v>
                </c:pt>
                <c:pt idx="4">
                  <c:v>12</c:v>
                </c:pt>
                <c:pt idx="5">
                  <c:v>4</c:v>
                </c:pt>
                <c:pt idx="6">
                  <c:v>6</c:v>
                </c:pt>
                <c:pt idx="7">
                  <c:v>10</c:v>
                </c:pt>
                <c:pt idx="8">
                  <c:v>1</c:v>
                </c:pt>
                <c:pt idx="9">
                  <c:v>2</c:v>
                </c:pt>
                <c:pt idx="10">
                  <c:v>7</c:v>
                </c:pt>
                <c:pt idx="11">
                  <c:v>6</c:v>
                </c:pt>
                <c:pt idx="12">
                  <c:v>8</c:v>
                </c:pt>
                <c:pt idx="13">
                  <c:v>1</c:v>
                </c:pt>
                <c:pt idx="14">
                  <c:v>8</c:v>
                </c:pt>
                <c:pt idx="15">
                  <c:v>6</c:v>
                </c:pt>
                <c:pt idx="16">
                  <c:v>30</c:v>
                </c:pt>
                <c:pt idx="17">
                  <c:v>4</c:v>
                </c:pt>
                <c:pt idx="18">
                  <c:v>8</c:v>
                </c:pt>
                <c:pt idx="19">
                  <c:v>14</c:v>
                </c:pt>
                <c:pt idx="20">
                  <c:v>8</c:v>
                </c:pt>
                <c:pt idx="21">
                  <c:v>8</c:v>
                </c:pt>
                <c:pt idx="22">
                  <c:v>13</c:v>
                </c:pt>
                <c:pt idx="23">
                  <c:v>4</c:v>
                </c:pt>
                <c:pt idx="24">
                  <c:v>8</c:v>
                </c:pt>
                <c:pt idx="25">
                  <c:v>30</c:v>
                </c:pt>
                <c:pt idx="26">
                  <c:v>5</c:v>
                </c:pt>
                <c:pt idx="27">
                  <c:v>8</c:v>
                </c:pt>
                <c:pt idx="28">
                  <c:v>12</c:v>
                </c:pt>
                <c:pt idx="29">
                  <c:v>6</c:v>
                </c:pt>
                <c:pt idx="30">
                  <c:v>4</c:v>
                </c:pt>
                <c:pt idx="31">
                  <c:v>5</c:v>
                </c:pt>
                <c:pt idx="32">
                  <c:v>20</c:v>
                </c:pt>
                <c:pt idx="33">
                  <c:v>8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2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4</c:v>
                </c:pt>
                <c:pt idx="45">
                  <c:v>2</c:v>
                </c:pt>
                <c:pt idx="46">
                  <c:v>2</c:v>
                </c:pt>
                <c:pt idx="47">
                  <c:v>4</c:v>
                </c:pt>
                <c:pt idx="48">
                  <c:v>4</c:v>
                </c:pt>
                <c:pt idx="49">
                  <c:v>2</c:v>
                </c:pt>
                <c:pt idx="50">
                  <c:v>9</c:v>
                </c:pt>
                <c:pt idx="51">
                  <c:v>2</c:v>
                </c:pt>
                <c:pt idx="52">
                  <c:v>2</c:v>
                </c:pt>
                <c:pt idx="53">
                  <c:v>6</c:v>
                </c:pt>
                <c:pt idx="54">
                  <c:v>4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3</c:v>
                </c:pt>
                <c:pt idx="60">
                  <c:v>2</c:v>
                </c:pt>
                <c:pt idx="61">
                  <c:v>4</c:v>
                </c:pt>
                <c:pt idx="62">
                  <c:v>3</c:v>
                </c:pt>
                <c:pt idx="63">
                  <c:v>2</c:v>
                </c:pt>
                <c:pt idx="64">
                  <c:v>4</c:v>
                </c:pt>
                <c:pt idx="65">
                  <c:v>1</c:v>
                </c:pt>
                <c:pt idx="66">
                  <c:v>4</c:v>
                </c:pt>
                <c:pt idx="67">
                  <c:v>1</c:v>
                </c:pt>
                <c:pt idx="68">
                  <c:v>2</c:v>
                </c:pt>
                <c:pt idx="69">
                  <c:v>4</c:v>
                </c:pt>
                <c:pt idx="70">
                  <c:v>2</c:v>
                </c:pt>
                <c:pt idx="71">
                  <c:v>4</c:v>
                </c:pt>
                <c:pt idx="72">
                  <c:v>3</c:v>
                </c:pt>
                <c:pt idx="73">
                  <c:v>2</c:v>
                </c:pt>
                <c:pt idx="74">
                  <c:v>4</c:v>
                </c:pt>
                <c:pt idx="75">
                  <c:v>1</c:v>
                </c:pt>
                <c:pt idx="76">
                  <c:v>1</c:v>
                </c:pt>
                <c:pt idx="77">
                  <c:v>5</c:v>
                </c:pt>
                <c:pt idx="78">
                  <c:v>4</c:v>
                </c:pt>
                <c:pt idx="79">
                  <c:v>1</c:v>
                </c:pt>
                <c:pt idx="80">
                  <c:v>3</c:v>
                </c:pt>
                <c:pt idx="81">
                  <c:v>2</c:v>
                </c:pt>
                <c:pt idx="82">
                  <c:v>4</c:v>
                </c:pt>
                <c:pt idx="83">
                  <c:v>2</c:v>
                </c:pt>
                <c:pt idx="84">
                  <c:v>4</c:v>
                </c:pt>
                <c:pt idx="85">
                  <c:v>4</c:v>
                </c:pt>
                <c:pt idx="86">
                  <c:v>6</c:v>
                </c:pt>
                <c:pt idx="87">
                  <c:v>2</c:v>
                </c:pt>
                <c:pt idx="88">
                  <c:v>10</c:v>
                </c:pt>
                <c:pt idx="89">
                  <c:v>4</c:v>
                </c:pt>
                <c:pt idx="90">
                  <c:v>4</c:v>
                </c:pt>
                <c:pt idx="91">
                  <c:v>2</c:v>
                </c:pt>
                <c:pt idx="92">
                  <c:v>5</c:v>
                </c:pt>
                <c:pt idx="93">
                  <c:v>4</c:v>
                </c:pt>
                <c:pt idx="94">
                  <c:v>4</c:v>
                </c:pt>
                <c:pt idx="95">
                  <c:v>8</c:v>
                </c:pt>
                <c:pt idx="96">
                  <c:v>4</c:v>
                </c:pt>
                <c:pt idx="97">
                  <c:v>2</c:v>
                </c:pt>
                <c:pt idx="98">
                  <c:v>12</c:v>
                </c:pt>
                <c:pt idx="99">
                  <c:v>6</c:v>
                </c:pt>
                <c:pt idx="100">
                  <c:v>4</c:v>
                </c:pt>
                <c:pt idx="101">
                  <c:v>4</c:v>
                </c:pt>
                <c:pt idx="102">
                  <c:v>2</c:v>
                </c:pt>
                <c:pt idx="103">
                  <c:v>4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1</c:v>
                </c:pt>
                <c:pt idx="110">
                  <c:v>4</c:v>
                </c:pt>
                <c:pt idx="111">
                  <c:v>2</c:v>
                </c:pt>
                <c:pt idx="112">
                  <c:v>4</c:v>
                </c:pt>
                <c:pt idx="113">
                  <c:v>6</c:v>
                </c:pt>
                <c:pt idx="114">
                  <c:v>2</c:v>
                </c:pt>
                <c:pt idx="115">
                  <c:v>4</c:v>
                </c:pt>
                <c:pt idx="116">
                  <c:v>3</c:v>
                </c:pt>
                <c:pt idx="117">
                  <c:v>6</c:v>
                </c:pt>
                <c:pt idx="118">
                  <c:v>1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4</c:v>
                </c:pt>
                <c:pt idx="123">
                  <c:v>2</c:v>
                </c:pt>
                <c:pt idx="124">
                  <c:v>4</c:v>
                </c:pt>
                <c:pt idx="125">
                  <c:v>4</c:v>
                </c:pt>
                <c:pt idx="126">
                  <c:v>6</c:v>
                </c:pt>
                <c:pt idx="127">
                  <c:v>2</c:v>
                </c:pt>
                <c:pt idx="128">
                  <c:v>6</c:v>
                </c:pt>
                <c:pt idx="129">
                  <c:v>6</c:v>
                </c:pt>
                <c:pt idx="130">
                  <c:v>8</c:v>
                </c:pt>
                <c:pt idx="131">
                  <c:v>8</c:v>
                </c:pt>
                <c:pt idx="132">
                  <c:v>10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4</c:v>
                </c:pt>
                <c:pt idx="138">
                  <c:v>8</c:v>
                </c:pt>
                <c:pt idx="139">
                  <c:v>6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6</c:v>
                </c:pt>
                <c:pt idx="145">
                  <c:v>6</c:v>
                </c:pt>
                <c:pt idx="146">
                  <c:v>8</c:v>
                </c:pt>
                <c:pt idx="147">
                  <c:v>8</c:v>
                </c:pt>
                <c:pt idx="148">
                  <c:v>6</c:v>
                </c:pt>
                <c:pt idx="149">
                  <c:v>10</c:v>
                </c:pt>
                <c:pt idx="150">
                  <c:v>12</c:v>
                </c:pt>
                <c:pt idx="151">
                  <c:v>10</c:v>
                </c:pt>
                <c:pt idx="152">
                  <c:v>4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4</c:v>
                </c:pt>
                <c:pt idx="157">
                  <c:v>6</c:v>
                </c:pt>
                <c:pt idx="158">
                  <c:v>6</c:v>
                </c:pt>
                <c:pt idx="159">
                  <c:v>4</c:v>
                </c:pt>
                <c:pt idx="160">
                  <c:v>2</c:v>
                </c:pt>
                <c:pt idx="161">
                  <c:v>5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12</c:v>
                </c:pt>
                <c:pt idx="167">
                  <c:v>6</c:v>
                </c:pt>
                <c:pt idx="168">
                  <c:v>4</c:v>
                </c:pt>
                <c:pt idx="169">
                  <c:v>4</c:v>
                </c:pt>
                <c:pt idx="170">
                  <c:v>2</c:v>
                </c:pt>
                <c:pt idx="171">
                  <c:v>4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4</c:v>
                </c:pt>
                <c:pt idx="179">
                  <c:v>1</c:v>
                </c:pt>
                <c:pt idx="180">
                  <c:v>2</c:v>
                </c:pt>
                <c:pt idx="181">
                  <c:v>10</c:v>
                </c:pt>
                <c:pt idx="182">
                  <c:v>4</c:v>
                </c:pt>
                <c:pt idx="183">
                  <c:v>6</c:v>
                </c:pt>
                <c:pt idx="184">
                  <c:v>10</c:v>
                </c:pt>
                <c:pt idx="185">
                  <c:v>4</c:v>
                </c:pt>
                <c:pt idx="186">
                  <c:v>3</c:v>
                </c:pt>
                <c:pt idx="187">
                  <c:v>10</c:v>
                </c:pt>
                <c:pt idx="188">
                  <c:v>10</c:v>
                </c:pt>
                <c:pt idx="189">
                  <c:v>6</c:v>
                </c:pt>
                <c:pt idx="190">
                  <c:v>5</c:v>
                </c:pt>
                <c:pt idx="191">
                  <c:v>2</c:v>
                </c:pt>
                <c:pt idx="192">
                  <c:v>2</c:v>
                </c:pt>
                <c:pt idx="193">
                  <c:v>4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</c:numCache>
            </c:numRef>
          </c:xVal>
          <c:yVal>
            <c:numRef>
              <c:f>'EXPAND CLONAL DATA'!$AG$2:$AG$200</c:f>
              <c:numCache>
                <c:formatCode>General</c:formatCode>
                <c:ptCount val="199"/>
                <c:pt idx="0">
                  <c:v>14</c:v>
                </c:pt>
                <c:pt idx="1">
                  <c:v>16</c:v>
                </c:pt>
                <c:pt idx="2">
                  <c:v>4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10</c:v>
                </c:pt>
                <c:pt idx="8">
                  <c:v>2</c:v>
                </c:pt>
                <c:pt idx="9">
                  <c:v>4</c:v>
                </c:pt>
                <c:pt idx="10">
                  <c:v>7</c:v>
                </c:pt>
                <c:pt idx="11">
                  <c:v>4</c:v>
                </c:pt>
                <c:pt idx="12">
                  <c:v>10</c:v>
                </c:pt>
                <c:pt idx="13">
                  <c:v>18</c:v>
                </c:pt>
                <c:pt idx="14">
                  <c:v>6</c:v>
                </c:pt>
                <c:pt idx="15">
                  <c:v>14</c:v>
                </c:pt>
                <c:pt idx="16">
                  <c:v>12</c:v>
                </c:pt>
                <c:pt idx="17">
                  <c:v>6</c:v>
                </c:pt>
                <c:pt idx="18">
                  <c:v>6</c:v>
                </c:pt>
                <c:pt idx="19">
                  <c:v>9</c:v>
                </c:pt>
                <c:pt idx="20">
                  <c:v>5</c:v>
                </c:pt>
                <c:pt idx="21">
                  <c:v>8</c:v>
                </c:pt>
                <c:pt idx="22">
                  <c:v>4</c:v>
                </c:pt>
                <c:pt idx="23">
                  <c:v>0</c:v>
                </c:pt>
                <c:pt idx="24">
                  <c:v>4</c:v>
                </c:pt>
                <c:pt idx="25">
                  <c:v>10</c:v>
                </c:pt>
                <c:pt idx="26">
                  <c:v>5</c:v>
                </c:pt>
                <c:pt idx="27">
                  <c:v>14</c:v>
                </c:pt>
                <c:pt idx="28">
                  <c:v>4</c:v>
                </c:pt>
                <c:pt idx="29">
                  <c:v>2</c:v>
                </c:pt>
                <c:pt idx="30">
                  <c:v>0</c:v>
                </c:pt>
                <c:pt idx="31">
                  <c:v>2</c:v>
                </c:pt>
                <c:pt idx="32">
                  <c:v>8</c:v>
                </c:pt>
                <c:pt idx="33">
                  <c:v>5</c:v>
                </c:pt>
                <c:pt idx="34">
                  <c:v>0</c:v>
                </c:pt>
                <c:pt idx="35">
                  <c:v>2</c:v>
                </c:pt>
                <c:pt idx="36">
                  <c:v>4</c:v>
                </c:pt>
                <c:pt idx="37">
                  <c:v>2</c:v>
                </c:pt>
                <c:pt idx="38">
                  <c:v>4</c:v>
                </c:pt>
                <c:pt idx="39">
                  <c:v>0</c:v>
                </c:pt>
                <c:pt idx="40">
                  <c:v>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22</c:v>
                </c:pt>
                <c:pt idx="46">
                  <c:v>24</c:v>
                </c:pt>
                <c:pt idx="47">
                  <c:v>18</c:v>
                </c:pt>
                <c:pt idx="48">
                  <c:v>2</c:v>
                </c:pt>
                <c:pt idx="49">
                  <c:v>10</c:v>
                </c:pt>
                <c:pt idx="50">
                  <c:v>9</c:v>
                </c:pt>
                <c:pt idx="51">
                  <c:v>5</c:v>
                </c:pt>
                <c:pt idx="52">
                  <c:v>3</c:v>
                </c:pt>
                <c:pt idx="53">
                  <c:v>6</c:v>
                </c:pt>
                <c:pt idx="54">
                  <c:v>8</c:v>
                </c:pt>
                <c:pt idx="55">
                  <c:v>7</c:v>
                </c:pt>
                <c:pt idx="56">
                  <c:v>8</c:v>
                </c:pt>
                <c:pt idx="57">
                  <c:v>5</c:v>
                </c:pt>
                <c:pt idx="58">
                  <c:v>6</c:v>
                </c:pt>
                <c:pt idx="59">
                  <c:v>6</c:v>
                </c:pt>
                <c:pt idx="60">
                  <c:v>10</c:v>
                </c:pt>
                <c:pt idx="61">
                  <c:v>2</c:v>
                </c:pt>
                <c:pt idx="62">
                  <c:v>9</c:v>
                </c:pt>
                <c:pt idx="63">
                  <c:v>8</c:v>
                </c:pt>
                <c:pt idx="64">
                  <c:v>16</c:v>
                </c:pt>
                <c:pt idx="65">
                  <c:v>6</c:v>
                </c:pt>
                <c:pt idx="66">
                  <c:v>16</c:v>
                </c:pt>
                <c:pt idx="67">
                  <c:v>8</c:v>
                </c:pt>
                <c:pt idx="68">
                  <c:v>4</c:v>
                </c:pt>
                <c:pt idx="69">
                  <c:v>16</c:v>
                </c:pt>
                <c:pt idx="70">
                  <c:v>3</c:v>
                </c:pt>
                <c:pt idx="71">
                  <c:v>6</c:v>
                </c:pt>
                <c:pt idx="72">
                  <c:v>13</c:v>
                </c:pt>
                <c:pt idx="73">
                  <c:v>5</c:v>
                </c:pt>
                <c:pt idx="74">
                  <c:v>15</c:v>
                </c:pt>
                <c:pt idx="75">
                  <c:v>6</c:v>
                </c:pt>
                <c:pt idx="76">
                  <c:v>9</c:v>
                </c:pt>
                <c:pt idx="77">
                  <c:v>13</c:v>
                </c:pt>
                <c:pt idx="78">
                  <c:v>15</c:v>
                </c:pt>
                <c:pt idx="79">
                  <c:v>18</c:v>
                </c:pt>
                <c:pt idx="80">
                  <c:v>1</c:v>
                </c:pt>
                <c:pt idx="81">
                  <c:v>6</c:v>
                </c:pt>
                <c:pt idx="82">
                  <c:v>17</c:v>
                </c:pt>
                <c:pt idx="83">
                  <c:v>9</c:v>
                </c:pt>
                <c:pt idx="84">
                  <c:v>10</c:v>
                </c:pt>
                <c:pt idx="85">
                  <c:v>6</c:v>
                </c:pt>
                <c:pt idx="86">
                  <c:v>18</c:v>
                </c:pt>
                <c:pt idx="87">
                  <c:v>3</c:v>
                </c:pt>
                <c:pt idx="88">
                  <c:v>16</c:v>
                </c:pt>
                <c:pt idx="89">
                  <c:v>5</c:v>
                </c:pt>
                <c:pt idx="90">
                  <c:v>6</c:v>
                </c:pt>
                <c:pt idx="91">
                  <c:v>4</c:v>
                </c:pt>
                <c:pt idx="92">
                  <c:v>8</c:v>
                </c:pt>
                <c:pt idx="93">
                  <c:v>7</c:v>
                </c:pt>
                <c:pt idx="94">
                  <c:v>0</c:v>
                </c:pt>
                <c:pt idx="95">
                  <c:v>4</c:v>
                </c:pt>
                <c:pt idx="96">
                  <c:v>4</c:v>
                </c:pt>
                <c:pt idx="97">
                  <c:v>0</c:v>
                </c:pt>
                <c:pt idx="98">
                  <c:v>8</c:v>
                </c:pt>
                <c:pt idx="99">
                  <c:v>10</c:v>
                </c:pt>
                <c:pt idx="100">
                  <c:v>6</c:v>
                </c:pt>
                <c:pt idx="101">
                  <c:v>10</c:v>
                </c:pt>
                <c:pt idx="102">
                  <c:v>6</c:v>
                </c:pt>
                <c:pt idx="103">
                  <c:v>8</c:v>
                </c:pt>
                <c:pt idx="104">
                  <c:v>0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0</c:v>
                </c:pt>
                <c:pt idx="109">
                  <c:v>2</c:v>
                </c:pt>
                <c:pt idx="110">
                  <c:v>6</c:v>
                </c:pt>
                <c:pt idx="111">
                  <c:v>0</c:v>
                </c:pt>
                <c:pt idx="112">
                  <c:v>4</c:v>
                </c:pt>
                <c:pt idx="113">
                  <c:v>4</c:v>
                </c:pt>
                <c:pt idx="114">
                  <c:v>0</c:v>
                </c:pt>
                <c:pt idx="115">
                  <c:v>6</c:v>
                </c:pt>
                <c:pt idx="116">
                  <c:v>2</c:v>
                </c:pt>
                <c:pt idx="117">
                  <c:v>4</c:v>
                </c:pt>
                <c:pt idx="118">
                  <c:v>3</c:v>
                </c:pt>
                <c:pt idx="119">
                  <c:v>2</c:v>
                </c:pt>
                <c:pt idx="120">
                  <c:v>0</c:v>
                </c:pt>
                <c:pt idx="121">
                  <c:v>2</c:v>
                </c:pt>
                <c:pt idx="122">
                  <c:v>2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4</c:v>
                </c:pt>
                <c:pt idx="127">
                  <c:v>0</c:v>
                </c:pt>
                <c:pt idx="128">
                  <c:v>4</c:v>
                </c:pt>
                <c:pt idx="129">
                  <c:v>6</c:v>
                </c:pt>
                <c:pt idx="130">
                  <c:v>4</c:v>
                </c:pt>
                <c:pt idx="131">
                  <c:v>6</c:v>
                </c:pt>
                <c:pt idx="132">
                  <c:v>6</c:v>
                </c:pt>
                <c:pt idx="133">
                  <c:v>0</c:v>
                </c:pt>
                <c:pt idx="134">
                  <c:v>2</c:v>
                </c:pt>
                <c:pt idx="135">
                  <c:v>2</c:v>
                </c:pt>
                <c:pt idx="136">
                  <c:v>0</c:v>
                </c:pt>
                <c:pt idx="137">
                  <c:v>0</c:v>
                </c:pt>
                <c:pt idx="138">
                  <c:v>4</c:v>
                </c:pt>
                <c:pt idx="139">
                  <c:v>4</c:v>
                </c:pt>
                <c:pt idx="140">
                  <c:v>2</c:v>
                </c:pt>
                <c:pt idx="141">
                  <c:v>0</c:v>
                </c:pt>
                <c:pt idx="142">
                  <c:v>0</c:v>
                </c:pt>
                <c:pt idx="143">
                  <c:v>2</c:v>
                </c:pt>
                <c:pt idx="144">
                  <c:v>4</c:v>
                </c:pt>
                <c:pt idx="145">
                  <c:v>4</c:v>
                </c:pt>
                <c:pt idx="146">
                  <c:v>8</c:v>
                </c:pt>
                <c:pt idx="147">
                  <c:v>4</c:v>
                </c:pt>
                <c:pt idx="148">
                  <c:v>3</c:v>
                </c:pt>
                <c:pt idx="149">
                  <c:v>8</c:v>
                </c:pt>
                <c:pt idx="150">
                  <c:v>14</c:v>
                </c:pt>
                <c:pt idx="151">
                  <c:v>6</c:v>
                </c:pt>
                <c:pt idx="152">
                  <c:v>0</c:v>
                </c:pt>
                <c:pt idx="153">
                  <c:v>2</c:v>
                </c:pt>
                <c:pt idx="154">
                  <c:v>2</c:v>
                </c:pt>
                <c:pt idx="155">
                  <c:v>3</c:v>
                </c:pt>
                <c:pt idx="156">
                  <c:v>6</c:v>
                </c:pt>
                <c:pt idx="157">
                  <c:v>2</c:v>
                </c:pt>
                <c:pt idx="158">
                  <c:v>6</c:v>
                </c:pt>
                <c:pt idx="159">
                  <c:v>4</c:v>
                </c:pt>
                <c:pt idx="160">
                  <c:v>2</c:v>
                </c:pt>
                <c:pt idx="161">
                  <c:v>3</c:v>
                </c:pt>
                <c:pt idx="162">
                  <c:v>1</c:v>
                </c:pt>
                <c:pt idx="163">
                  <c:v>0</c:v>
                </c:pt>
                <c:pt idx="164">
                  <c:v>2</c:v>
                </c:pt>
                <c:pt idx="165">
                  <c:v>4</c:v>
                </c:pt>
                <c:pt idx="166">
                  <c:v>8</c:v>
                </c:pt>
                <c:pt idx="167">
                  <c:v>10</c:v>
                </c:pt>
                <c:pt idx="168">
                  <c:v>6</c:v>
                </c:pt>
                <c:pt idx="169">
                  <c:v>10</c:v>
                </c:pt>
                <c:pt idx="170">
                  <c:v>6</c:v>
                </c:pt>
                <c:pt idx="171">
                  <c:v>8</c:v>
                </c:pt>
                <c:pt idx="172">
                  <c:v>0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0</c:v>
                </c:pt>
                <c:pt idx="177">
                  <c:v>2</c:v>
                </c:pt>
                <c:pt idx="178">
                  <c:v>6</c:v>
                </c:pt>
                <c:pt idx="179">
                  <c:v>0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0</c:v>
                </c:pt>
                <c:pt idx="185">
                  <c:v>6</c:v>
                </c:pt>
                <c:pt idx="186">
                  <c:v>2</c:v>
                </c:pt>
                <c:pt idx="187">
                  <c:v>2</c:v>
                </c:pt>
                <c:pt idx="188">
                  <c:v>0</c:v>
                </c:pt>
                <c:pt idx="189">
                  <c:v>3</c:v>
                </c:pt>
                <c:pt idx="190">
                  <c:v>3</c:v>
                </c:pt>
                <c:pt idx="191">
                  <c:v>0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yVal>
          <c:smooth val="0"/>
        </c:ser>
        <c:axId val="70906077"/>
        <c:axId val="92788844"/>
      </c:scatterChart>
      <c:valAx>
        <c:axId val="7090607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788844"/>
        <c:crosses val="autoZero"/>
        <c:crossBetween val="midCat"/>
      </c:valAx>
      <c:valAx>
        <c:axId val="927888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090607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DATA'!$EI$10</c:f>
              <c:strCache>
                <c:ptCount val="1"/>
                <c:pt idx="0">
                  <c:v>EXP D10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DATA'!$EH$11:$EH$43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'EXPAND CLONAL DATA'!$EI$11:$EI$43</c:f>
              <c:numCache>
                <c:formatCode>General</c:formatCode>
                <c:ptCount val="33"/>
                <c:pt idx="0">
                  <c:v>100</c:v>
                </c:pt>
                <c:pt idx="1">
                  <c:v>92.9936305732484</c:v>
                </c:pt>
                <c:pt idx="2">
                  <c:v>70.7006369426752</c:v>
                </c:pt>
                <c:pt idx="3">
                  <c:v>63.0573248407643</c:v>
                </c:pt>
                <c:pt idx="4">
                  <c:v>44.5859872611465</c:v>
                </c:pt>
                <c:pt idx="5">
                  <c:v>38.8535031847134</c:v>
                </c:pt>
                <c:pt idx="6">
                  <c:v>19.7452229299363</c:v>
                </c:pt>
                <c:pt idx="7">
                  <c:v>18.4713375796178</c:v>
                </c:pt>
                <c:pt idx="8">
                  <c:v>13.3757961783439</c:v>
                </c:pt>
                <c:pt idx="9">
                  <c:v>12.1019108280255</c:v>
                </c:pt>
                <c:pt idx="10">
                  <c:v>10.1910828025478</c:v>
                </c:pt>
                <c:pt idx="11">
                  <c:v>10.1910828025478</c:v>
                </c:pt>
                <c:pt idx="12">
                  <c:v>7.00636942675159</c:v>
                </c:pt>
                <c:pt idx="13">
                  <c:v>5.73248407643312</c:v>
                </c:pt>
                <c:pt idx="14">
                  <c:v>3.82165605095541</c:v>
                </c:pt>
                <c:pt idx="15">
                  <c:v>3.82165605095541</c:v>
                </c:pt>
                <c:pt idx="16">
                  <c:v>2.54777070063694</c:v>
                </c:pt>
                <c:pt idx="17">
                  <c:v>2.54777070063694</c:v>
                </c:pt>
                <c:pt idx="18">
                  <c:v>1.9108280254777</c:v>
                </c:pt>
                <c:pt idx="19">
                  <c:v>1.9108280254777</c:v>
                </c:pt>
                <c:pt idx="20">
                  <c:v>0.636942675159231</c:v>
                </c:pt>
                <c:pt idx="21">
                  <c:v>0.636942675159231</c:v>
                </c:pt>
                <c:pt idx="22">
                  <c:v>0.636942675159231</c:v>
                </c:pt>
                <c:pt idx="23">
                  <c:v>0.636942675159231</c:v>
                </c:pt>
                <c:pt idx="24">
                  <c:v>0.636942675159231</c:v>
                </c:pt>
                <c:pt idx="25">
                  <c:v>0.636942675159231</c:v>
                </c:pt>
                <c:pt idx="26">
                  <c:v>0.636942675159231</c:v>
                </c:pt>
                <c:pt idx="27">
                  <c:v>0.636942675159231</c:v>
                </c:pt>
                <c:pt idx="28">
                  <c:v>0.636942675159231</c:v>
                </c:pt>
                <c:pt idx="29">
                  <c:v>0.636942675159231</c:v>
                </c:pt>
                <c:pt idx="30">
                  <c:v>0.636942675159231</c:v>
                </c:pt>
                <c:pt idx="31">
                  <c:v>0.636942675159231</c:v>
                </c:pt>
                <c:pt idx="32">
                  <c:v>0.636942675159231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DATA'!$EJ$10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DATA'!$EH$11:$EH$43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'EXPAND CLONAL DATA'!$EJ$11:$EJ$43</c:f>
              <c:numCache>
                <c:formatCode>General</c:formatCode>
                <c:ptCount val="33"/>
                <c:pt idx="0">
                  <c:v>120</c:v>
                </c:pt>
                <c:pt idx="1">
                  <c:v>93.4560939685686</c:v>
                </c:pt>
                <c:pt idx="2">
                  <c:v>72.783679165516</c:v>
                </c:pt>
                <c:pt idx="3">
                  <c:v>56.6839863289218</c:v>
                </c:pt>
                <c:pt idx="4">
                  <c:v>44.1455329405731</c:v>
                </c:pt>
                <c:pt idx="5">
                  <c:v>34.3805756232228</c:v>
                </c:pt>
                <c:pt idx="6">
                  <c:v>26.7756192178116</c:v>
                </c:pt>
                <c:pt idx="7">
                  <c:v>20.8528732140534</c:v>
                </c:pt>
                <c:pt idx="8">
                  <c:v>16.2402339883935</c:v>
                </c:pt>
                <c:pt idx="9">
                  <c:v>12.6479069474237</c:v>
                </c:pt>
                <c:pt idx="10">
                  <c:v>9.85019983486786</c:v>
                </c:pt>
                <c:pt idx="11">
                  <c:v>7.67134334480491</c:v>
                </c:pt>
                <c:pt idx="12">
                  <c:v>5.97444820414367</c:v>
                </c:pt>
                <c:pt idx="13">
                  <c:v>4.65290493980664</c:v>
                </c:pt>
                <c:pt idx="14">
                  <c:v>3.62368601067822</c:v>
                </c:pt>
                <c:pt idx="15">
                  <c:v>2.82212950272109</c:v>
                </c:pt>
                <c:pt idx="16">
                  <c:v>2.1978766666481</c:v>
                </c:pt>
                <c:pt idx="17">
                  <c:v>1.71170806907991</c:v>
                </c:pt>
                <c:pt idx="18">
                  <c:v>1.33307958458908</c:v>
                </c:pt>
                <c:pt idx="19">
                  <c:v>1.03820342437448</c:v>
                </c:pt>
                <c:pt idx="20">
                  <c:v>0.808553639890256</c:v>
                </c:pt>
                <c:pt idx="21">
                  <c:v>0.629702207901766</c:v>
                </c:pt>
                <c:pt idx="22">
                  <c:v>0.490412572615688</c:v>
                </c:pt>
                <c:pt idx="23">
                  <c:v>0.38193369558116</c:v>
                </c:pt>
                <c:pt idx="24">
                  <c:v>0.297450261199963</c:v>
                </c:pt>
                <c:pt idx="25">
                  <c:v>0.231654496347325</c:v>
                </c:pt>
                <c:pt idx="26">
                  <c:v>0.180412703157309</c:v>
                </c:pt>
                <c:pt idx="27">
                  <c:v>0.140505554494941</c:v>
                </c:pt>
                <c:pt idx="28">
                  <c:v>0.109425835866542</c:v>
                </c:pt>
                <c:pt idx="29">
                  <c:v>0.0852209266611059</c:v>
                </c:pt>
                <c:pt idx="30">
                  <c:v>0.06637012441774</c:v>
                </c:pt>
                <c:pt idx="31">
                  <c:v>0.0516891048690825</c:v>
                </c:pt>
                <c:pt idx="32">
                  <c:v>0.0402555153483014</c:v>
                </c:pt>
              </c:numCache>
            </c:numRef>
          </c:yVal>
          <c:smooth val="0"/>
        </c:ser>
        <c:axId val="73780411"/>
        <c:axId val="77950552"/>
      </c:scatterChart>
      <c:valAx>
        <c:axId val="7378041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950552"/>
        <c:crosses val="autoZero"/>
        <c:crossBetween val="midCat"/>
      </c:valAx>
      <c:valAx>
        <c:axId val="7795055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378041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DATA'!$ED$10</c:f>
              <c:strCache>
                <c:ptCount val="1"/>
                <c:pt idx="0">
                  <c:v>EXP D8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DATA'!$EC$11:$EC$21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'EXPAND CLONAL DATA'!$ED$11:$ED$21</c:f>
              <c:numCache>
                <c:formatCode>General</c:formatCode>
                <c:ptCount val="11"/>
                <c:pt idx="0">
                  <c:v>99.4974874371859</c:v>
                </c:pt>
                <c:pt idx="1">
                  <c:v>87.4371859296482</c:v>
                </c:pt>
                <c:pt idx="2">
                  <c:v>60.8040201005025</c:v>
                </c:pt>
                <c:pt idx="3">
                  <c:v>43.7185929648241</c:v>
                </c:pt>
                <c:pt idx="4">
                  <c:v>24.6231155778895</c:v>
                </c:pt>
                <c:pt idx="5">
                  <c:v>16.5829145728643</c:v>
                </c:pt>
                <c:pt idx="6">
                  <c:v>8.04020100502513</c:v>
                </c:pt>
                <c:pt idx="7">
                  <c:v>5.52763819095478</c:v>
                </c:pt>
                <c:pt idx="8">
                  <c:v>3.5175879396985</c:v>
                </c:pt>
                <c:pt idx="9">
                  <c:v>2.51256281407036</c:v>
                </c:pt>
                <c:pt idx="10">
                  <c:v>1.00502512562815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DATA'!$EE$10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DATA'!$EC$11:$EC$21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'EXPAND CLONAL DATA'!$EE$11:$EE$21</c:f>
              <c:numCache>
                <c:formatCode>General</c:formatCode>
                <c:ptCount val="11"/>
                <c:pt idx="0">
                  <c:v>142</c:v>
                </c:pt>
                <c:pt idx="1">
                  <c:v>91.7571887068593</c:v>
                </c:pt>
                <c:pt idx="2">
                  <c:v>59.2914202773675</c:v>
                </c:pt>
                <c:pt idx="3">
                  <c:v>38.3127749231557</c:v>
                </c:pt>
                <c:pt idx="4">
                  <c:v>24.7568487218833</c:v>
                </c:pt>
                <c:pt idx="5">
                  <c:v>15.9973157743733</c:v>
                </c:pt>
                <c:pt idx="6">
                  <c:v>10.3371036782563</c:v>
                </c:pt>
                <c:pt idx="7">
                  <c:v>6.67960262597274</c:v>
                </c:pt>
                <c:pt idx="8">
                  <c:v>4.31620815942404</c:v>
                </c:pt>
                <c:pt idx="9">
                  <c:v>2.78903610269266</c:v>
                </c:pt>
                <c:pt idx="10">
                  <c:v>1.80221205623249</c:v>
                </c:pt>
              </c:numCache>
            </c:numRef>
          </c:yVal>
          <c:smooth val="0"/>
        </c:ser>
        <c:axId val="93694157"/>
        <c:axId val="30948729"/>
      </c:scatterChart>
      <c:valAx>
        <c:axId val="9369415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948729"/>
        <c:crosses val="autoZero"/>
        <c:crossBetween val="midCat"/>
      </c:valAx>
      <c:valAx>
        <c:axId val="3094872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69415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DATA'!$DY$10</c:f>
              <c:strCache>
                <c:ptCount val="1"/>
                <c:pt idx="0">
                  <c:v>EXP D4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DATA'!$DX$11:$DX$17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'EXPAND CLONAL DATA'!$DY$11:$DY$17</c:f>
              <c:numCache>
                <c:formatCode>General</c:formatCode>
                <c:ptCount val="7"/>
                <c:pt idx="0">
                  <c:v>100</c:v>
                </c:pt>
                <c:pt idx="1">
                  <c:v>80.7106598984772</c:v>
                </c:pt>
                <c:pt idx="2">
                  <c:v>54.3147208121827</c:v>
                </c:pt>
                <c:pt idx="3">
                  <c:v>36.5482233502538</c:v>
                </c:pt>
                <c:pt idx="4">
                  <c:v>15.7360406091371</c:v>
                </c:pt>
                <c:pt idx="5">
                  <c:v>10.1522842639594</c:v>
                </c:pt>
                <c:pt idx="6">
                  <c:v>5.07614213197969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DATA'!$DZ$10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DATA'!$DX$11:$DX$17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'EXPAND CLONAL DATA'!$DZ$11:$DZ$17</c:f>
              <c:numCache>
                <c:formatCode>General</c:formatCode>
                <c:ptCount val="7"/>
                <c:pt idx="0">
                  <c:v>158</c:v>
                </c:pt>
                <c:pt idx="1">
                  <c:v>90.0889287961451</c:v>
                </c:pt>
                <c:pt idx="2">
                  <c:v>51.3671841242842</c:v>
                </c:pt>
                <c:pt idx="3">
                  <c:v>29.2886999558932</c:v>
                </c:pt>
                <c:pt idx="4">
                  <c:v>16.6999215497349</c:v>
                </c:pt>
                <c:pt idx="5">
                  <c:v>9.52201293288151</c:v>
                </c:pt>
                <c:pt idx="6">
                  <c:v>5.42929079181225</c:v>
                </c:pt>
              </c:numCache>
            </c:numRef>
          </c:yVal>
          <c:smooth val="0"/>
        </c:ser>
        <c:axId val="83724712"/>
        <c:axId val="6133694"/>
      </c:scatterChart>
      <c:valAx>
        <c:axId val="8372471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133694"/>
        <c:crosses val="autoZero"/>
        <c:crossBetween val="midCat"/>
      </c:valAx>
      <c:valAx>
        <c:axId val="613369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372471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DATA'!$DT$10</c:f>
              <c:strCache>
                <c:ptCount val="1"/>
                <c:pt idx="0">
                  <c:v>EXP D2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DATA'!$DS$11:$DS$13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'EXPAND CLONAL DATA'!$DT$11:$DT$13</c:f>
              <c:numCache>
                <c:formatCode>General</c:formatCode>
                <c:ptCount val="3"/>
                <c:pt idx="0">
                  <c:v>100</c:v>
                </c:pt>
                <c:pt idx="1">
                  <c:v>63.4285714285714</c:v>
                </c:pt>
                <c:pt idx="2">
                  <c:v>15.4285714285714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DATA'!$DU$10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DATA'!$DS$11:$DS$13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'EXPAND CLONAL DATA'!$DU$11:$DU$13</c:f>
              <c:numCache>
                <c:formatCode>General</c:formatCode>
                <c:ptCount val="3"/>
                <c:pt idx="0">
                  <c:v>163</c:v>
                </c:pt>
                <c:pt idx="1">
                  <c:v>58.1381669110058</c:v>
                </c:pt>
                <c:pt idx="2">
                  <c:v>20.7364812992146</c:v>
                </c:pt>
              </c:numCache>
            </c:numRef>
          </c:yVal>
          <c:smooth val="0"/>
        </c:ser>
        <c:axId val="32020031"/>
        <c:axId val="28972894"/>
      </c:scatterChart>
      <c:valAx>
        <c:axId val="3202003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8972894"/>
        <c:crosses val="autoZero"/>
        <c:crossBetween val="midCat"/>
      </c:valAx>
      <c:valAx>
        <c:axId val="2897289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02003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DATA'!$DU$1:$DU$5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</c:numCache>
            </c:numRef>
          </c:xVal>
          <c:yVal>
            <c:numRef>
              <c:f>'EXPAND CLONAL DATA'!$DV$1:$DV$5</c:f>
              <c:numCache>
                <c:formatCode>General</c:formatCode>
                <c:ptCount val="5"/>
                <c:pt idx="0">
                  <c:v>0.97</c:v>
                </c:pt>
                <c:pt idx="1">
                  <c:v>1.78</c:v>
                </c:pt>
                <c:pt idx="2">
                  <c:v>2.29</c:v>
                </c:pt>
                <c:pt idx="3">
                  <c:v>4</c:v>
                </c:pt>
                <c:pt idx="4">
                  <c:v>3.65</c:v>
                </c:pt>
              </c:numCache>
            </c:numRef>
          </c:yVal>
          <c:smooth val="0"/>
        </c:ser>
        <c:axId val="45862842"/>
        <c:axId val="78932337"/>
      </c:scatterChart>
      <c:valAx>
        <c:axId val="4586284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932337"/>
        <c:crosses val="autoZero"/>
        <c:crossBetween val="midCat"/>
      </c:valAx>
      <c:valAx>
        <c:axId val="7893233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86284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DATA'!$ES$10</c:f>
              <c:strCache>
                <c:ptCount val="1"/>
                <c:pt idx="0">
                  <c:v>CTRL D2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DATA'!$ER$11:$ER$13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'EXPAND CLONAL DATA'!$ES$11:$ES$13</c:f>
              <c:numCache>
                <c:formatCode>General</c:formatCode>
                <c:ptCount val="3"/>
                <c:pt idx="0">
                  <c:v>100</c:v>
                </c:pt>
                <c:pt idx="1">
                  <c:v>59.4285714285714</c:v>
                </c:pt>
                <c:pt idx="2">
                  <c:v>12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DATA'!$ET$10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DATA'!$ER$11:$ER$13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'EXPAND CLONAL DATA'!$ET$11:$ET$13</c:f>
              <c:numCache>
                <c:formatCode>General</c:formatCode>
                <c:ptCount val="3"/>
                <c:pt idx="0">
                  <c:v>183</c:v>
                </c:pt>
                <c:pt idx="1">
                  <c:v>55.6459869251245</c:v>
                </c:pt>
                <c:pt idx="2">
                  <c:v>16.9206331195144</c:v>
                </c:pt>
              </c:numCache>
            </c:numRef>
          </c:yVal>
          <c:smooth val="0"/>
        </c:ser>
        <c:axId val="33658383"/>
        <c:axId val="16624107"/>
      </c:scatterChart>
      <c:valAx>
        <c:axId val="3365838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6624107"/>
        <c:crosses val="autoZero"/>
        <c:crossBetween val="midCat"/>
      </c:valAx>
      <c:valAx>
        <c:axId val="1662410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65838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DATA'!$FC$10</c:f>
              <c:strCache>
                <c:ptCount val="1"/>
                <c:pt idx="0">
                  <c:v>CTRL D8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DATA'!$FB$11:$FB$17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'EXPAND CLONAL DATA'!$FC$11:$FC$17</c:f>
              <c:numCache>
                <c:formatCode>General</c:formatCode>
                <c:ptCount val="7"/>
                <c:pt idx="0">
                  <c:v>100</c:v>
                </c:pt>
                <c:pt idx="1">
                  <c:v>67.9245283018868</c:v>
                </c:pt>
                <c:pt idx="2">
                  <c:v>26.4150943396226</c:v>
                </c:pt>
                <c:pt idx="3">
                  <c:v>16.9811320754717</c:v>
                </c:pt>
                <c:pt idx="4">
                  <c:v>5.0314465408805</c:v>
                </c:pt>
                <c:pt idx="5">
                  <c:v>1.88679245283019</c:v>
                </c:pt>
                <c:pt idx="6">
                  <c:v>0.628930817610063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DATA'!$FD$10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DATA'!$FB$11:$FB$17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'EXPAND CLONAL DATA'!$FD$11:$FD$17</c:f>
              <c:numCache>
                <c:formatCode>General</c:formatCode>
                <c:ptCount val="7"/>
                <c:pt idx="0">
                  <c:v>178</c:v>
                </c:pt>
                <c:pt idx="1">
                  <c:v>68.6761926155841</c:v>
                </c:pt>
                <c:pt idx="2">
                  <c:v>26.4967383829933</c:v>
                </c:pt>
                <c:pt idx="3">
                  <c:v>10.2230062296359</c:v>
                </c:pt>
                <c:pt idx="4">
                  <c:v>3.9442536232404</c:v>
                </c:pt>
                <c:pt idx="5">
                  <c:v>1.52177708738412</c:v>
                </c:pt>
                <c:pt idx="6">
                  <c:v>0.587134024557158</c:v>
                </c:pt>
              </c:numCache>
            </c:numRef>
          </c:yVal>
          <c:smooth val="0"/>
        </c:ser>
        <c:axId val="57370226"/>
        <c:axId val="82526138"/>
      </c:scatterChart>
      <c:valAx>
        <c:axId val="5737022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2526138"/>
        <c:crosses val="autoZero"/>
        <c:crossBetween val="midCat"/>
      </c:valAx>
      <c:valAx>
        <c:axId val="8252613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737022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DATA'!$EX$10</c:f>
              <c:strCache>
                <c:ptCount val="1"/>
                <c:pt idx="0">
                  <c:v>CTRL D4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DATA'!$EW$11:$EW$14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'EXPAND CLONAL DATA'!$EX$11:$EX$14</c:f>
              <c:numCache>
                <c:formatCode>General</c:formatCode>
                <c:ptCount val="4"/>
                <c:pt idx="0">
                  <c:v>100</c:v>
                </c:pt>
                <c:pt idx="1">
                  <c:v>76.4705882352941</c:v>
                </c:pt>
                <c:pt idx="2">
                  <c:v>29.4117647058824</c:v>
                </c:pt>
                <c:pt idx="3">
                  <c:v>20.5882352941177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DATA'!$EY$10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DATA'!$EW$11:$EW$14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'EXPAND CLONAL DATA'!$EY$11:$EY$14</c:f>
              <c:numCache>
                <c:formatCode>General</c:formatCode>
                <c:ptCount val="4"/>
                <c:pt idx="0">
                  <c:v>245</c:v>
                </c:pt>
                <c:pt idx="1">
                  <c:v>81.6430839032748</c:v>
                </c:pt>
                <c:pt idx="2">
                  <c:v>27.2065026499477</c:v>
                </c:pt>
                <c:pt idx="3">
                  <c:v>9.06621542271162</c:v>
                </c:pt>
              </c:numCache>
            </c:numRef>
          </c:yVal>
          <c:smooth val="0"/>
        </c:ser>
        <c:axId val="90202869"/>
        <c:axId val="36820057"/>
      </c:scatterChart>
      <c:valAx>
        <c:axId val="9020286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820057"/>
        <c:crosses val="autoZero"/>
        <c:crossBetween val="midCat"/>
      </c:valAx>
      <c:valAx>
        <c:axId val="368200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020286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DATA'!$FH$10</c:f>
              <c:strCache>
                <c:ptCount val="1"/>
                <c:pt idx="0">
                  <c:v>CTRL D10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DATA'!$FG$11:$FG$15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'EXPAND CLONAL DATA'!$FH$11:$FH$15</c:f>
              <c:numCache>
                <c:formatCode>General</c:formatCode>
                <c:ptCount val="5"/>
                <c:pt idx="0">
                  <c:v>100</c:v>
                </c:pt>
                <c:pt idx="1">
                  <c:v>81.5068493150685</c:v>
                </c:pt>
                <c:pt idx="2">
                  <c:v>31.5068493150685</c:v>
                </c:pt>
                <c:pt idx="3">
                  <c:v>21.9178082191781</c:v>
                </c:pt>
                <c:pt idx="4">
                  <c:v>6.84931506849315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DATA'!$FI$10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DATA'!$FG$11:$FG$15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'EXPAND CLONAL DATA'!$FI$11:$FI$15</c:f>
              <c:numCache>
                <c:formatCode>General</c:formatCode>
                <c:ptCount val="5"/>
                <c:pt idx="0">
                  <c:v>186</c:v>
                </c:pt>
                <c:pt idx="1">
                  <c:v>81.3939049728374</c:v>
                </c:pt>
                <c:pt idx="2">
                  <c:v>35.6181062727273</c:v>
                </c:pt>
                <c:pt idx="3">
                  <c:v>15.5865417057784</c:v>
                </c:pt>
                <c:pt idx="4">
                  <c:v>6.82069620674891</c:v>
                </c:pt>
              </c:numCache>
            </c:numRef>
          </c:yVal>
          <c:smooth val="0"/>
        </c:ser>
        <c:axId val="96848580"/>
        <c:axId val="81124653"/>
      </c:scatterChart>
      <c:valAx>
        <c:axId val="9684858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124653"/>
        <c:crosses val="autoZero"/>
        <c:crossBetween val="midCat"/>
      </c:valAx>
      <c:valAx>
        <c:axId val="8112465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84858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DATA'!$ET$1:$ET$5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</c:numCache>
            </c:numRef>
          </c:xVal>
          <c:yVal>
            <c:numRef>
              <c:f>'EXPAND CLONAL DATA'!$EU$1:$EU$5</c:f>
              <c:numCache>
                <c:formatCode>General</c:formatCode>
                <c:ptCount val="5"/>
                <c:pt idx="0">
                  <c:v>0.84</c:v>
                </c:pt>
                <c:pt idx="1">
                  <c:v>0.91</c:v>
                </c:pt>
                <c:pt idx="2">
                  <c:v>1.05</c:v>
                </c:pt>
                <c:pt idx="3">
                  <c:v>1.21</c:v>
                </c:pt>
                <c:pt idx="4">
                  <c:v>1.5</c:v>
                </c:pt>
              </c:numCache>
            </c:numRef>
          </c:yVal>
          <c:smooth val="0"/>
        </c:ser>
        <c:axId val="97976236"/>
        <c:axId val="20248313"/>
      </c:scatterChart>
      <c:valAx>
        <c:axId val="9797623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0248313"/>
        <c:crosses val="autoZero"/>
        <c:crossBetween val="midCat"/>
      </c:valAx>
      <c:valAx>
        <c:axId val="202483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97623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DATA'!$GX$10</c:f>
              <c:strCache>
                <c:ptCount val="1"/>
                <c:pt idx="0">
                  <c:v>CTRL D4 B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DATA'!$GW$11:$GW$15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'EXPAND CLONAL DATA'!$GX$11:$GX$15</c:f>
              <c:numCache>
                <c:formatCode>General</c:formatCode>
                <c:ptCount val="5"/>
                <c:pt idx="0">
                  <c:v>0</c:v>
                </c:pt>
                <c:pt idx="1">
                  <c:v>23.5294117647059</c:v>
                </c:pt>
                <c:pt idx="2">
                  <c:v>47.0588235294118</c:v>
                </c:pt>
                <c:pt idx="3">
                  <c:v>8.82352941176471</c:v>
                </c:pt>
                <c:pt idx="4">
                  <c:v>18.3823529411765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DATA'!$GY$10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DATA'!$GW$11:$GW$15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'EXPAND CLONAL DATA'!$GY$11:$GY$15</c:f>
              <c:numCache>
                <c:formatCode>General</c:formatCode>
                <c:ptCount val="5"/>
                <c:pt idx="0">
                  <c:v>205.194339078364</c:v>
                </c:pt>
                <c:pt idx="1">
                  <c:v>32.9259498061934</c:v>
                </c:pt>
                <c:pt idx="2">
                  <c:v>45.0965618837812</c:v>
                </c:pt>
                <c:pt idx="3">
                  <c:v>7.23629676962097</c:v>
                </c:pt>
                <c:pt idx="4">
                  <c:v>9.91109161623137</c:v>
                </c:pt>
              </c:numCache>
            </c:numRef>
          </c:yVal>
          <c:smooth val="0"/>
        </c:ser>
        <c:axId val="48905193"/>
        <c:axId val="80094890"/>
      </c:scatterChart>
      <c:valAx>
        <c:axId val="4890519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0094890"/>
        <c:crosses val="autoZero"/>
        <c:crossBetween val="midCat"/>
      </c:valAx>
      <c:valAx>
        <c:axId val="800948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890519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DATA'!$CI$2</c:f>
              <c:strCache>
                <c:ptCount val="1"/>
                <c:pt idx="0">
                  <c:v>CTRL B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DATA'!$CH$3:$CH$8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DATA'!$CI$3:$CI$8</c:f>
              <c:numCache>
                <c:formatCode>General</c:formatCode>
                <c:ptCount val="6"/>
                <c:pt idx="0">
                  <c:v>1.53913043478261</c:v>
                </c:pt>
                <c:pt idx="1">
                  <c:v>1.74285714285714</c:v>
                </c:pt>
                <c:pt idx="2">
                  <c:v>2.28676470588235</c:v>
                </c:pt>
                <c:pt idx="3">
                  <c:v>2.19496855345912</c:v>
                </c:pt>
                <c:pt idx="4">
                  <c:v>2.43150684931507</c:v>
                </c:pt>
                <c:pt idx="5">
                  <c:v>2.73846153846154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DATA'!$CM$2</c:f>
              <c:strCache>
                <c:ptCount val="1"/>
                <c:pt idx="0">
                  <c:v>EXP B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DATA'!$CH$3:$CH$8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DATA'!$CM$3:$CM$8</c:f>
              <c:numCache>
                <c:formatCode>General</c:formatCode>
                <c:ptCount val="6"/>
                <c:pt idx="1">
                  <c:v>1.79220779220779</c:v>
                </c:pt>
                <c:pt idx="2">
                  <c:v>3.04568527918782</c:v>
                </c:pt>
                <c:pt idx="3">
                  <c:v>3.53768844221106</c:v>
                </c:pt>
                <c:pt idx="4">
                  <c:v>5.32484076433121</c:v>
                </c:pt>
                <c:pt idx="5">
                  <c:v>5.08040201005025</c:v>
                </c:pt>
              </c:numCache>
            </c:numRef>
          </c:yVal>
          <c:smooth val="0"/>
        </c:ser>
        <c:axId val="12185985"/>
        <c:axId val="38628631"/>
      </c:scatterChart>
      <c:valAx>
        <c:axId val="1218598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8628631"/>
        <c:crosses val="autoZero"/>
        <c:crossBetween val="midCat"/>
      </c:valAx>
      <c:valAx>
        <c:axId val="386286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218598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DATA'!$AI$60:$AI$65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DATA'!$AJ$60:$AJ$65</c:f>
              <c:numCache>
                <c:formatCode>General</c:formatCode>
                <c:ptCount val="6"/>
                <c:pt idx="0">
                  <c:v>0.48695652173913</c:v>
                </c:pt>
                <c:pt idx="1">
                  <c:v>0.365714285714286</c:v>
                </c:pt>
                <c:pt idx="2">
                  <c:v>0.154411764705882</c:v>
                </c:pt>
                <c:pt idx="3">
                  <c:v>0.150943396226415</c:v>
                </c:pt>
                <c:pt idx="4">
                  <c:v>0.0753424657534247</c:v>
                </c:pt>
                <c:pt idx="5">
                  <c:v>0.0512820512820513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DATA'!$AI$60:$AI$65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DATA'!$AK$60:$AK$65</c:f>
              <c:numCache>
                <c:formatCode>General</c:formatCode>
                <c:ptCount val="6"/>
                <c:pt idx="0">
                  <c:v>0.5</c:v>
                </c:pt>
                <c:pt idx="1">
                  <c:v>0.33516002301782</c:v>
                </c:pt>
                <c:pt idx="2">
                  <c:v>0.224664482058611</c:v>
                </c:pt>
                <c:pt idx="3">
                  <c:v>0.100948258997328</c:v>
                </c:pt>
                <c:pt idx="4">
                  <c:v>0.0676676416183064</c:v>
                </c:pt>
                <c:pt idx="5">
                  <c:v>0.030405031312609</c:v>
                </c:pt>
              </c:numCache>
            </c:numRef>
          </c:yVal>
          <c:smooth val="0"/>
        </c:ser>
        <c:axId val="6832322"/>
        <c:axId val="41614268"/>
      </c:scatterChart>
      <c:valAx>
        <c:axId val="683232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614268"/>
        <c:crosses val="autoZero"/>
        <c:crossBetween val="midCat"/>
      </c:valAx>
      <c:valAx>
        <c:axId val="416142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3232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DATA'!$DJ$10</c:f>
              <c:strCache>
                <c:ptCount val="1"/>
                <c:pt idx="0">
                  <c:v>CTRL D14 B</c:v>
                </c:pt>
              </c:strCache>
            </c:strRef>
          </c:tx>
          <c:spPr>
            <a:solidFill>
              <a:srgbClr val="4f81bd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DATA'!$DI$11:$DI$53</c:f>
              <c:numCache>
                <c:formatCode>General</c:formatCode>
                <c:ptCount val="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</c:numCache>
            </c:numRef>
          </c:xVal>
          <c:yVal>
            <c:numRef>
              <c:f>'EXPAND CLONAL DATA'!$DJ$11:$DJ$53</c:f>
              <c:numCache>
                <c:formatCode>General</c:formatCode>
                <c:ptCount val="43"/>
                <c:pt idx="0">
                  <c:v>100</c:v>
                </c:pt>
                <c:pt idx="1">
                  <c:v>81.025641025641</c:v>
                </c:pt>
                <c:pt idx="2">
                  <c:v>42.051282051282</c:v>
                </c:pt>
                <c:pt idx="3">
                  <c:v>29.2307692307692</c:v>
                </c:pt>
                <c:pt idx="4">
                  <c:v>9.74358974358974</c:v>
                </c:pt>
                <c:pt idx="5">
                  <c:v>7.17948717948717</c:v>
                </c:pt>
                <c:pt idx="6">
                  <c:v>2.56410256410256</c:v>
                </c:pt>
                <c:pt idx="7">
                  <c:v>2.05128205128205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DATA'!$DL$10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DATA'!$DI$11:$DI$53</c:f>
              <c:numCache>
                <c:formatCode>General</c:formatCode>
                <c:ptCount val="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</c:numCache>
            </c:numRef>
          </c:xVal>
          <c:yVal>
            <c:numRef>
              <c:f>'EXPAND CLONAL DATA'!$DL$11:$DL$53</c:f>
              <c:numCache>
                <c:formatCode>General</c:formatCode>
                <c:ptCount val="43"/>
                <c:pt idx="0">
                  <c:v>150</c:v>
                </c:pt>
                <c:pt idx="1">
                  <c:v>81.2181189115788</c:v>
                </c:pt>
                <c:pt idx="2">
                  <c:v>43.9758855969024</c:v>
                </c:pt>
                <c:pt idx="3">
                  <c:v>23.8109247043414</c:v>
                </c:pt>
                <c:pt idx="4">
                  <c:v>12.892523426879</c:v>
                </c:pt>
                <c:pt idx="5">
                  <c:v>6.98071000503048</c:v>
                </c:pt>
                <c:pt idx="6">
                  <c:v>3.77973423517209</c:v>
                </c:pt>
                <c:pt idx="7">
                  <c:v>2.04655269710915</c:v>
                </c:pt>
                <c:pt idx="8">
                  <c:v>1.10811440208416</c:v>
                </c:pt>
                <c:pt idx="9">
                  <c:v>0.599993115174027</c:v>
                </c:pt>
                <c:pt idx="10">
                  <c:v>0.324868747828885</c:v>
                </c:pt>
                <c:pt idx="11">
                  <c:v>0.175901523945481</c:v>
                </c:pt>
                <c:pt idx="12">
                  <c:v>0.0952426059235465</c:v>
                </c:pt>
                <c:pt idx="13">
                  <c:v>0.0515695019556482</c:v>
                </c:pt>
                <c:pt idx="14">
                  <c:v>0.0279225196136316</c:v>
                </c:pt>
                <c:pt idx="15">
                  <c:v>0.0151187634552721</c:v>
                </c:pt>
                <c:pt idx="16">
                  <c:v>0.00818611685404217</c:v>
                </c:pt>
                <c:pt idx="17">
                  <c:v>0.00443240674717118</c:v>
                </c:pt>
                <c:pt idx="18">
                  <c:v>0.00239994492170822</c:v>
                </c:pt>
                <c:pt idx="19">
                  <c:v>0.00129946008021692</c:v>
                </c:pt>
                <c:pt idx="20">
                  <c:v>0.00070359802210605</c:v>
                </c:pt>
                <c:pt idx="21">
                  <c:v>0.000380966052169072</c:v>
                </c:pt>
                <c:pt idx="22">
                  <c:v>0.000206275640842283</c:v>
                </c:pt>
                <c:pt idx="23">
                  <c:v>0.000111688796843271</c:v>
                </c:pt>
                <c:pt idx="24">
                  <c:v>6.04743598873864E-005</c:v>
                </c:pt>
                <c:pt idx="25">
                  <c:v>3.27440916829024E-005</c:v>
                </c:pt>
                <c:pt idx="26">
                  <c:v>1.77294235463574E-005</c:v>
                </c:pt>
                <c:pt idx="27">
                  <c:v>9.59966953214532E-006</c:v>
                </c:pt>
                <c:pt idx="28">
                  <c:v>5.1977806771576E-006</c:v>
                </c:pt>
                <c:pt idx="29">
                  <c:v>2.81435979409128E-006</c:v>
                </c:pt>
                <c:pt idx="30">
                  <c:v>1.52384672277648E-006</c:v>
                </c:pt>
                <c:pt idx="31">
                  <c:v>8.25093095556533E-007</c:v>
                </c:pt>
                <c:pt idx="32">
                  <c:v>4.46750060986888E-007</c:v>
                </c:pt>
                <c:pt idx="33">
                  <c:v>2.41894663846587E-007</c:v>
                </c:pt>
                <c:pt idx="34">
                  <c:v>1.3097486381579E-007</c:v>
                </c:pt>
                <c:pt idx="35">
                  <c:v>7.09168804254579E-008</c:v>
                </c:pt>
                <c:pt idx="36">
                  <c:v>3.83982375148871E-008</c:v>
                </c:pt>
                <c:pt idx="37">
                  <c:v>2.07908841365276E-008</c:v>
                </c:pt>
                <c:pt idx="38">
                  <c:v>1.12573100005157E-008</c:v>
                </c:pt>
                <c:pt idx="39">
                  <c:v>6.09531694830928E-009</c:v>
                </c:pt>
                <c:pt idx="40">
                  <c:v>3.3003345114103E-009</c:v>
                </c:pt>
                <c:pt idx="41">
                  <c:v>1.78697973863806E-009</c:v>
                </c:pt>
                <c:pt idx="42">
                  <c:v>9.67567552701922E-010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'EXPAND CLONAL DATA'!$DN$10</c:f>
              <c:strCache>
                <c:ptCount val="1"/>
                <c:pt idx="0">
                  <c:v>EXP D14 B</c:v>
                </c:pt>
              </c:strCache>
            </c:strRef>
          </c:tx>
          <c:spPr>
            <a:solidFill>
              <a:srgbClr val="9bbb59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DATA'!$DI$11:$DI$53</c:f>
              <c:numCache>
                <c:formatCode>General</c:formatCode>
                <c:ptCount val="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</c:numCache>
            </c:numRef>
          </c:xVal>
          <c:yVal>
            <c:numRef>
              <c:f>'EXPAND CLONAL DATA'!$DN$11:$DN$53</c:f>
              <c:numCache>
                <c:formatCode>General</c:formatCode>
                <c:ptCount val="43"/>
                <c:pt idx="0">
                  <c:v>100</c:v>
                </c:pt>
                <c:pt idx="1">
                  <c:v>93.4673366834171</c:v>
                </c:pt>
                <c:pt idx="2">
                  <c:v>63.8190954773869</c:v>
                </c:pt>
                <c:pt idx="3">
                  <c:v>59.2964824120603</c:v>
                </c:pt>
                <c:pt idx="4">
                  <c:v>35.678391959799</c:v>
                </c:pt>
                <c:pt idx="5">
                  <c:v>32.6633165829146</c:v>
                </c:pt>
                <c:pt idx="6">
                  <c:v>19.5979899497487</c:v>
                </c:pt>
                <c:pt idx="7">
                  <c:v>19.0954773869347</c:v>
                </c:pt>
                <c:pt idx="8">
                  <c:v>12.0603015075377</c:v>
                </c:pt>
                <c:pt idx="9">
                  <c:v>11.5577889447236</c:v>
                </c:pt>
                <c:pt idx="10">
                  <c:v>6.53266331658292</c:v>
                </c:pt>
                <c:pt idx="11">
                  <c:v>6.53266331658292</c:v>
                </c:pt>
                <c:pt idx="12">
                  <c:v>4.02010050251256</c:v>
                </c:pt>
                <c:pt idx="13">
                  <c:v>3.51758793969849</c:v>
                </c:pt>
                <c:pt idx="14">
                  <c:v>3.01507537688442</c:v>
                </c:pt>
                <c:pt idx="15">
                  <c:v>3.01507537688442</c:v>
                </c:pt>
                <c:pt idx="16">
                  <c:v>2.51256281407035</c:v>
                </c:pt>
                <c:pt idx="17">
                  <c:v>2.51256281407035</c:v>
                </c:pt>
                <c:pt idx="18">
                  <c:v>2.51256281407035</c:v>
                </c:pt>
                <c:pt idx="19">
                  <c:v>2.51256281407035</c:v>
                </c:pt>
                <c:pt idx="20">
                  <c:v>2.01005025125628</c:v>
                </c:pt>
                <c:pt idx="21">
                  <c:v>2.01005025125628</c:v>
                </c:pt>
                <c:pt idx="22">
                  <c:v>2.01005025125628</c:v>
                </c:pt>
                <c:pt idx="23">
                  <c:v>2.01005025125628</c:v>
                </c:pt>
                <c:pt idx="24">
                  <c:v>1.50753768844221</c:v>
                </c:pt>
                <c:pt idx="25">
                  <c:v>1.50753768844221</c:v>
                </c:pt>
                <c:pt idx="26">
                  <c:v>1.50753768844221</c:v>
                </c:pt>
                <c:pt idx="27">
                  <c:v>1.50753768844221</c:v>
                </c:pt>
                <c:pt idx="28">
                  <c:v>1.50753768844221</c:v>
                </c:pt>
                <c:pt idx="29">
                  <c:v>1.50753768844221</c:v>
                </c:pt>
                <c:pt idx="30">
                  <c:v>0.502512562814072</c:v>
                </c:pt>
                <c:pt idx="31">
                  <c:v>0.502512562814072</c:v>
                </c:pt>
                <c:pt idx="32">
                  <c:v>0.502512562814072</c:v>
                </c:pt>
                <c:pt idx="33">
                  <c:v>0.502512562814072</c:v>
                </c:pt>
                <c:pt idx="34">
                  <c:v>0.502512562814072</c:v>
                </c:pt>
                <c:pt idx="35">
                  <c:v>0.502512562814072</c:v>
                </c:pt>
                <c:pt idx="36">
                  <c:v>0.502512562814072</c:v>
                </c:pt>
                <c:pt idx="37">
                  <c:v>0.502512562814072</c:v>
                </c:pt>
                <c:pt idx="38">
                  <c:v>0.502512562814072</c:v>
                </c:pt>
                <c:pt idx="39">
                  <c:v>0.502512562814072</c:v>
                </c:pt>
                <c:pt idx="40">
                  <c:v>0.502512562814072</c:v>
                </c:pt>
                <c:pt idx="41">
                  <c:v>0.502512562814072</c:v>
                </c:pt>
                <c:pt idx="42">
                  <c:v>0.502512562814072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'EXPAND CLONAL DATA'!$DP$10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8064a2"/>
            </a:solidFill>
            <a:ln w="19080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DATA'!$DI$11:$DI$53</c:f>
              <c:numCache>
                <c:formatCode>General</c:formatCode>
                <c:ptCount val="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</c:numCache>
            </c:numRef>
          </c:xVal>
          <c:yVal>
            <c:numRef>
              <c:f>'EXPAND CLONAL DATA'!$DP$11:$DP$53</c:f>
              <c:numCache>
                <c:formatCode>General</c:formatCode>
                <c:ptCount val="43"/>
                <c:pt idx="0">
                  <c:v>122</c:v>
                </c:pt>
                <c:pt idx="1">
                  <c:v>91.9031151311694</c:v>
                </c:pt>
                <c:pt idx="2">
                  <c:v>69.2310046787948</c:v>
                </c:pt>
                <c:pt idx="3">
                  <c:v>52.152008144605</c:v>
                </c:pt>
                <c:pt idx="4">
                  <c:v>39.2863279412731</c:v>
                </c:pt>
                <c:pt idx="5">
                  <c:v>29.594556720227</c:v>
                </c:pt>
                <c:pt idx="6">
                  <c:v>22.2937045370078</c:v>
                </c:pt>
                <c:pt idx="7">
                  <c:v>16.793941760368</c:v>
                </c:pt>
                <c:pt idx="8">
                  <c:v>12.6509472386004</c:v>
                </c:pt>
                <c:pt idx="9">
                  <c:v>9.53001197202824</c:v>
                </c:pt>
                <c:pt idx="10">
                  <c:v>7.17899825792405</c:v>
                </c:pt>
                <c:pt idx="11">
                  <c:v>5.40796970020048</c:v>
                </c:pt>
                <c:pt idx="12">
                  <c:v>4.0738464097</c:v>
                </c:pt>
                <c:pt idx="13">
                  <c:v>3.06884570178164</c:v>
                </c:pt>
                <c:pt idx="14">
                  <c:v>2.31177442500518</c:v>
                </c:pt>
                <c:pt idx="15">
                  <c:v>1.74146943556184</c:v>
                </c:pt>
                <c:pt idx="16">
                  <c:v>1.311856278966</c:v>
                </c:pt>
                <c:pt idx="17">
                  <c:v>0.988226874109507</c:v>
                </c:pt>
                <c:pt idx="18">
                  <c:v>0.744435476942636</c:v>
                </c:pt>
                <c:pt idx="19">
                  <c:v>0.560786388075296</c:v>
                </c:pt>
                <c:pt idx="20">
                  <c:v>0.42244275399407</c:v>
                </c:pt>
                <c:pt idx="21">
                  <c:v>0.318227910300371</c:v>
                </c:pt>
                <c:pt idx="22">
                  <c:v>0.239722428510544</c:v>
                </c:pt>
                <c:pt idx="23">
                  <c:v>0.180583917597771</c:v>
                </c:pt>
                <c:pt idx="24">
                  <c:v>0.136034627621521</c:v>
                </c:pt>
                <c:pt idx="25">
                  <c:v>0.102475459378085</c:v>
                </c:pt>
                <c:pt idx="26">
                  <c:v>0.0771951962405217</c:v>
                </c:pt>
                <c:pt idx="27">
                  <c:v>0.0581514672759498</c:v>
                </c:pt>
                <c:pt idx="28">
                  <c:v>0.0438057458369512</c:v>
                </c:pt>
                <c:pt idx="29">
                  <c:v>0.032999053303771</c:v>
                </c:pt>
                <c:pt idx="30">
                  <c:v>0.0248583261884923</c:v>
                </c:pt>
                <c:pt idx="31">
                  <c:v>0.0187258820792555</c:v>
                </c:pt>
                <c:pt idx="32">
                  <c:v>0.0141062860382174</c:v>
                </c:pt>
                <c:pt idx="33">
                  <c:v>0.0106263248347828</c:v>
                </c:pt>
                <c:pt idx="34">
                  <c:v>0.00800485536649384</c:v>
                </c:pt>
                <c:pt idx="35">
                  <c:v>0.00603009134717411</c:v>
                </c:pt>
                <c:pt idx="36">
                  <c:v>0.00454249327320337</c:v>
                </c:pt>
                <c:pt idx="37">
                  <c:v>0.00342187936286698</c:v>
                </c:pt>
                <c:pt idx="38">
                  <c:v>0.00257771617254538</c:v>
                </c:pt>
                <c:pt idx="39">
                  <c:v>0.00194180447689275</c:v>
                </c:pt>
                <c:pt idx="40">
                  <c:v>0.00146276951149258</c:v>
                </c:pt>
                <c:pt idx="41">
                  <c:v>0.00110191044938579</c:v>
                </c:pt>
                <c:pt idx="42">
                  <c:v>0.000830073794214271</c:v>
                </c:pt>
              </c:numCache>
            </c:numRef>
          </c:yVal>
          <c:smooth val="0"/>
        </c:ser>
        <c:axId val="77868808"/>
        <c:axId val="52513727"/>
      </c:scatterChart>
      <c:valAx>
        <c:axId val="7786880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2513727"/>
        <c:crosses val="autoZero"/>
        <c:crossBetween val="midCat"/>
      </c:valAx>
      <c:valAx>
        <c:axId val="525137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86880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DATA'!$DA$10</c:f>
              <c:strCache>
                <c:ptCount val="1"/>
                <c:pt idx="0">
                  <c:v>CTRL D10 B</c:v>
                </c:pt>
              </c:strCache>
            </c:strRef>
          </c:tx>
          <c:spPr>
            <a:solidFill>
              <a:srgbClr val="4f81bd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DATA'!$CZ$11:$CZ$43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'EXPAND CLONAL DATA'!$DA$11:$DA$43</c:f>
              <c:numCache>
                <c:formatCode>General</c:formatCode>
                <c:ptCount val="33"/>
                <c:pt idx="0">
                  <c:v>100</c:v>
                </c:pt>
                <c:pt idx="1">
                  <c:v>81.5068493150685</c:v>
                </c:pt>
                <c:pt idx="2">
                  <c:v>31.5068493150685</c:v>
                </c:pt>
                <c:pt idx="3">
                  <c:v>21.9178082191781</c:v>
                </c:pt>
                <c:pt idx="4">
                  <c:v>6.84931506849315</c:v>
                </c:pt>
                <c:pt idx="5">
                  <c:v>1.36986301369863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DATA'!$DC$10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DATA'!$CZ$11:$CZ$43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'EXPAND CLONAL DATA'!$DC$11:$DC$43</c:f>
              <c:numCache>
                <c:formatCode>General</c:formatCode>
                <c:ptCount val="33"/>
                <c:pt idx="0">
                  <c:v>160</c:v>
                </c:pt>
                <c:pt idx="1">
                  <c:v>77.1110667540346</c:v>
                </c:pt>
                <c:pt idx="2">
                  <c:v>37.1632288496574</c:v>
                </c:pt>
                <c:pt idx="3">
                  <c:v>17.9106013788837</c:v>
                </c:pt>
                <c:pt idx="4">
                  <c:v>8.63190986582503</c:v>
                </c:pt>
                <c:pt idx="5">
                  <c:v>4.16009861174027</c:v>
                </c:pt>
                <c:pt idx="6">
                  <c:v>2.00493526095794</c:v>
                </c:pt>
                <c:pt idx="7">
                  <c:v>0.966266854657785</c:v>
                </c:pt>
                <c:pt idx="8">
                  <c:v>0.465686674573297</c:v>
                </c:pt>
                <c:pt idx="9">
                  <c:v>0.224434976559287</c:v>
                </c:pt>
                <c:pt idx="10">
                  <c:v>0.108165127871271</c:v>
                </c:pt>
                <c:pt idx="11">
                  <c:v>0.0521295524733766</c:v>
                </c:pt>
                <c:pt idx="12">
                  <c:v>0.0251235337539531</c:v>
                </c:pt>
                <c:pt idx="13">
                  <c:v>0.0121081405524895</c:v>
                </c:pt>
                <c:pt idx="14">
                  <c:v>0.00583544771506406</c:v>
                </c:pt>
                <c:pt idx="15">
                  <c:v>0.00281235998934989</c:v>
                </c:pt>
                <c:pt idx="16">
                  <c:v>0.0013554004929696</c:v>
                </c:pt>
                <c:pt idx="17">
                  <c:v>0.000653227361823938</c:v>
                </c:pt>
                <c:pt idx="18">
                  <c:v>0.000314819116894797</c:v>
                </c:pt>
                <c:pt idx="19">
                  <c:v>0.000151725237114506</c:v>
                </c:pt>
                <c:pt idx="20">
                  <c:v>7.31230930463025E-005</c:v>
                </c:pt>
                <c:pt idx="21">
                  <c:v>3.52412481822182E-005</c:v>
                </c:pt>
                <c:pt idx="22">
                  <c:v>1.69843140067158E-005</c:v>
                </c:pt>
                <c:pt idx="23">
                  <c:v>8.18549106964591E-006</c:v>
                </c:pt>
                <c:pt idx="24">
                  <c:v>3.94494967678762E-006</c:v>
                </c:pt>
                <c:pt idx="25">
                  <c:v>1.90124548667549E-006</c:v>
                </c:pt>
                <c:pt idx="26">
                  <c:v>9.16294172742753E-007</c:v>
                </c:pt>
                <c:pt idx="27">
                  <c:v>4.41602632004371E-007</c:v>
                </c:pt>
                <c:pt idx="28">
                  <c:v>2.1282781272029E-007</c:v>
                </c:pt>
                <c:pt idx="29">
                  <c:v>1.02571122961184E-007</c:v>
                </c:pt>
                <c:pt idx="30">
                  <c:v>4.94335544356009E-008</c:v>
                </c:pt>
                <c:pt idx="31">
                  <c:v>2.38242132248301E-008</c:v>
                </c:pt>
                <c:pt idx="32">
                  <c:v>1.14819406021389E-008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'EXPAND CLONAL DATA'!$DE$10</c:f>
              <c:strCache>
                <c:ptCount val="1"/>
                <c:pt idx="0">
                  <c:v>EXP D10 B</c:v>
                </c:pt>
              </c:strCache>
            </c:strRef>
          </c:tx>
          <c:spPr>
            <a:solidFill>
              <a:srgbClr val="9bbb59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DATA'!$CZ$11:$CZ$43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'EXPAND CLONAL DATA'!$DE$11:$DE$43</c:f>
              <c:numCache>
                <c:formatCode>General</c:formatCode>
                <c:ptCount val="33"/>
                <c:pt idx="0">
                  <c:v>100</c:v>
                </c:pt>
                <c:pt idx="1">
                  <c:v>92.9936305732484</c:v>
                </c:pt>
                <c:pt idx="2">
                  <c:v>70.7006369426752</c:v>
                </c:pt>
                <c:pt idx="3">
                  <c:v>63.0573248407643</c:v>
                </c:pt>
                <c:pt idx="4">
                  <c:v>44.5859872611465</c:v>
                </c:pt>
                <c:pt idx="5">
                  <c:v>38.8535031847134</c:v>
                </c:pt>
                <c:pt idx="6">
                  <c:v>19.7452229299363</c:v>
                </c:pt>
                <c:pt idx="7">
                  <c:v>18.4713375796178</c:v>
                </c:pt>
                <c:pt idx="8">
                  <c:v>13.3757961783439</c:v>
                </c:pt>
                <c:pt idx="9">
                  <c:v>12.1019108280255</c:v>
                </c:pt>
                <c:pt idx="10">
                  <c:v>10.1910828025478</c:v>
                </c:pt>
                <c:pt idx="11">
                  <c:v>10.1910828025478</c:v>
                </c:pt>
                <c:pt idx="12">
                  <c:v>7.00636942675159</c:v>
                </c:pt>
                <c:pt idx="13">
                  <c:v>5.73248407643312</c:v>
                </c:pt>
                <c:pt idx="14">
                  <c:v>3.82165605095541</c:v>
                </c:pt>
                <c:pt idx="15">
                  <c:v>3.82165605095541</c:v>
                </c:pt>
                <c:pt idx="16">
                  <c:v>2.54777070063694</c:v>
                </c:pt>
                <c:pt idx="17">
                  <c:v>2.54777070063694</c:v>
                </c:pt>
                <c:pt idx="18">
                  <c:v>1.9108280254777</c:v>
                </c:pt>
                <c:pt idx="19">
                  <c:v>1.9108280254777</c:v>
                </c:pt>
                <c:pt idx="20">
                  <c:v>0.636942675159231</c:v>
                </c:pt>
                <c:pt idx="21">
                  <c:v>0.636942675159231</c:v>
                </c:pt>
                <c:pt idx="22">
                  <c:v>0.636942675159231</c:v>
                </c:pt>
                <c:pt idx="23">
                  <c:v>0.636942675159231</c:v>
                </c:pt>
                <c:pt idx="24">
                  <c:v>0.636942675159231</c:v>
                </c:pt>
                <c:pt idx="25">
                  <c:v>0.636942675159231</c:v>
                </c:pt>
                <c:pt idx="26">
                  <c:v>0.636942675159231</c:v>
                </c:pt>
                <c:pt idx="27">
                  <c:v>0.636942675159231</c:v>
                </c:pt>
                <c:pt idx="28">
                  <c:v>0.636942675159231</c:v>
                </c:pt>
                <c:pt idx="29">
                  <c:v>0.636942675159231</c:v>
                </c:pt>
                <c:pt idx="30">
                  <c:v>0.636942675159231</c:v>
                </c:pt>
                <c:pt idx="31">
                  <c:v>0.636942675159231</c:v>
                </c:pt>
                <c:pt idx="32">
                  <c:v>0.636942675159231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'EXPAND CLONAL DATA'!$DG$10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8064a2"/>
            </a:solidFill>
            <a:ln w="19080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DATA'!$CZ$11:$CZ$43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'EXPAND CLONAL DATA'!$DG$11:$DG$43</c:f>
              <c:numCache>
                <c:formatCode>General</c:formatCode>
                <c:ptCount val="33"/>
                <c:pt idx="0">
                  <c:v>120.5</c:v>
                </c:pt>
                <c:pt idx="1">
                  <c:v>93.8454943601043</c:v>
                </c:pt>
                <c:pt idx="2">
                  <c:v>73.0869444953723</c:v>
                </c:pt>
                <c:pt idx="3">
                  <c:v>56.9201696052923</c:v>
                </c:pt>
                <c:pt idx="4">
                  <c:v>44.3294726611588</c:v>
                </c:pt>
                <c:pt idx="5">
                  <c:v>34.5238280216529</c:v>
                </c:pt>
                <c:pt idx="6">
                  <c:v>26.8871842978858</c:v>
                </c:pt>
                <c:pt idx="7">
                  <c:v>20.9397601857786</c:v>
                </c:pt>
                <c:pt idx="8">
                  <c:v>16.3079016300118</c:v>
                </c:pt>
                <c:pt idx="9">
                  <c:v>12.7006065597047</c:v>
                </c:pt>
                <c:pt idx="10">
                  <c:v>9.89124233417981</c:v>
                </c:pt>
                <c:pt idx="11">
                  <c:v>7.70330727540826</c:v>
                </c:pt>
                <c:pt idx="12">
                  <c:v>5.99934173832761</c:v>
                </c:pt>
                <c:pt idx="13">
                  <c:v>4.6722920437225</c:v>
                </c:pt>
                <c:pt idx="14">
                  <c:v>3.63878470238938</c:v>
                </c:pt>
                <c:pt idx="15">
                  <c:v>2.8338883756491</c:v>
                </c:pt>
                <c:pt idx="16">
                  <c:v>2.20703448609247</c:v>
                </c:pt>
                <c:pt idx="17">
                  <c:v>1.71884018603441</c:v>
                </c:pt>
                <c:pt idx="18">
                  <c:v>1.3386340828582</c:v>
                </c:pt>
                <c:pt idx="19">
                  <c:v>1.04252927197604</c:v>
                </c:pt>
                <c:pt idx="20">
                  <c:v>0.811922613389799</c:v>
                </c:pt>
                <c:pt idx="21">
                  <c:v>0.632325967101357</c:v>
                </c:pt>
                <c:pt idx="22">
                  <c:v>0.49245595833492</c:v>
                </c:pt>
                <c:pt idx="23">
                  <c:v>0.383525085979415</c:v>
                </c:pt>
                <c:pt idx="24">
                  <c:v>0.298689637288296</c:v>
                </c:pt>
                <c:pt idx="25">
                  <c:v>0.232619723415439</c:v>
                </c:pt>
                <c:pt idx="26">
                  <c:v>0.181164422753797</c:v>
                </c:pt>
                <c:pt idx="27">
                  <c:v>0.141090994305337</c:v>
                </c:pt>
                <c:pt idx="28">
                  <c:v>0.109881776849319</c:v>
                </c:pt>
                <c:pt idx="29">
                  <c:v>0.0855760138555272</c:v>
                </c:pt>
                <c:pt idx="30">
                  <c:v>0.066646666602814</c:v>
                </c:pt>
                <c:pt idx="31">
                  <c:v>0.0519044761393703</c:v>
                </c:pt>
                <c:pt idx="32">
                  <c:v>0.0404232466622527</c:v>
                </c:pt>
              </c:numCache>
            </c:numRef>
          </c:yVal>
          <c:smooth val="0"/>
        </c:ser>
        <c:axId val="44955196"/>
        <c:axId val="399965"/>
      </c:scatterChart>
      <c:valAx>
        <c:axId val="4495519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99965"/>
        <c:crosses val="autoZero"/>
        <c:crossBetween val="midCat"/>
      </c:valAx>
      <c:valAx>
        <c:axId val="39996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495519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DATA'!$CR$10</c:f>
              <c:strCache>
                <c:ptCount val="1"/>
                <c:pt idx="0">
                  <c:v>CTRL D8 B</c:v>
                </c:pt>
              </c:strCache>
            </c:strRef>
          </c:tx>
          <c:spPr>
            <a:solidFill>
              <a:srgbClr val="4f81bd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DATA'!$CQ$11:$CQ$21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'EXPAND CLONAL DATA'!$CR$11:$CR$21</c:f>
              <c:numCache>
                <c:formatCode>General</c:formatCode>
                <c:ptCount val="11"/>
                <c:pt idx="0">
                  <c:v>100</c:v>
                </c:pt>
                <c:pt idx="1">
                  <c:v>67.9245283018868</c:v>
                </c:pt>
                <c:pt idx="2">
                  <c:v>26.4150943396226</c:v>
                </c:pt>
                <c:pt idx="3">
                  <c:v>16.9811320754717</c:v>
                </c:pt>
                <c:pt idx="4">
                  <c:v>5.0314465408805</c:v>
                </c:pt>
                <c:pt idx="5">
                  <c:v>1.88679245283019</c:v>
                </c:pt>
                <c:pt idx="6">
                  <c:v>0.628930817610063</c:v>
                </c:pt>
                <c:pt idx="7">
                  <c:v>0.628930817610063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DATA'!$CT$10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DATA'!$CQ$11:$CQ$21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'EXPAND CLONAL DATA'!$CT$11:$CT$21</c:f>
              <c:numCache>
                <c:formatCode>General</c:formatCode>
                <c:ptCount val="11"/>
                <c:pt idx="0">
                  <c:v>147</c:v>
                </c:pt>
                <c:pt idx="1">
                  <c:v>66.888764743426</c:v>
                </c:pt>
                <c:pt idx="2">
                  <c:v>30.4361010129346</c:v>
                </c:pt>
                <c:pt idx="3">
                  <c:v>13.8492054446349</c:v>
                </c:pt>
                <c:pt idx="4">
                  <c:v>6.30174316237795</c:v>
                </c:pt>
                <c:pt idx="5">
                  <c:v>2.86745452967205</c:v>
                </c:pt>
                <c:pt idx="6">
                  <c:v>1.30476524794357</c:v>
                </c:pt>
                <c:pt idx="7">
                  <c:v>0.593701603504051</c:v>
                </c:pt>
                <c:pt idx="8">
                  <c:v>0.270149434588961</c:v>
                </c:pt>
                <c:pt idx="9">
                  <c:v>0.122924911399936</c:v>
                </c:pt>
                <c:pt idx="10">
                  <c:v>0.0559339828553523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'EXPAND CLONAL DATA'!$CV$10</c:f>
              <c:strCache>
                <c:ptCount val="1"/>
                <c:pt idx="0">
                  <c:v>EXP D8 B</c:v>
                </c:pt>
              </c:strCache>
            </c:strRef>
          </c:tx>
          <c:spPr>
            <a:solidFill>
              <a:srgbClr val="9bbb59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DATA'!$CQ$11:$CQ$21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'EXPAND CLONAL DATA'!$CV$11:$CV$21</c:f>
              <c:numCache>
                <c:formatCode>General</c:formatCode>
                <c:ptCount val="11"/>
                <c:pt idx="0">
                  <c:v>99.4974874371859</c:v>
                </c:pt>
                <c:pt idx="1">
                  <c:v>87.4371859296482</c:v>
                </c:pt>
                <c:pt idx="2">
                  <c:v>60.8040201005025</c:v>
                </c:pt>
                <c:pt idx="3">
                  <c:v>43.7185929648241</c:v>
                </c:pt>
                <c:pt idx="4">
                  <c:v>24.6231155778895</c:v>
                </c:pt>
                <c:pt idx="5">
                  <c:v>16.5829145728643</c:v>
                </c:pt>
                <c:pt idx="6">
                  <c:v>8.04020100502513</c:v>
                </c:pt>
                <c:pt idx="7">
                  <c:v>5.52763819095478</c:v>
                </c:pt>
                <c:pt idx="8">
                  <c:v>3.5175879396985</c:v>
                </c:pt>
                <c:pt idx="9">
                  <c:v>2.51256281407036</c:v>
                </c:pt>
                <c:pt idx="10">
                  <c:v>1.00502512562815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'EXPAND CLONAL DATA'!$CX$10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8064a2"/>
            </a:solidFill>
            <a:ln w="19080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DATA'!$CQ$11:$CQ$21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'EXPAND CLONAL DATA'!$CX$11:$CX$21</c:f>
              <c:numCache>
                <c:formatCode>General</c:formatCode>
                <c:ptCount val="11"/>
                <c:pt idx="0">
                  <c:v>134.8</c:v>
                </c:pt>
                <c:pt idx="1">
                  <c:v>89.1721755815357</c:v>
                </c:pt>
                <c:pt idx="2">
                  <c:v>58.9887010233252</c:v>
                </c:pt>
                <c:pt idx="3">
                  <c:v>39.0218902446489</c:v>
                </c:pt>
                <c:pt idx="4">
                  <c:v>25.8135522879766</c:v>
                </c:pt>
                <c:pt idx="5">
                  <c:v>17.076043152868</c:v>
                </c:pt>
                <c:pt idx="6">
                  <c:v>11.2960528061233</c:v>
                </c:pt>
                <c:pt idx="7">
                  <c:v>7.47250448223981</c:v>
                </c:pt>
                <c:pt idx="8">
                  <c:v>4.94317122940728</c:v>
                </c:pt>
                <c:pt idx="9">
                  <c:v>3.26998021363725</c:v>
                </c:pt>
                <c:pt idx="10">
                  <c:v>2.16313983500451</c:v>
                </c:pt>
              </c:numCache>
            </c:numRef>
          </c:yVal>
          <c:smooth val="0"/>
        </c:ser>
        <c:axId val="68777288"/>
        <c:axId val="25465602"/>
      </c:scatterChart>
      <c:valAx>
        <c:axId val="6877728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5465602"/>
        <c:crosses val="autoZero"/>
        <c:crossBetween val="midCat"/>
      </c:valAx>
      <c:valAx>
        <c:axId val="254656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77728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DATA'!$CV$1</c:f>
              <c:strCache>
                <c:ptCount val="1"/>
                <c:pt idx="0">
                  <c:v>CTRL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DATA'!$CU$2:$CU$6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</c:numCache>
            </c:numRef>
          </c:xVal>
          <c:yVal>
            <c:numRef>
              <c:f>'EXPAND CLONAL DATA'!$CV$2:$CV$6</c:f>
              <c:numCache>
                <c:formatCode>General</c:formatCode>
                <c:ptCount val="5"/>
                <c:pt idx="0">
                  <c:v>0.77</c:v>
                </c:pt>
                <c:pt idx="1">
                  <c:v>1.17</c:v>
                </c:pt>
                <c:pt idx="2">
                  <c:v>1.27</c:v>
                </c:pt>
                <c:pt idx="3">
                  <c:v>1.37</c:v>
                </c:pt>
                <c:pt idx="4">
                  <c:v>1.63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DATA'!$CW$1</c:f>
              <c:strCache>
                <c:ptCount val="1"/>
                <c:pt idx="0">
                  <c:v>EXP B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DATA'!$CU$2:$CU$6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</c:numCache>
            </c:numRef>
          </c:xVal>
          <c:yVal>
            <c:numRef>
              <c:f>'EXPAND CLONAL DATA'!$CW$2:$CW$6</c:f>
              <c:numCache>
                <c:formatCode>General</c:formatCode>
                <c:ptCount val="5"/>
                <c:pt idx="0">
                  <c:v>0.79</c:v>
                </c:pt>
                <c:pt idx="1">
                  <c:v>2.08</c:v>
                </c:pt>
                <c:pt idx="2">
                  <c:v>2.42</c:v>
                </c:pt>
                <c:pt idx="3">
                  <c:v>4</c:v>
                </c:pt>
                <c:pt idx="4">
                  <c:v>3.53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'EXPAND CLONAL DATA'!$CZ$1</c:f>
              <c:strCache>
                <c:ptCount val="1"/>
                <c:pt idx="0">
                  <c:v>0.045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DATA'!$CU$2:$CU$6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</c:numCache>
            </c:numRef>
          </c:xVal>
          <c:yVal>
            <c:numRef>
              <c:f>'EXPAND CLONAL DATA'!$CZ$2:$CZ$6</c:f>
              <c:numCache>
                <c:formatCode>General</c:formatCode>
                <c:ptCount val="5"/>
                <c:pt idx="0">
                  <c:v>1.09</c:v>
                </c:pt>
                <c:pt idx="1">
                  <c:v>1.18</c:v>
                </c:pt>
                <c:pt idx="2">
                  <c:v>1.36</c:v>
                </c:pt>
                <c:pt idx="3">
                  <c:v>1.45</c:v>
                </c:pt>
                <c:pt idx="4">
                  <c:v>1.63</c:v>
                </c:pt>
              </c:numCache>
            </c:numRef>
          </c:yVal>
          <c:smooth val="0"/>
        </c:ser>
        <c:axId val="74913730"/>
        <c:axId val="30995861"/>
      </c:scatterChart>
      <c:valAx>
        <c:axId val="7491373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995861"/>
        <c:crosses val="autoZero"/>
        <c:crossBetween val="midCat"/>
      </c:valAx>
      <c:valAx>
        <c:axId val="309958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91373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DATA'!$CI$10</c:f>
              <c:strCache>
                <c:ptCount val="1"/>
                <c:pt idx="0">
                  <c:v>CTRL D4 B</c:v>
                </c:pt>
              </c:strCache>
            </c:strRef>
          </c:tx>
          <c:spPr>
            <a:solidFill>
              <a:srgbClr val="4f81bd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DATA'!$CH$11:$CH$17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'EXPAND CLONAL DATA'!$CI$11:$CI$17</c:f>
              <c:numCache>
                <c:formatCode>General</c:formatCode>
                <c:ptCount val="7"/>
                <c:pt idx="0">
                  <c:v>100</c:v>
                </c:pt>
                <c:pt idx="1">
                  <c:v>76.4705882352941</c:v>
                </c:pt>
                <c:pt idx="2">
                  <c:v>29.4117647058824</c:v>
                </c:pt>
                <c:pt idx="3">
                  <c:v>20.5882352941177</c:v>
                </c:pt>
                <c:pt idx="4">
                  <c:v>2.20588235294118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DATA'!$CK$10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DATA'!$CH$11:$CH$17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'EXPAND CLONAL DATA'!$CK$11:$CK$17</c:f>
              <c:numCache>
                <c:formatCode>General</c:formatCode>
                <c:ptCount val="7"/>
                <c:pt idx="0">
                  <c:v>178</c:v>
                </c:pt>
                <c:pt idx="1">
                  <c:v>75.7230568213186</c:v>
                </c:pt>
                <c:pt idx="2">
                  <c:v>32.2133782829474</c:v>
                </c:pt>
                <c:pt idx="3">
                  <c:v>13.7039071580127</c:v>
                </c:pt>
                <c:pt idx="4">
                  <c:v>5.82978505842848</c:v>
                </c:pt>
                <c:pt idx="5">
                  <c:v>2.48005137772727</c:v>
                </c:pt>
                <c:pt idx="6">
                  <c:v>1.05503972694063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'EXPAND CLONAL DATA'!$CM$10</c:f>
              <c:strCache>
                <c:ptCount val="1"/>
                <c:pt idx="0">
                  <c:v>EXP D4 B</c:v>
                </c:pt>
              </c:strCache>
            </c:strRef>
          </c:tx>
          <c:spPr>
            <a:solidFill>
              <a:srgbClr val="9bbb59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DATA'!$CH$11:$CH$17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'EXPAND CLONAL DATA'!$CM$11:$CM$17</c:f>
              <c:numCache>
                <c:formatCode>General</c:formatCode>
                <c:ptCount val="7"/>
                <c:pt idx="0">
                  <c:v>100</c:v>
                </c:pt>
                <c:pt idx="1">
                  <c:v>80.7106598984772</c:v>
                </c:pt>
                <c:pt idx="2">
                  <c:v>54.3147208121827</c:v>
                </c:pt>
                <c:pt idx="3">
                  <c:v>36.5482233502538</c:v>
                </c:pt>
                <c:pt idx="4">
                  <c:v>15.7360406091371</c:v>
                </c:pt>
                <c:pt idx="5">
                  <c:v>10.1522842639594</c:v>
                </c:pt>
                <c:pt idx="6">
                  <c:v>5.07614213197969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'EXPAND CLONAL DATA'!$CO$10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8064a2"/>
            </a:solidFill>
            <a:ln w="19080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DATA'!$CH$11:$CH$17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'EXPAND CLONAL DATA'!$CO$11:$CO$17</c:f>
              <c:numCache>
                <c:formatCode>General</c:formatCode>
                <c:ptCount val="7"/>
                <c:pt idx="0">
                  <c:v>133</c:v>
                </c:pt>
                <c:pt idx="1">
                  <c:v>82.2349091516979</c:v>
                </c:pt>
                <c:pt idx="2">
                  <c:v>50.8464682946467</c:v>
                </c:pt>
                <c:pt idx="3">
                  <c:v>31.4387571495862</c:v>
                </c:pt>
                <c:pt idx="4">
                  <c:v>19.4388220905152</c:v>
                </c:pt>
                <c:pt idx="5">
                  <c:v>12.0191711927033</c:v>
                </c:pt>
                <c:pt idx="6">
                  <c:v>7.43154474519291</c:v>
                </c:pt>
              </c:numCache>
            </c:numRef>
          </c:yVal>
          <c:smooth val="0"/>
        </c:ser>
        <c:axId val="8916521"/>
        <c:axId val="94179015"/>
      </c:scatterChart>
      <c:valAx>
        <c:axId val="891652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4179015"/>
        <c:crosses val="autoZero"/>
        <c:crossBetween val="midCat"/>
      </c:valAx>
      <c:valAx>
        <c:axId val="9417901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1652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DATA'!$BZ$10</c:f>
              <c:strCache>
                <c:ptCount val="1"/>
                <c:pt idx="0">
                  <c:v>CTRL D2 B</c:v>
                </c:pt>
              </c:strCache>
            </c:strRef>
          </c:tx>
          <c:spPr>
            <a:solidFill>
              <a:srgbClr val="4f81bd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DATA'!$BW$11:$BW$15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'EXPAND CLONAL DATA'!$BZ$11:$BZ$15</c:f>
              <c:numCache>
                <c:formatCode>General</c:formatCode>
                <c:ptCount val="5"/>
                <c:pt idx="0">
                  <c:v>100</c:v>
                </c:pt>
                <c:pt idx="1">
                  <c:v>59.4285714285714</c:v>
                </c:pt>
                <c:pt idx="2">
                  <c:v>12</c:v>
                </c:pt>
                <c:pt idx="3">
                  <c:v>2.85714285714286</c:v>
                </c:pt>
                <c:pt idx="4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DATA'!$CB$10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DATA'!$BW$11:$BW$15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'EXPAND CLONAL DATA'!$CB$11:$CB$15</c:f>
              <c:numCache>
                <c:formatCode>General</c:formatCode>
                <c:ptCount val="5"/>
                <c:pt idx="0">
                  <c:v>209</c:v>
                </c:pt>
                <c:pt idx="1">
                  <c:v>57.0331657145221</c:v>
                </c:pt>
                <c:pt idx="2">
                  <c:v>15.5635501981825</c:v>
                </c:pt>
                <c:pt idx="3">
                  <c:v>4.24707434238864</c:v>
                </c:pt>
                <c:pt idx="4">
                  <c:v>1.15896696062845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'EXPAND CLONAL DATA'!$CD$10</c:f>
              <c:strCache>
                <c:ptCount val="1"/>
                <c:pt idx="0">
                  <c:v>EXP D2 B</c:v>
                </c:pt>
              </c:strCache>
            </c:strRef>
          </c:tx>
          <c:spPr>
            <a:solidFill>
              <a:srgbClr val="9bbb59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DATA'!$BW$11:$BW$15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'EXPAND CLONAL DATA'!$CD$11:$CD$15</c:f>
              <c:numCache>
                <c:formatCode>General</c:formatCode>
                <c:ptCount val="5"/>
                <c:pt idx="0">
                  <c:v>99.5670995670996</c:v>
                </c:pt>
                <c:pt idx="1">
                  <c:v>60.6060606060606</c:v>
                </c:pt>
                <c:pt idx="2">
                  <c:v>15.1515151515151</c:v>
                </c:pt>
                <c:pt idx="3">
                  <c:v>3.46320346320345</c:v>
                </c:pt>
                <c:pt idx="4">
                  <c:v>0.432900432900424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'EXPAND CLONAL DATA'!$CF$10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8064a2"/>
            </a:solidFill>
            <a:ln w="19080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DATA'!$BW$11:$BW$15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'EXPAND CLONAL DATA'!$CF$11:$CF$15</c:f>
              <c:numCache>
                <c:formatCode>General</c:formatCode>
                <c:ptCount val="5"/>
                <c:pt idx="0">
                  <c:v>209</c:v>
                </c:pt>
                <c:pt idx="1">
                  <c:v>58.9394984136066</c:v>
                </c:pt>
                <c:pt idx="2">
                  <c:v>16.6213611160169</c:v>
                </c:pt>
                <c:pt idx="3">
                  <c:v>4.68734300061943</c:v>
                </c:pt>
                <c:pt idx="4">
                  <c:v>1.32186433181358</c:v>
                </c:pt>
              </c:numCache>
            </c:numRef>
          </c:yVal>
          <c:smooth val="0"/>
        </c:ser>
        <c:axId val="74274594"/>
        <c:axId val="93954176"/>
      </c:scatterChart>
      <c:valAx>
        <c:axId val="7427459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954176"/>
        <c:crosses val="autoZero"/>
        <c:crossBetween val="midCat"/>
      </c:valAx>
      <c:valAx>
        <c:axId val="939541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27459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CTRL 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DATA'!$CX$1</c:f>
              <c:strCache>
                <c:ptCount val="1"/>
                <c:pt idx="0">
                  <c:v>CTRL B</c:v>
                </c:pt>
              </c:strCache>
            </c:strRef>
          </c:tx>
          <c:spPr>
            <a:solidFill>
              <a:srgbClr val="4f81bd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DATA'!$CV$2:$CV$6</c:f>
              <c:numCache>
                <c:formatCode>General</c:formatCode>
                <c:ptCount val="5"/>
                <c:pt idx="0">
                  <c:v>0.77</c:v>
                </c:pt>
                <c:pt idx="1">
                  <c:v>1.17</c:v>
                </c:pt>
                <c:pt idx="2">
                  <c:v>1.27</c:v>
                </c:pt>
                <c:pt idx="3">
                  <c:v>1.37</c:v>
                </c:pt>
                <c:pt idx="4">
                  <c:v>1.63</c:v>
                </c:pt>
              </c:numCache>
            </c:numRef>
          </c:xVal>
          <c:yVal>
            <c:numRef>
              <c:f>'EXPAND CLONAL DATA'!$CX$2:$CX$6</c:f>
              <c:numCache>
                <c:formatCode>General</c:formatCode>
                <c:ptCount val="5"/>
                <c:pt idx="0">
                  <c:v>1.74285714285714</c:v>
                </c:pt>
                <c:pt idx="1">
                  <c:v>2.28676470588235</c:v>
                </c:pt>
                <c:pt idx="2">
                  <c:v>2.19496855345912</c:v>
                </c:pt>
                <c:pt idx="3">
                  <c:v>2.43150684931507</c:v>
                </c:pt>
                <c:pt idx="4">
                  <c:v>2.73846153846154</c:v>
                </c:pt>
              </c:numCache>
            </c:numRef>
          </c:yVal>
          <c:smooth val="0"/>
        </c:ser>
        <c:axId val="8417430"/>
        <c:axId val="30310167"/>
      </c:scatterChart>
      <c:valAx>
        <c:axId val="841743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310167"/>
        <c:crosses val="autoZero"/>
        <c:crossBetween val="midCat"/>
      </c:valAx>
      <c:valAx>
        <c:axId val="3031016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41743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'EXPAND CLONAL DATA'!$CI$2</c:f>
              <c:strCache>
                <c:ptCount val="1"/>
                <c:pt idx="0">
                  <c:v>CTRL B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cap="rnd" w="19080">
                <a:solidFill>
                  <a:srgbClr val="4f81bd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'EXPAND CLONAL DATA'!$CH$3:$CH$8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DATA'!$CI$3:$CI$8</c:f>
              <c:numCache>
                <c:formatCode>General</c:formatCode>
                <c:ptCount val="6"/>
                <c:pt idx="0">
                  <c:v>1.53913043478261</c:v>
                </c:pt>
                <c:pt idx="1">
                  <c:v>1.74285714285714</c:v>
                </c:pt>
                <c:pt idx="2">
                  <c:v>2.28676470588235</c:v>
                </c:pt>
                <c:pt idx="3">
                  <c:v>2.19496855345912</c:v>
                </c:pt>
                <c:pt idx="4">
                  <c:v>2.43150684931507</c:v>
                </c:pt>
                <c:pt idx="5">
                  <c:v>2.73846153846154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DATA'!$CJ$2</c:f>
              <c:strCache>
                <c:ptCount val="1"/>
                <c:pt idx="0">
                  <c:v>CTRL 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cap="rnd" w="19080">
                <a:solidFill>
                  <a:srgbClr val="c0504d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'EXPAND CLONAL DATA'!$CH$3:$CH$8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DATA'!$CJ$3:$CJ$8</c:f>
              <c:numCache>
                <c:formatCode>General</c:formatCode>
                <c:ptCount val="6"/>
                <c:pt idx="0">
                  <c:v>1.53913043478261</c:v>
                </c:pt>
                <c:pt idx="1">
                  <c:v>1.82857142857143</c:v>
                </c:pt>
                <c:pt idx="2">
                  <c:v>2.75735294117647</c:v>
                </c:pt>
                <c:pt idx="3">
                  <c:v>3.06918238993711</c:v>
                </c:pt>
                <c:pt idx="4">
                  <c:v>3.80821917808219</c:v>
                </c:pt>
                <c:pt idx="5">
                  <c:v>4.81538461538462</c:v>
                </c:pt>
              </c:numCache>
            </c:numRef>
          </c:yVal>
          <c:smooth val="0"/>
        </c:ser>
        <c:axId val="13553184"/>
        <c:axId val="2306736"/>
      </c:scatterChart>
      <c:valAx>
        <c:axId val="1355318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06736"/>
        <c:crosses val="autoZero"/>
        <c:crossBetween val="midCat"/>
      </c:valAx>
      <c:valAx>
        <c:axId val="23067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355318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DATA'!$GG$10</c:f>
              <c:strCache>
                <c:ptCount val="1"/>
                <c:pt idx="0">
                  <c:v>CTRL D10 T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DATA'!$FQ$11:$FQ$32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xVal>
          <c:yVal>
            <c:numRef>
              <c:f>'EXPAND CLONAL DATA'!$GG$11:$GG$32</c:f>
              <c:numCache>
                <c:formatCode>General</c:formatCode>
                <c:ptCount val="22"/>
                <c:pt idx="0">
                  <c:v>0</c:v>
                </c:pt>
                <c:pt idx="1">
                  <c:v>7.53424657534247</c:v>
                </c:pt>
                <c:pt idx="2">
                  <c:v>26.7123287671233</c:v>
                </c:pt>
                <c:pt idx="3">
                  <c:v>15.7534246575342</c:v>
                </c:pt>
                <c:pt idx="4">
                  <c:v>17.8082191780822</c:v>
                </c:pt>
                <c:pt idx="5">
                  <c:v>10.2739726027397</c:v>
                </c:pt>
                <c:pt idx="6">
                  <c:v>11.6438356164384</c:v>
                </c:pt>
                <c:pt idx="7">
                  <c:v>3.42465753424658</c:v>
                </c:pt>
                <c:pt idx="8">
                  <c:v>6.16438356164384</c:v>
                </c:pt>
                <c:pt idx="9">
                  <c:v>0</c:v>
                </c:pt>
                <c:pt idx="10">
                  <c:v>0.684931506849315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DATA'!$GK$10</c:f>
              <c:strCache>
                <c:ptCount val="1"/>
                <c:pt idx="0">
                  <c:v>CTRL D14 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DATA'!$FQ$11:$FQ$32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xVal>
          <c:yVal>
            <c:numRef>
              <c:f>'EXPAND CLONAL DATA'!$GK$11:$GK$32</c:f>
              <c:numCache>
                <c:formatCode>General</c:formatCode>
                <c:ptCount val="22"/>
                <c:pt idx="0">
                  <c:v>0</c:v>
                </c:pt>
                <c:pt idx="1">
                  <c:v>5.12820512820513</c:v>
                </c:pt>
                <c:pt idx="2">
                  <c:v>11.7948717948718</c:v>
                </c:pt>
                <c:pt idx="3">
                  <c:v>17.948717948718</c:v>
                </c:pt>
                <c:pt idx="4">
                  <c:v>20</c:v>
                </c:pt>
                <c:pt idx="5">
                  <c:v>8.71794871794872</c:v>
                </c:pt>
                <c:pt idx="6">
                  <c:v>15.3846153846154</c:v>
                </c:pt>
                <c:pt idx="7">
                  <c:v>6.66666666666667</c:v>
                </c:pt>
                <c:pt idx="8">
                  <c:v>5.12820512820513</c:v>
                </c:pt>
                <c:pt idx="9">
                  <c:v>3.07692307692308</c:v>
                </c:pt>
                <c:pt idx="10">
                  <c:v>3.07692307692308</c:v>
                </c:pt>
                <c:pt idx="11">
                  <c:v>1.02564102564103</c:v>
                </c:pt>
                <c:pt idx="12">
                  <c:v>1.53846153846154</c:v>
                </c:pt>
                <c:pt idx="13">
                  <c:v>0</c:v>
                </c:pt>
                <c:pt idx="14">
                  <c:v>0.512820512820513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</c:ser>
        <c:axId val="10633068"/>
        <c:axId val="49719722"/>
      </c:scatterChart>
      <c:valAx>
        <c:axId val="1063306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9719722"/>
        <c:crosses val="autoZero"/>
        <c:crossBetween val="midCat"/>
      </c:valAx>
      <c:valAx>
        <c:axId val="497197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063306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DATA'!$JW$5:$JW$10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'EXPAND CLONAL DATA'!$JX$5:$JX$10</c:f>
              <c:numCache>
                <c:formatCode>General</c:formatCode>
                <c:ptCount val="6"/>
                <c:pt idx="0">
                  <c:v>3.2</c:v>
                </c:pt>
                <c:pt idx="1">
                  <c:v>8</c:v>
                </c:pt>
                <c:pt idx="2">
                  <c:v>8</c:v>
                </c:pt>
                <c:pt idx="3">
                  <c:v>6.5</c:v>
                </c:pt>
                <c:pt idx="4">
                  <c:v>6.1</c:v>
                </c:pt>
                <c:pt idx="5">
                  <c:v>5</c:v>
                </c:pt>
              </c:numCache>
            </c:numRef>
          </c:yVal>
          <c:smooth val="0"/>
        </c:ser>
        <c:axId val="76008148"/>
        <c:axId val="99171115"/>
      </c:scatterChart>
      <c:valAx>
        <c:axId val="7600814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9171115"/>
        <c:crosses val="autoZero"/>
        <c:crossBetween val="midCat"/>
      </c:valAx>
      <c:valAx>
        <c:axId val="9917111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600814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DATA'!$JZ$6:$JZ$10</c:f>
              <c:numCache>
                <c:formatCode>General</c:formatCode>
                <c:ptCount val="5"/>
                <c:pt idx="0">
                  <c:v>2.75</c:v>
                </c:pt>
                <c:pt idx="1">
                  <c:v>7.75</c:v>
                </c:pt>
                <c:pt idx="2">
                  <c:v>16.8125</c:v>
                </c:pt>
                <c:pt idx="3">
                  <c:v>20.75</c:v>
                </c:pt>
                <c:pt idx="4">
                  <c:v>27.6875</c:v>
                </c:pt>
              </c:numCache>
            </c:numRef>
          </c:xVal>
          <c:yVal>
            <c:numRef>
              <c:f>'EXPAND CLONAL DATA'!$KB$6:$KB$10</c:f>
              <c:numCache>
                <c:formatCode>General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0.17</c:v>
                </c:pt>
                <c:pt idx="3">
                  <c:v>0.12</c:v>
                </c:pt>
                <c:pt idx="4">
                  <c:v>0.05</c:v>
                </c:pt>
              </c:numCache>
            </c:numRef>
          </c:yVal>
          <c:smooth val="0"/>
        </c:ser>
        <c:axId val="94322338"/>
        <c:axId val="99512558"/>
      </c:scatterChart>
      <c:valAx>
        <c:axId val="9432233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9512558"/>
        <c:crosses val="autoZero"/>
        <c:crossBetween val="midCat"/>
      </c:valAx>
      <c:valAx>
        <c:axId val="995125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432233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xy_data!$Y$11:$Y$205</c:f>
              <c:numCache>
                <c:formatCode>General</c:formatCode>
                <c:ptCount val="195"/>
                <c:pt idx="0">
                  <c:v>5.90769230769231</c:v>
                </c:pt>
                <c:pt idx="1">
                  <c:v>5.92820512820513</c:v>
                </c:pt>
                <c:pt idx="2">
                  <c:v>5.94871794871795</c:v>
                </c:pt>
                <c:pt idx="3">
                  <c:v>5.96923076923077</c:v>
                </c:pt>
                <c:pt idx="4">
                  <c:v>5.98974358974359</c:v>
                </c:pt>
                <c:pt idx="5">
                  <c:v>6.01025641025641</c:v>
                </c:pt>
                <c:pt idx="6">
                  <c:v>6.03076923076923</c:v>
                </c:pt>
                <c:pt idx="7">
                  <c:v>6.05128205128205</c:v>
                </c:pt>
                <c:pt idx="8">
                  <c:v>6.07179487179487</c:v>
                </c:pt>
                <c:pt idx="9">
                  <c:v>6.09230769230769</c:v>
                </c:pt>
                <c:pt idx="10">
                  <c:v>5.77435897435897</c:v>
                </c:pt>
                <c:pt idx="11">
                  <c:v>5.7948717948718</c:v>
                </c:pt>
                <c:pt idx="12">
                  <c:v>5.81538461538462</c:v>
                </c:pt>
                <c:pt idx="13">
                  <c:v>5.83589743589744</c:v>
                </c:pt>
                <c:pt idx="14">
                  <c:v>5.85641025641026</c:v>
                </c:pt>
                <c:pt idx="15">
                  <c:v>5.87692307692308</c:v>
                </c:pt>
                <c:pt idx="16">
                  <c:v>5.8974358974359</c:v>
                </c:pt>
                <c:pt idx="17">
                  <c:v>5.91794871794872</c:v>
                </c:pt>
                <c:pt idx="18">
                  <c:v>5.93846153846154</c:v>
                </c:pt>
                <c:pt idx="19">
                  <c:v>5.95897435897436</c:v>
                </c:pt>
                <c:pt idx="20">
                  <c:v>5.97948717948718</c:v>
                </c:pt>
                <c:pt idx="21">
                  <c:v>6</c:v>
                </c:pt>
                <c:pt idx="22">
                  <c:v>6.02051282051282</c:v>
                </c:pt>
                <c:pt idx="23">
                  <c:v>6.04102564102564</c:v>
                </c:pt>
                <c:pt idx="24">
                  <c:v>6.06153846153846</c:v>
                </c:pt>
                <c:pt idx="25">
                  <c:v>6.08205128205128</c:v>
                </c:pt>
                <c:pt idx="26">
                  <c:v>6.1025641025641</c:v>
                </c:pt>
                <c:pt idx="27">
                  <c:v>6.12307692307692</c:v>
                </c:pt>
                <c:pt idx="28">
                  <c:v>6.14358974358974</c:v>
                </c:pt>
                <c:pt idx="29">
                  <c:v>6.16410256410256</c:v>
                </c:pt>
                <c:pt idx="30">
                  <c:v>6.18461538461538</c:v>
                </c:pt>
                <c:pt idx="31">
                  <c:v>6.2051282051282</c:v>
                </c:pt>
                <c:pt idx="32">
                  <c:v>6.22564102564102</c:v>
                </c:pt>
                <c:pt idx="33">
                  <c:v>5.65128205128205</c:v>
                </c:pt>
                <c:pt idx="34">
                  <c:v>5.67179487179487</c:v>
                </c:pt>
                <c:pt idx="35">
                  <c:v>5.69230769230769</c:v>
                </c:pt>
                <c:pt idx="36">
                  <c:v>5.71282051282051</c:v>
                </c:pt>
                <c:pt idx="37">
                  <c:v>5.73333333333333</c:v>
                </c:pt>
                <c:pt idx="38">
                  <c:v>5.75384615384615</c:v>
                </c:pt>
                <c:pt idx="39">
                  <c:v>5.77435897435897</c:v>
                </c:pt>
                <c:pt idx="40">
                  <c:v>5.7948717948718</c:v>
                </c:pt>
                <c:pt idx="41">
                  <c:v>5.81538461538462</c:v>
                </c:pt>
                <c:pt idx="42">
                  <c:v>5.83589743589744</c:v>
                </c:pt>
                <c:pt idx="43">
                  <c:v>5.85641025641026</c:v>
                </c:pt>
                <c:pt idx="44">
                  <c:v>5.87692307692308</c:v>
                </c:pt>
                <c:pt idx="45">
                  <c:v>5.8974358974359</c:v>
                </c:pt>
                <c:pt idx="46">
                  <c:v>5.91794871794872</c:v>
                </c:pt>
                <c:pt idx="47">
                  <c:v>5.93846153846154</c:v>
                </c:pt>
                <c:pt idx="48">
                  <c:v>5.95897435897436</c:v>
                </c:pt>
                <c:pt idx="49">
                  <c:v>5.97948717948718</c:v>
                </c:pt>
                <c:pt idx="50">
                  <c:v>6</c:v>
                </c:pt>
                <c:pt idx="51">
                  <c:v>6.02051282051282</c:v>
                </c:pt>
                <c:pt idx="52">
                  <c:v>6.04102564102564</c:v>
                </c:pt>
                <c:pt idx="53">
                  <c:v>6.06153846153846</c:v>
                </c:pt>
                <c:pt idx="54">
                  <c:v>6.08205128205128</c:v>
                </c:pt>
                <c:pt idx="55">
                  <c:v>6.1025641025641</c:v>
                </c:pt>
                <c:pt idx="56">
                  <c:v>6.12307692307692</c:v>
                </c:pt>
                <c:pt idx="57">
                  <c:v>6.14358974358974</c:v>
                </c:pt>
                <c:pt idx="58">
                  <c:v>6.16410256410256</c:v>
                </c:pt>
                <c:pt idx="59">
                  <c:v>6.18461538461538</c:v>
                </c:pt>
                <c:pt idx="60">
                  <c:v>6.2051282051282</c:v>
                </c:pt>
                <c:pt idx="61">
                  <c:v>6.22564102564102</c:v>
                </c:pt>
                <c:pt idx="62">
                  <c:v>6.24615384615384</c:v>
                </c:pt>
                <c:pt idx="63">
                  <c:v>6.26666666666667</c:v>
                </c:pt>
                <c:pt idx="64">
                  <c:v>6.28717948717949</c:v>
                </c:pt>
                <c:pt idx="65">
                  <c:v>6.30769230769231</c:v>
                </c:pt>
                <c:pt idx="66">
                  <c:v>6.32820512820513</c:v>
                </c:pt>
                <c:pt idx="67">
                  <c:v>6.34871794871795</c:v>
                </c:pt>
                <c:pt idx="68">
                  <c:v>5.61025641025641</c:v>
                </c:pt>
                <c:pt idx="69">
                  <c:v>5.63076923076923</c:v>
                </c:pt>
                <c:pt idx="70">
                  <c:v>5.65128205128205</c:v>
                </c:pt>
                <c:pt idx="71">
                  <c:v>5.67179487179487</c:v>
                </c:pt>
                <c:pt idx="72">
                  <c:v>5.69230769230769</c:v>
                </c:pt>
                <c:pt idx="73">
                  <c:v>5.71282051282051</c:v>
                </c:pt>
                <c:pt idx="74">
                  <c:v>5.73333333333333</c:v>
                </c:pt>
                <c:pt idx="75">
                  <c:v>5.75384615384615</c:v>
                </c:pt>
                <c:pt idx="76">
                  <c:v>5.77435897435897</c:v>
                </c:pt>
                <c:pt idx="77">
                  <c:v>5.79487179487179</c:v>
                </c:pt>
                <c:pt idx="78">
                  <c:v>5.81538461538461</c:v>
                </c:pt>
                <c:pt idx="79">
                  <c:v>5.83589743589744</c:v>
                </c:pt>
                <c:pt idx="80">
                  <c:v>5.85641025641026</c:v>
                </c:pt>
                <c:pt idx="81">
                  <c:v>5.87692307692308</c:v>
                </c:pt>
                <c:pt idx="82">
                  <c:v>5.8974358974359</c:v>
                </c:pt>
                <c:pt idx="83">
                  <c:v>5.91794871794872</c:v>
                </c:pt>
                <c:pt idx="84">
                  <c:v>5.93846153846154</c:v>
                </c:pt>
                <c:pt idx="85">
                  <c:v>5.95897435897436</c:v>
                </c:pt>
                <c:pt idx="86">
                  <c:v>5.97948717948718</c:v>
                </c:pt>
                <c:pt idx="87">
                  <c:v>6</c:v>
                </c:pt>
                <c:pt idx="88">
                  <c:v>6.02051282051282</c:v>
                </c:pt>
                <c:pt idx="89">
                  <c:v>6.04102564102564</c:v>
                </c:pt>
                <c:pt idx="90">
                  <c:v>6.06153846153846</c:v>
                </c:pt>
                <c:pt idx="91">
                  <c:v>6.08205128205128</c:v>
                </c:pt>
                <c:pt idx="92">
                  <c:v>6.1025641025641</c:v>
                </c:pt>
                <c:pt idx="93">
                  <c:v>6.12307692307692</c:v>
                </c:pt>
                <c:pt idx="94">
                  <c:v>6.14358974358974</c:v>
                </c:pt>
                <c:pt idx="95">
                  <c:v>6.16410256410256</c:v>
                </c:pt>
                <c:pt idx="96">
                  <c:v>6.18461538461538</c:v>
                </c:pt>
                <c:pt idx="97">
                  <c:v>6.2051282051282</c:v>
                </c:pt>
                <c:pt idx="98">
                  <c:v>6.22564102564102</c:v>
                </c:pt>
                <c:pt idx="99">
                  <c:v>6.24615384615384</c:v>
                </c:pt>
                <c:pt idx="100">
                  <c:v>6.26666666666666</c:v>
                </c:pt>
                <c:pt idx="101">
                  <c:v>6.28717948717948</c:v>
                </c:pt>
                <c:pt idx="102">
                  <c:v>6.30769230769231</c:v>
                </c:pt>
                <c:pt idx="103">
                  <c:v>6.32820512820513</c:v>
                </c:pt>
                <c:pt idx="104">
                  <c:v>6.34871794871795</c:v>
                </c:pt>
                <c:pt idx="105">
                  <c:v>6.36923076923077</c:v>
                </c:pt>
                <c:pt idx="106">
                  <c:v>6.38974358974359</c:v>
                </c:pt>
                <c:pt idx="107">
                  <c:v>5.83589743589744</c:v>
                </c:pt>
                <c:pt idx="108">
                  <c:v>5.85641025641026</c:v>
                </c:pt>
                <c:pt idx="109">
                  <c:v>5.87692307692308</c:v>
                </c:pt>
                <c:pt idx="110">
                  <c:v>5.8974358974359</c:v>
                </c:pt>
                <c:pt idx="111">
                  <c:v>5.91794871794872</c:v>
                </c:pt>
                <c:pt idx="112">
                  <c:v>5.93846153846154</c:v>
                </c:pt>
                <c:pt idx="113">
                  <c:v>5.95897435897436</c:v>
                </c:pt>
                <c:pt idx="114">
                  <c:v>5.97948717948718</c:v>
                </c:pt>
                <c:pt idx="115">
                  <c:v>6</c:v>
                </c:pt>
                <c:pt idx="116">
                  <c:v>6.02051282051282</c:v>
                </c:pt>
                <c:pt idx="117">
                  <c:v>6.04102564102564</c:v>
                </c:pt>
                <c:pt idx="118">
                  <c:v>6.06153846153846</c:v>
                </c:pt>
                <c:pt idx="119">
                  <c:v>6.08205128205128</c:v>
                </c:pt>
                <c:pt idx="120">
                  <c:v>6.1025641025641</c:v>
                </c:pt>
                <c:pt idx="121">
                  <c:v>6.12307692307692</c:v>
                </c:pt>
                <c:pt idx="122">
                  <c:v>6.14358974358974</c:v>
                </c:pt>
                <c:pt idx="123">
                  <c:v>6.16410256410256</c:v>
                </c:pt>
                <c:pt idx="124">
                  <c:v>5.7025641025641</c:v>
                </c:pt>
                <c:pt idx="125">
                  <c:v>5.72307692307692</c:v>
                </c:pt>
                <c:pt idx="126">
                  <c:v>5.74358974358974</c:v>
                </c:pt>
                <c:pt idx="127">
                  <c:v>5.76410256410256</c:v>
                </c:pt>
                <c:pt idx="128">
                  <c:v>5.78461538461538</c:v>
                </c:pt>
                <c:pt idx="129">
                  <c:v>5.80512820512821</c:v>
                </c:pt>
                <c:pt idx="130">
                  <c:v>5.82564102564103</c:v>
                </c:pt>
                <c:pt idx="131">
                  <c:v>5.84615384615385</c:v>
                </c:pt>
                <c:pt idx="132">
                  <c:v>5.86666666666667</c:v>
                </c:pt>
                <c:pt idx="133">
                  <c:v>5.88717948717949</c:v>
                </c:pt>
                <c:pt idx="134">
                  <c:v>5.90769230769231</c:v>
                </c:pt>
                <c:pt idx="135">
                  <c:v>5.92820512820513</c:v>
                </c:pt>
                <c:pt idx="136">
                  <c:v>5.94871794871795</c:v>
                </c:pt>
                <c:pt idx="137">
                  <c:v>5.96923076923077</c:v>
                </c:pt>
                <c:pt idx="138">
                  <c:v>5.98974358974359</c:v>
                </c:pt>
                <c:pt idx="139">
                  <c:v>6.01025641025641</c:v>
                </c:pt>
                <c:pt idx="140">
                  <c:v>6.03076923076923</c:v>
                </c:pt>
                <c:pt idx="141">
                  <c:v>6.05128205128205</c:v>
                </c:pt>
                <c:pt idx="142">
                  <c:v>6.07179487179487</c:v>
                </c:pt>
                <c:pt idx="143">
                  <c:v>6.09230769230769</c:v>
                </c:pt>
                <c:pt idx="144">
                  <c:v>6.11282051282051</c:v>
                </c:pt>
                <c:pt idx="145">
                  <c:v>6.13333333333333</c:v>
                </c:pt>
                <c:pt idx="146">
                  <c:v>6.15384615384615</c:v>
                </c:pt>
                <c:pt idx="147">
                  <c:v>6.17435897435897</c:v>
                </c:pt>
                <c:pt idx="148">
                  <c:v>6.19487179487179</c:v>
                </c:pt>
                <c:pt idx="149">
                  <c:v>6.21538461538461</c:v>
                </c:pt>
                <c:pt idx="150">
                  <c:v>6.23589743589743</c:v>
                </c:pt>
                <c:pt idx="151">
                  <c:v>6.25641025641025</c:v>
                </c:pt>
                <c:pt idx="152">
                  <c:v>6.27692307692308</c:v>
                </c:pt>
                <c:pt idx="153">
                  <c:v>6.2974358974359</c:v>
                </c:pt>
                <c:pt idx="154">
                  <c:v>5.87692307692308</c:v>
                </c:pt>
                <c:pt idx="155">
                  <c:v>5.8974358974359</c:v>
                </c:pt>
                <c:pt idx="156">
                  <c:v>5.91794871794872</c:v>
                </c:pt>
                <c:pt idx="157">
                  <c:v>5.93846153846154</c:v>
                </c:pt>
                <c:pt idx="158">
                  <c:v>5.95897435897436</c:v>
                </c:pt>
                <c:pt idx="159">
                  <c:v>5.97948717948718</c:v>
                </c:pt>
                <c:pt idx="160">
                  <c:v>6</c:v>
                </c:pt>
                <c:pt idx="161">
                  <c:v>6.02051282051282</c:v>
                </c:pt>
                <c:pt idx="162">
                  <c:v>6.04102564102564</c:v>
                </c:pt>
                <c:pt idx="163">
                  <c:v>6.06153846153846</c:v>
                </c:pt>
                <c:pt idx="164">
                  <c:v>6.08205128205128</c:v>
                </c:pt>
                <c:pt idx="165">
                  <c:v>6.1025641025641</c:v>
                </c:pt>
                <c:pt idx="166">
                  <c:v>6.12307692307692</c:v>
                </c:pt>
                <c:pt idx="167">
                  <c:v>5.90769230769231</c:v>
                </c:pt>
                <c:pt idx="168">
                  <c:v>5.92820512820513</c:v>
                </c:pt>
                <c:pt idx="169">
                  <c:v>5.94871794871795</c:v>
                </c:pt>
                <c:pt idx="170">
                  <c:v>5.96923076923077</c:v>
                </c:pt>
                <c:pt idx="171">
                  <c:v>5.98974358974359</c:v>
                </c:pt>
                <c:pt idx="172">
                  <c:v>6.01025641025641</c:v>
                </c:pt>
                <c:pt idx="173">
                  <c:v>6.03076923076923</c:v>
                </c:pt>
                <c:pt idx="174">
                  <c:v>6.05128205128205</c:v>
                </c:pt>
                <c:pt idx="175">
                  <c:v>6.07179487179487</c:v>
                </c:pt>
                <c:pt idx="176">
                  <c:v>6.09230769230769</c:v>
                </c:pt>
                <c:pt idx="177">
                  <c:v>5.94871794871795</c:v>
                </c:pt>
                <c:pt idx="178">
                  <c:v>5.96923076923077</c:v>
                </c:pt>
                <c:pt idx="179">
                  <c:v>5.98974358974359</c:v>
                </c:pt>
                <c:pt idx="180">
                  <c:v>6.01025641025641</c:v>
                </c:pt>
                <c:pt idx="181">
                  <c:v>6.03076923076923</c:v>
                </c:pt>
                <c:pt idx="182">
                  <c:v>6.05128205128205</c:v>
                </c:pt>
                <c:pt idx="183">
                  <c:v>5.94871794871795</c:v>
                </c:pt>
                <c:pt idx="184">
                  <c:v>5.96923076923077</c:v>
                </c:pt>
                <c:pt idx="185">
                  <c:v>5.98974358974359</c:v>
                </c:pt>
                <c:pt idx="186">
                  <c:v>6.01025641025641</c:v>
                </c:pt>
                <c:pt idx="187">
                  <c:v>6.03076923076923</c:v>
                </c:pt>
                <c:pt idx="188">
                  <c:v>6.05128205128205</c:v>
                </c:pt>
                <c:pt idx="189">
                  <c:v>5.98974358974359</c:v>
                </c:pt>
                <c:pt idx="190">
                  <c:v>6.01025641025641</c:v>
                </c:pt>
                <c:pt idx="191">
                  <c:v>5.97948717948718</c:v>
                </c:pt>
                <c:pt idx="192">
                  <c:v>6</c:v>
                </c:pt>
                <c:pt idx="193">
                  <c:v>6.02051282051282</c:v>
                </c:pt>
                <c:pt idx="194">
                  <c:v>6</c:v>
                </c:pt>
              </c:numCache>
            </c:numRef>
          </c:xVal>
          <c:yVal>
            <c:numRef>
              <c:f>xy_data!$Z$11:$Z$205</c:f>
              <c:numCache>
                <c:formatCode>General</c:formatCode>
                <c:ptCount val="19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11</c:v>
                </c:pt>
                <c:pt idx="190">
                  <c:v>11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14</c:v>
                </c:pt>
              </c:numCache>
            </c:numRef>
          </c:yVal>
          <c:smooth val="0"/>
        </c:ser>
        <c:axId val="37587516"/>
        <c:axId val="95881188"/>
      </c:scatterChart>
      <c:valAx>
        <c:axId val="3758751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5881188"/>
        <c:crosses val="autoZero"/>
        <c:crossBetween val="midCat"/>
      </c:valAx>
      <c:valAx>
        <c:axId val="958811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58751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xy_data!$BG$11:$BG$64</c:f>
              <c:numCache>
                <c:formatCode>General</c:formatCode>
                <c:ptCount val="54"/>
                <c:pt idx="0">
                  <c:v>1.9</c:v>
                </c:pt>
                <c:pt idx="1">
                  <c:v>1.96666666666667</c:v>
                </c:pt>
                <c:pt idx="2">
                  <c:v>2.03333333333333</c:v>
                </c:pt>
                <c:pt idx="3">
                  <c:v>2.1</c:v>
                </c:pt>
                <c:pt idx="4">
                  <c:v>1.93333333333333</c:v>
                </c:pt>
                <c:pt idx="5">
                  <c:v>2</c:v>
                </c:pt>
                <c:pt idx="6">
                  <c:v>2.06666666666667</c:v>
                </c:pt>
                <c:pt idx="7">
                  <c:v>1.8</c:v>
                </c:pt>
                <c:pt idx="8">
                  <c:v>1.86666666666667</c:v>
                </c:pt>
                <c:pt idx="9">
                  <c:v>1.93333333333333</c:v>
                </c:pt>
                <c:pt idx="10">
                  <c:v>2</c:v>
                </c:pt>
                <c:pt idx="11">
                  <c:v>2.06666666666667</c:v>
                </c:pt>
                <c:pt idx="12">
                  <c:v>2.13333333333333</c:v>
                </c:pt>
                <c:pt idx="13">
                  <c:v>2.2</c:v>
                </c:pt>
                <c:pt idx="14">
                  <c:v>1.93333333333333</c:v>
                </c:pt>
                <c:pt idx="15">
                  <c:v>2</c:v>
                </c:pt>
                <c:pt idx="16">
                  <c:v>2.06666666666667</c:v>
                </c:pt>
                <c:pt idx="17">
                  <c:v>1.63333333333333</c:v>
                </c:pt>
                <c:pt idx="18">
                  <c:v>1.7</c:v>
                </c:pt>
                <c:pt idx="19">
                  <c:v>1.76666666666667</c:v>
                </c:pt>
                <c:pt idx="20">
                  <c:v>1.83333333333333</c:v>
                </c:pt>
                <c:pt idx="21">
                  <c:v>1.9</c:v>
                </c:pt>
                <c:pt idx="22">
                  <c:v>1.96666666666667</c:v>
                </c:pt>
                <c:pt idx="23">
                  <c:v>2.03333333333333</c:v>
                </c:pt>
                <c:pt idx="24">
                  <c:v>2.1</c:v>
                </c:pt>
                <c:pt idx="25">
                  <c:v>2.16666666666667</c:v>
                </c:pt>
                <c:pt idx="26">
                  <c:v>2.23333333333333</c:v>
                </c:pt>
                <c:pt idx="27">
                  <c:v>2.3</c:v>
                </c:pt>
                <c:pt idx="28">
                  <c:v>2.36666666666667</c:v>
                </c:pt>
                <c:pt idx="29">
                  <c:v>1.93333333333333</c:v>
                </c:pt>
                <c:pt idx="30">
                  <c:v>2</c:v>
                </c:pt>
                <c:pt idx="31">
                  <c:v>2.06666666666667</c:v>
                </c:pt>
                <c:pt idx="32">
                  <c:v>1.8</c:v>
                </c:pt>
                <c:pt idx="33">
                  <c:v>1.86666666666667</c:v>
                </c:pt>
                <c:pt idx="34">
                  <c:v>1.93333333333333</c:v>
                </c:pt>
                <c:pt idx="35">
                  <c:v>2</c:v>
                </c:pt>
                <c:pt idx="36">
                  <c:v>2.06666666666667</c:v>
                </c:pt>
                <c:pt idx="37">
                  <c:v>2.13333333333333</c:v>
                </c:pt>
                <c:pt idx="38">
                  <c:v>2.2</c:v>
                </c:pt>
                <c:pt idx="39">
                  <c:v>2</c:v>
                </c:pt>
                <c:pt idx="40">
                  <c:v>1.86666666666667</c:v>
                </c:pt>
                <c:pt idx="41">
                  <c:v>1.93333333333333</c:v>
                </c:pt>
                <c:pt idx="42">
                  <c:v>2</c:v>
                </c:pt>
                <c:pt idx="43">
                  <c:v>2.06666666666667</c:v>
                </c:pt>
                <c:pt idx="44">
                  <c:v>2.13333333333333</c:v>
                </c:pt>
                <c:pt idx="45">
                  <c:v>1.96666666666667</c:v>
                </c:pt>
                <c:pt idx="46">
                  <c:v>2.03333333333333</c:v>
                </c:pt>
                <c:pt idx="47">
                  <c:v>2</c:v>
                </c:pt>
                <c:pt idx="48">
                  <c:v>1.96666666666667</c:v>
                </c:pt>
                <c:pt idx="49">
                  <c:v>2.03333333333333</c:v>
                </c:pt>
                <c:pt idx="50">
                  <c:v>2</c:v>
                </c:pt>
                <c:pt idx="51">
                  <c:v>1.96666666666667</c:v>
                </c:pt>
                <c:pt idx="52">
                  <c:v>2.03333333333333</c:v>
                </c:pt>
                <c:pt idx="53">
                  <c:v>2</c:v>
                </c:pt>
              </c:numCache>
            </c:numRef>
          </c:xVal>
          <c:yVal>
            <c:numRef>
              <c:f>xy_data!$BH$11:$BH$64</c:f>
              <c:numCache>
                <c:formatCode>General</c:formatCode>
                <c:ptCount val="5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12</c:v>
                </c:pt>
                <c:pt idx="46">
                  <c:v>12</c:v>
                </c:pt>
                <c:pt idx="47">
                  <c:v>13</c:v>
                </c:pt>
                <c:pt idx="48">
                  <c:v>14</c:v>
                </c:pt>
                <c:pt idx="49">
                  <c:v>14</c:v>
                </c:pt>
                <c:pt idx="50">
                  <c:v>15</c:v>
                </c:pt>
                <c:pt idx="51">
                  <c:v>16</c:v>
                </c:pt>
                <c:pt idx="52">
                  <c:v>16</c:v>
                </c:pt>
                <c:pt idx="53">
                  <c:v>18</c:v>
                </c:pt>
              </c:numCache>
            </c:numRef>
          </c:yVal>
          <c:smooth val="0"/>
        </c:ser>
        <c:axId val="83078590"/>
        <c:axId val="9386792"/>
      </c:scatterChart>
      <c:valAx>
        <c:axId val="8307859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86792"/>
        <c:crosses val="autoZero"/>
        <c:crossBetween val="midCat"/>
      </c:valAx>
      <c:valAx>
        <c:axId val="93867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307859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xy_data!$BB$11:$BB$64</c:f>
              <c:numCache>
                <c:formatCode>General</c:formatCode>
                <c:ptCount val="54"/>
                <c:pt idx="0">
                  <c:v>1.93846153846154</c:v>
                </c:pt>
                <c:pt idx="1">
                  <c:v>1.96923076923077</c:v>
                </c:pt>
                <c:pt idx="2">
                  <c:v>2</c:v>
                </c:pt>
                <c:pt idx="3">
                  <c:v>2.03076923076923</c:v>
                </c:pt>
                <c:pt idx="4">
                  <c:v>2.06153846153846</c:v>
                </c:pt>
                <c:pt idx="5">
                  <c:v>1.61538461538462</c:v>
                </c:pt>
                <c:pt idx="6">
                  <c:v>1.64615384615385</c:v>
                </c:pt>
                <c:pt idx="7">
                  <c:v>1.67692307692308</c:v>
                </c:pt>
                <c:pt idx="8">
                  <c:v>1.70769230769231</c:v>
                </c:pt>
                <c:pt idx="9">
                  <c:v>1.73846153846154</c:v>
                </c:pt>
                <c:pt idx="10">
                  <c:v>1.76923076923077</c:v>
                </c:pt>
                <c:pt idx="11">
                  <c:v>1.8</c:v>
                </c:pt>
                <c:pt idx="12">
                  <c:v>1.83076923076923</c:v>
                </c:pt>
                <c:pt idx="13">
                  <c:v>1.86153846153846</c:v>
                </c:pt>
                <c:pt idx="14">
                  <c:v>1.89230769230769</c:v>
                </c:pt>
                <c:pt idx="15">
                  <c:v>1.92307692307692</c:v>
                </c:pt>
                <c:pt idx="16">
                  <c:v>1.95384615384615</c:v>
                </c:pt>
                <c:pt idx="17">
                  <c:v>1.98461538461538</c:v>
                </c:pt>
                <c:pt idx="18">
                  <c:v>2.01538461538461</c:v>
                </c:pt>
                <c:pt idx="19">
                  <c:v>2.04615384615384</c:v>
                </c:pt>
                <c:pt idx="20">
                  <c:v>2.07692307692308</c:v>
                </c:pt>
                <c:pt idx="21">
                  <c:v>2.10769230769231</c:v>
                </c:pt>
                <c:pt idx="22">
                  <c:v>2.13846153846154</c:v>
                </c:pt>
                <c:pt idx="23">
                  <c:v>2.16923076923077</c:v>
                </c:pt>
                <c:pt idx="24">
                  <c:v>2.2</c:v>
                </c:pt>
                <c:pt idx="25">
                  <c:v>2.23076923076923</c:v>
                </c:pt>
                <c:pt idx="26">
                  <c:v>2.26153846153846</c:v>
                </c:pt>
                <c:pt idx="27">
                  <c:v>2.29230769230769</c:v>
                </c:pt>
                <c:pt idx="28">
                  <c:v>2.32307692307692</c:v>
                </c:pt>
                <c:pt idx="29">
                  <c:v>2.35384615384615</c:v>
                </c:pt>
                <c:pt idx="30">
                  <c:v>2.38461538461538</c:v>
                </c:pt>
                <c:pt idx="31">
                  <c:v>1.95384615384615</c:v>
                </c:pt>
                <c:pt idx="32">
                  <c:v>1.98461538461538</c:v>
                </c:pt>
                <c:pt idx="33">
                  <c:v>2.01538461538462</c:v>
                </c:pt>
                <c:pt idx="34">
                  <c:v>2.04615384615385</c:v>
                </c:pt>
                <c:pt idx="35">
                  <c:v>1.84615384615385</c:v>
                </c:pt>
                <c:pt idx="36">
                  <c:v>1.87692307692308</c:v>
                </c:pt>
                <c:pt idx="37">
                  <c:v>1.90769230769231</c:v>
                </c:pt>
                <c:pt idx="38">
                  <c:v>1.93846153846154</c:v>
                </c:pt>
                <c:pt idx="39">
                  <c:v>1.96923076923077</c:v>
                </c:pt>
                <c:pt idx="40">
                  <c:v>2</c:v>
                </c:pt>
                <c:pt idx="41">
                  <c:v>2.03076923076923</c:v>
                </c:pt>
                <c:pt idx="42">
                  <c:v>2.06153846153846</c:v>
                </c:pt>
                <c:pt idx="43">
                  <c:v>2.09230769230769</c:v>
                </c:pt>
                <c:pt idx="44">
                  <c:v>2.12307692307692</c:v>
                </c:pt>
                <c:pt idx="45">
                  <c:v>2.15384615384615</c:v>
                </c:pt>
                <c:pt idx="46">
                  <c:v>2</c:v>
                </c:pt>
                <c:pt idx="47">
                  <c:v>1.95384615384615</c:v>
                </c:pt>
                <c:pt idx="48">
                  <c:v>1.98461538461538</c:v>
                </c:pt>
                <c:pt idx="49">
                  <c:v>2.01538461538462</c:v>
                </c:pt>
                <c:pt idx="50">
                  <c:v>2.04615384615385</c:v>
                </c:pt>
                <c:pt idx="51">
                  <c:v>1.98461538461538</c:v>
                </c:pt>
                <c:pt idx="52">
                  <c:v>2.01538461538462</c:v>
                </c:pt>
                <c:pt idx="53">
                  <c:v>2</c:v>
                </c:pt>
              </c:numCache>
            </c:numRef>
          </c:xVal>
          <c:yVal>
            <c:numRef>
              <c:f>xy_data!$BC$11:$BC$64</c:f>
              <c:numCache>
                <c:formatCode>General</c:formatCode>
                <c:ptCount val="5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5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8</c:v>
                </c:pt>
                <c:pt idx="52">
                  <c:v>8</c:v>
                </c:pt>
                <c:pt idx="53">
                  <c:v>9</c:v>
                </c:pt>
              </c:numCache>
            </c:numRef>
          </c:yVal>
          <c:smooth val="0"/>
        </c:ser>
        <c:axId val="75445690"/>
        <c:axId val="58604539"/>
      </c:scatterChart>
      <c:valAx>
        <c:axId val="7544569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8604539"/>
        <c:crosses val="autoZero"/>
        <c:crossBetween val="midCat"/>
      </c:valAx>
      <c:valAx>
        <c:axId val="586045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544569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'joint dist'!$AZ$10:$BH$10</c:f>
              <c:numCache>
                <c:formatCode>General</c:formatCode>
                <c:ptCount val="9"/>
                <c:pt idx="0">
                  <c:v>4.61538461538462</c:v>
                </c:pt>
                <c:pt idx="1">
                  <c:v>0.512820512820513</c:v>
                </c:pt>
                <c:pt idx="2">
                  <c:v>7.17948717948718</c:v>
                </c:pt>
                <c:pt idx="3">
                  <c:v>3.58974358974359</c:v>
                </c:pt>
                <c:pt idx="4">
                  <c:v>1.02564102564103</c:v>
                </c:pt>
                <c:pt idx="5">
                  <c:v>0.512820512820513</c:v>
                </c:pt>
                <c:pt idx="6">
                  <c:v>1.02564102564103</c:v>
                </c:pt>
                <c:pt idx="7">
                  <c:v>0</c:v>
                </c:pt>
                <c:pt idx="8">
                  <c:v>0.512820512820513</c:v>
                </c:pt>
              </c:numCache>
            </c:numRef>
          </c:yVal>
          <c:smooth val="0"/>
        </c:ser>
        <c:axId val="87028181"/>
        <c:axId val="19323901"/>
      </c:scatterChart>
      <c:valAx>
        <c:axId val="8702818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9323901"/>
        <c:crosses val="autoZero"/>
        <c:crossBetween val="midCat"/>
      </c:valAx>
      <c:valAx>
        <c:axId val="193239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02818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TPA'!$AM$2</c:f>
              <c:strCache>
                <c:ptCount val="1"/>
                <c:pt idx="0">
                  <c:v>CTRL B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TPA'!$AL$3:$AL$8</c:f>
              <c:numCache>
                <c:formatCode>General</c:formatCode>
                <c:ptCount val="6"/>
                <c:pt idx="1">
                  <c:v>1</c:v>
                </c:pt>
                <c:pt idx="2">
                  <c:v>14</c:v>
                </c:pt>
              </c:numCache>
            </c:numRef>
          </c:xVal>
          <c:yVal>
            <c:numRef>
              <c:f>'EXPAND CLONAL TPA'!$AM$3:$AM$8</c:f>
              <c:numCache>
                <c:formatCode>General</c:formatCode>
                <c:ptCount val="6"/>
                <c:pt idx="1">
                  <c:v>160.794495714286</c:v>
                </c:pt>
                <c:pt idx="2">
                  <c:v>151.3765224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TPA'!$AN$2</c:f>
              <c:strCache>
                <c:ptCount val="1"/>
                <c:pt idx="0">
                  <c:v>CTRL 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TPA'!$AL$3:$AL$8</c:f>
              <c:numCache>
                <c:formatCode>General</c:formatCode>
                <c:ptCount val="6"/>
                <c:pt idx="1">
                  <c:v>1</c:v>
                </c:pt>
                <c:pt idx="2">
                  <c:v>14</c:v>
                </c:pt>
              </c:numCache>
            </c:numRef>
          </c:xVal>
          <c:yVal>
            <c:numRef>
              <c:f>'EXPAND CLONAL TPA'!$AN$3:$AN$8</c:f>
              <c:numCache>
                <c:formatCode>General</c:formatCode>
                <c:ptCount val="6"/>
                <c:pt idx="1">
                  <c:v>177.500417346939</c:v>
                </c:pt>
                <c:pt idx="2">
                  <c:v>264.9089142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'EXPAND CLONAL TPA'!$AO$2</c:f>
              <c:strCache>
                <c:ptCount val="1"/>
                <c:pt idx="0">
                  <c:v>EXP B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TPA'!$AL$3:$AL$8</c:f>
              <c:numCache>
                <c:formatCode>General</c:formatCode>
                <c:ptCount val="6"/>
                <c:pt idx="1">
                  <c:v>1</c:v>
                </c:pt>
                <c:pt idx="2">
                  <c:v>14</c:v>
                </c:pt>
              </c:numCache>
            </c:numRef>
          </c:xVal>
          <c:yVal>
            <c:numRef>
              <c:f>'EXPAND CLONAL TPA'!$AO$3:$AO$8</c:f>
              <c:numCache>
                <c:formatCode>General</c:formatCode>
                <c:ptCount val="6"/>
                <c:pt idx="1">
                  <c:v>129.517344</c:v>
                </c:pt>
                <c:pt idx="2">
                  <c:v>249.263133055556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'EXPAND CLONAL TPA'!$AP$2</c:f>
              <c:strCache>
                <c:ptCount val="1"/>
                <c:pt idx="0">
                  <c:v>EXP T</c:v>
                </c:pt>
              </c:strCache>
            </c:strRef>
          </c:tx>
          <c:spPr>
            <a:solidFill>
              <a:srgbClr val="8064a2"/>
            </a:solidFill>
            <a:ln w="1908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TPA'!$AL$3:$AL$8</c:f>
              <c:numCache>
                <c:formatCode>General</c:formatCode>
                <c:ptCount val="6"/>
                <c:pt idx="1">
                  <c:v>1</c:v>
                </c:pt>
                <c:pt idx="2">
                  <c:v>14</c:v>
                </c:pt>
              </c:numCache>
            </c:numRef>
          </c:xVal>
          <c:yVal>
            <c:numRef>
              <c:f>'EXPAND CLONAL TPA'!$AP$3:$AP$8</c:f>
              <c:numCache>
                <c:formatCode>General</c:formatCode>
                <c:ptCount val="6"/>
                <c:pt idx="1">
                  <c:v>232.051908</c:v>
                </c:pt>
                <c:pt idx="2">
                  <c:v>594.052257222222</c:v>
                </c:pt>
              </c:numCache>
            </c:numRef>
          </c:yVal>
          <c:smooth val="0"/>
        </c:ser>
        <c:axId val="9204022"/>
        <c:axId val="70109535"/>
      </c:scatterChart>
      <c:valAx>
        <c:axId val="920402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0109535"/>
        <c:crosses val="autoZero"/>
        <c:crossBetween val="midCat"/>
      </c:valAx>
      <c:valAx>
        <c:axId val="7010953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0402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TPA'!$AS$2</c:f>
              <c:strCache>
                <c:ptCount val="1"/>
                <c:pt idx="0">
                  <c:v>CTRL B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TPA'!$AR$3:$AR$8</c:f>
              <c:numCache>
                <c:formatCode>General</c:formatCode>
                <c:ptCount val="6"/>
                <c:pt idx="1">
                  <c:v>1</c:v>
                </c:pt>
                <c:pt idx="2">
                  <c:v>14</c:v>
                </c:pt>
              </c:numCache>
            </c:numRef>
          </c:xVal>
          <c:yVal>
            <c:numRef>
              <c:f>'EXPAND CLONAL TPA'!$AS$3:$AS$8</c:f>
              <c:numCache>
                <c:formatCode>General</c:formatCode>
                <c:ptCount val="6"/>
                <c:pt idx="1">
                  <c:v>1.83333333333333</c:v>
                </c:pt>
                <c:pt idx="2">
                  <c:v>1.8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TPA'!$AT$2</c:f>
              <c:strCache>
                <c:ptCount val="1"/>
                <c:pt idx="0">
                  <c:v>CTRL 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TPA'!$AR$3:$AR$8</c:f>
              <c:numCache>
                <c:formatCode>General</c:formatCode>
                <c:ptCount val="6"/>
                <c:pt idx="1">
                  <c:v>1</c:v>
                </c:pt>
                <c:pt idx="2">
                  <c:v>14</c:v>
                </c:pt>
              </c:numCache>
            </c:numRef>
          </c:xVal>
          <c:yVal>
            <c:numRef>
              <c:f>'EXPAND CLONAL TPA'!$AT$3:$AT$8</c:f>
              <c:numCache>
                <c:formatCode>General</c:formatCode>
                <c:ptCount val="6"/>
                <c:pt idx="1">
                  <c:v>2.02380952380952</c:v>
                </c:pt>
                <c:pt idx="2">
                  <c:v>3.15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'EXPAND CLONAL TPA'!$AU$2</c:f>
              <c:strCache>
                <c:ptCount val="1"/>
                <c:pt idx="0">
                  <c:v>EXP B</c:v>
                </c:pt>
              </c:strCache>
            </c:strRef>
          </c:tx>
          <c:spPr>
            <a:solidFill>
              <a:srgbClr val="9bbb59"/>
            </a:solidFill>
            <a:ln w="1908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TPA'!$AR$3:$AR$8</c:f>
              <c:numCache>
                <c:formatCode>General</c:formatCode>
                <c:ptCount val="6"/>
                <c:pt idx="1">
                  <c:v>1</c:v>
                </c:pt>
                <c:pt idx="2">
                  <c:v>14</c:v>
                </c:pt>
              </c:numCache>
            </c:numRef>
          </c:xVal>
          <c:yVal>
            <c:numRef>
              <c:f>'EXPAND CLONAL TPA'!$AU$3:$AU$8</c:f>
              <c:numCache>
                <c:formatCode>General</c:formatCode>
                <c:ptCount val="6"/>
                <c:pt idx="1">
                  <c:v>1.69411764705882</c:v>
                </c:pt>
                <c:pt idx="2">
                  <c:v>3.09259259259259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'EXPAND CLONAL TPA'!$AV$2</c:f>
              <c:strCache>
                <c:ptCount val="1"/>
                <c:pt idx="0">
                  <c:v>EXP T</c:v>
                </c:pt>
              </c:strCache>
            </c:strRef>
          </c:tx>
          <c:spPr>
            <a:solidFill>
              <a:srgbClr val="8064a2"/>
            </a:solidFill>
            <a:ln w="1908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TPA'!$AR$3:$AR$8</c:f>
              <c:numCache>
                <c:formatCode>General</c:formatCode>
                <c:ptCount val="6"/>
                <c:pt idx="1">
                  <c:v>1</c:v>
                </c:pt>
                <c:pt idx="2">
                  <c:v>14</c:v>
                </c:pt>
              </c:numCache>
            </c:numRef>
          </c:xVal>
          <c:yVal>
            <c:numRef>
              <c:f>'EXPAND CLONAL TPA'!$AV$3:$AV$8</c:f>
              <c:numCache>
                <c:formatCode>General</c:formatCode>
                <c:ptCount val="6"/>
                <c:pt idx="1">
                  <c:v>3.03529411764706</c:v>
                </c:pt>
                <c:pt idx="2">
                  <c:v>7.37037037037037</c:v>
                </c:pt>
              </c:numCache>
            </c:numRef>
          </c:yVal>
          <c:smooth val="0"/>
        </c:ser>
        <c:axId val="91864613"/>
        <c:axId val="77081889"/>
      </c:scatterChart>
      <c:valAx>
        <c:axId val="9186461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081889"/>
        <c:crosses val="autoZero"/>
        <c:crossBetween val="midCat"/>
      </c:valAx>
      <c:valAx>
        <c:axId val="770818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186461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TPA'!$CU$11:$CU$17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'EXPAND CLONAL TPA'!$CV$11:$CV$17</c:f>
              <c:numCache>
                <c:formatCode>General</c:formatCode>
                <c:ptCount val="7"/>
                <c:pt idx="0">
                  <c:v>9.25925925925926</c:v>
                </c:pt>
                <c:pt idx="1">
                  <c:v>48.1481481481481</c:v>
                </c:pt>
                <c:pt idx="2">
                  <c:v>7.40740740740741</c:v>
                </c:pt>
                <c:pt idx="3">
                  <c:v>20.3703703703704</c:v>
                </c:pt>
                <c:pt idx="4">
                  <c:v>1.85185185185185</c:v>
                </c:pt>
                <c:pt idx="5">
                  <c:v>7.40740740740741</c:v>
                </c:pt>
                <c:pt idx="6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TPA'!$CU$11:$CU$17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'EXPAND CLONAL TPA'!$DB$11:$DB$17</c:f>
              <c:numCache>
                <c:formatCode>General</c:formatCode>
                <c:ptCount val="7"/>
                <c:pt idx="0">
                  <c:v>16.264621</c:v>
                </c:pt>
                <c:pt idx="1">
                  <c:v>32.733654</c:v>
                </c:pt>
                <c:pt idx="2">
                  <c:v>18.186517</c:v>
                </c:pt>
                <c:pt idx="3">
                  <c:v>14.681435</c:v>
                </c:pt>
                <c:pt idx="4">
                  <c:v>7.941985</c:v>
                </c:pt>
                <c:pt idx="5">
                  <c:v>4.824121</c:v>
                </c:pt>
                <c:pt idx="6">
                  <c:v>2.596137</c:v>
                </c:pt>
              </c:numCache>
            </c:numRef>
          </c:yVal>
          <c:smooth val="0"/>
        </c:ser>
        <c:axId val="81667696"/>
        <c:axId val="53826336"/>
      </c:scatterChart>
      <c:valAx>
        <c:axId val="8166769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3826336"/>
        <c:crosses val="autoZero"/>
        <c:crossBetween val="midCat"/>
      </c:valAx>
      <c:valAx>
        <c:axId val="538263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66769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TPA'!$BE$10</c:f>
              <c:strCache>
                <c:ptCount val="1"/>
                <c:pt idx="0">
                  <c:v>2XTPA_D14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TPA'!$BD$11:$BD$17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'EXPAND CLONAL TPA'!$BE$11:$BE$17</c:f>
              <c:numCache>
                <c:formatCode>General</c:formatCode>
                <c:ptCount val="7"/>
                <c:pt idx="0">
                  <c:v>90.7407407407407</c:v>
                </c:pt>
                <c:pt idx="1">
                  <c:v>42.5925925925926</c:v>
                </c:pt>
                <c:pt idx="2">
                  <c:v>35.1851851851852</c:v>
                </c:pt>
                <c:pt idx="3">
                  <c:v>14.8148148148148</c:v>
                </c:pt>
                <c:pt idx="4">
                  <c:v>12.962962962963</c:v>
                </c:pt>
                <c:pt idx="5">
                  <c:v>5.55555555555556</c:v>
                </c:pt>
                <c:pt idx="6">
                  <c:v>5.55555555555556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TPA'!$BF$10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TPA'!$BD$11:$BD$17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'EXPAND CLONAL TPA'!$BF$11:$BF$17</c:f>
              <c:numCache>
                <c:formatCode>General</c:formatCode>
                <c:ptCount val="7"/>
                <c:pt idx="0">
                  <c:v>90.0889287961451</c:v>
                </c:pt>
                <c:pt idx="1">
                  <c:v>51.3671841242842</c:v>
                </c:pt>
                <c:pt idx="2">
                  <c:v>29.2886999558932</c:v>
                </c:pt>
                <c:pt idx="3">
                  <c:v>16.6999215497349</c:v>
                </c:pt>
                <c:pt idx="4">
                  <c:v>9.52201293288151</c:v>
                </c:pt>
                <c:pt idx="5">
                  <c:v>5.42929079181225</c:v>
                </c:pt>
                <c:pt idx="6">
                  <c:v>3.0956898199819</c:v>
                </c:pt>
              </c:numCache>
            </c:numRef>
          </c:yVal>
          <c:smooth val="0"/>
        </c:ser>
        <c:axId val="3966549"/>
        <c:axId val="99232667"/>
      </c:scatterChart>
      <c:valAx>
        <c:axId val="396654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9232667"/>
        <c:crosses val="autoZero"/>
        <c:crossBetween val="midCat"/>
      </c:valAx>
      <c:valAx>
        <c:axId val="9923266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96654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TPA'!$AZ$10</c:f>
              <c:strCache>
                <c:ptCount val="1"/>
                <c:pt idx="0">
                  <c:v>2XTPA_D1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TPA'!$AY$11:$AY$13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'EXPAND CLONAL TPA'!$AZ$11:$AZ$13</c:f>
              <c:numCache>
                <c:formatCode>General</c:formatCode>
                <c:ptCount val="3"/>
                <c:pt idx="0">
                  <c:v>75</c:v>
                </c:pt>
                <c:pt idx="1">
                  <c:v>17.8571428571429</c:v>
                </c:pt>
                <c:pt idx="2">
                  <c:v>9.52380952380953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TPA'!$BA$10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TPA'!$AY$11:$AY$13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'EXPAND CLONAL TPA'!$BA$11:$BA$13</c:f>
              <c:numCache>
                <c:formatCode>General</c:formatCode>
                <c:ptCount val="3"/>
                <c:pt idx="0">
                  <c:v>58.1381669110058</c:v>
                </c:pt>
                <c:pt idx="1">
                  <c:v>20.7364812992146</c:v>
                </c:pt>
                <c:pt idx="2">
                  <c:v>7.39620252098582</c:v>
                </c:pt>
              </c:numCache>
            </c:numRef>
          </c:yVal>
          <c:smooth val="0"/>
        </c:ser>
        <c:axId val="31934203"/>
        <c:axId val="49823015"/>
      </c:scatterChart>
      <c:valAx>
        <c:axId val="3193420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9823015"/>
        <c:crosses val="autoZero"/>
        <c:crossBetween val="midCat"/>
      </c:valAx>
      <c:valAx>
        <c:axId val="4982301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193420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TPA'!$BJ$10</c:f>
              <c:strCache>
                <c:ptCount val="1"/>
                <c:pt idx="0">
                  <c:v>CTRL_D1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TPA'!$BI$11:$BI$13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'EXPAND CLONAL TPA'!$BJ$11:$BJ$13</c:f>
              <c:numCache>
                <c:formatCode>General</c:formatCode>
                <c:ptCount val="3"/>
                <c:pt idx="0">
                  <c:v>69.0476190476191</c:v>
                </c:pt>
                <c:pt idx="1">
                  <c:v>9.52380952380953</c:v>
                </c:pt>
                <c:pt idx="2">
                  <c:v>4.76190476190476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TPA'!$BK$10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TPA'!$BI$11:$BI$13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'EXPAND CLONAL TPA'!$BK$11:$BK$13</c:f>
              <c:numCache>
                <c:formatCode>General</c:formatCode>
                <c:ptCount val="3"/>
                <c:pt idx="0">
                  <c:v>55.6459869251245</c:v>
                </c:pt>
                <c:pt idx="1">
                  <c:v>16.9206331195144</c:v>
                </c:pt>
                <c:pt idx="2">
                  <c:v>5.14516573406188</c:v>
                </c:pt>
              </c:numCache>
            </c:numRef>
          </c:yVal>
          <c:smooth val="0"/>
        </c:ser>
        <c:axId val="9733587"/>
        <c:axId val="71531629"/>
      </c:scatterChart>
      <c:valAx>
        <c:axId val="973358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531629"/>
        <c:crosses val="autoZero"/>
        <c:crossBetween val="midCat"/>
      </c:valAx>
      <c:valAx>
        <c:axId val="715316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3358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TPA'!$BO$10</c:f>
              <c:strCache>
                <c:ptCount val="1"/>
                <c:pt idx="0">
                  <c:v>CTRL_D14 B</c:v>
                </c:pt>
              </c:strCache>
            </c:strRef>
          </c:tx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TPA'!$BN$11:$BN$14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'EXPAND CLONAL TPA'!$BO$11:$BO$14</c:f>
              <c:numCache>
                <c:formatCode>General</c:formatCode>
                <c:ptCount val="4"/>
                <c:pt idx="0">
                  <c:v>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TPA'!$BP$10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TPA'!$BN$11:$BN$14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'EXPAND CLONAL TPA'!$BP$11:$BP$14</c:f>
              <c:numCache>
                <c:formatCode>General</c:formatCode>
                <c:ptCount val="4"/>
                <c:pt idx="0">
                  <c:v>81.6430839032748</c:v>
                </c:pt>
                <c:pt idx="1">
                  <c:v>27.2065026499477</c:v>
                </c:pt>
                <c:pt idx="2">
                  <c:v>9.06621542271162</c:v>
                </c:pt>
                <c:pt idx="3">
                  <c:v>3.0211991283331</c:v>
                </c:pt>
              </c:numCache>
            </c:numRef>
          </c:yVal>
          <c:smooth val="0"/>
        </c:ser>
        <c:axId val="45298340"/>
        <c:axId val="21532359"/>
      </c:scatterChart>
      <c:valAx>
        <c:axId val="4529834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1532359"/>
        <c:crosses val="autoZero"/>
        <c:crossBetween val="midCat"/>
      </c:valAx>
      <c:valAx>
        <c:axId val="215323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29834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TPA'!$BK$1:$BK$5</c:f>
              <c:numCache>
                <c:formatCode>General</c:formatCode>
                <c:ptCount val="5"/>
                <c:pt idx="0">
                  <c:v>1</c:v>
                </c:pt>
                <c:pt idx="1">
                  <c:v>14</c:v>
                </c:pt>
              </c:numCache>
            </c:numRef>
          </c:xVal>
          <c:yVal>
            <c:numRef>
              <c:f>'EXPAND CLONAL TPA'!$BL$1:$BL$5</c:f>
              <c:numCache>
                <c:formatCode>General</c:formatCode>
                <c:ptCount val="5"/>
                <c:pt idx="0">
                  <c:v>0.84</c:v>
                </c:pt>
                <c:pt idx="1">
                  <c:v>0.91</c:v>
                </c:pt>
              </c:numCache>
            </c:numRef>
          </c:yVal>
          <c:smooth val="0"/>
        </c:ser>
        <c:axId val="99712828"/>
        <c:axId val="99091583"/>
      </c:scatterChart>
      <c:valAx>
        <c:axId val="9971282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9091583"/>
        <c:crosses val="autoZero"/>
        <c:crossBetween val="midCat"/>
      </c:valAx>
      <c:valAx>
        <c:axId val="990915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971282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TPA'!$CN$10</c:f>
              <c:strCache>
                <c:ptCount val="1"/>
                <c:pt idx="0">
                  <c:v>CTRL_D14 B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TPA'!$CM$11:$CM$19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'EXPAND CLONAL TPA'!$CN$11:$CN$19</c:f>
              <c:numCache>
                <c:formatCode>General</c:formatCode>
                <c:ptCount val="9"/>
                <c:pt idx="0">
                  <c:v>20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TPA'!$CO$10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TPA'!$CM$11:$CM$19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'EXPAND CLONAL TPA'!$CO$11:$CO$19</c:f>
              <c:numCache>
                <c:formatCode>General</c:formatCode>
                <c:ptCount val="9"/>
                <c:pt idx="0">
                  <c:v>32.9259498061934</c:v>
                </c:pt>
                <c:pt idx="1">
                  <c:v>45.0965618837812</c:v>
                </c:pt>
                <c:pt idx="2">
                  <c:v>7.23629676962097</c:v>
                </c:pt>
                <c:pt idx="3">
                  <c:v>9.91109161623137</c:v>
                </c:pt>
                <c:pt idx="4">
                  <c:v>1.59035627662219</c:v>
                </c:pt>
                <c:pt idx="5">
                  <c:v>2.17820900135315</c:v>
                </c:pt>
                <c:pt idx="6">
                  <c:v>0.349520364782397</c:v>
                </c:pt>
                <c:pt idx="7">
                  <c:v>0.478715628640309</c:v>
                </c:pt>
                <c:pt idx="8">
                  <c:v>0.0768157973112093</c:v>
                </c:pt>
              </c:numCache>
            </c:numRef>
          </c:yVal>
          <c:smooth val="0"/>
        </c:ser>
        <c:axId val="68446529"/>
        <c:axId val="6846880"/>
      </c:scatterChart>
      <c:valAx>
        <c:axId val="6844652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46880"/>
        <c:crosses val="autoZero"/>
        <c:crossBetween val="midCat"/>
      </c:valAx>
      <c:valAx>
        <c:axId val="68468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44652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TPA'!$AR$3:$AR$8</c:f>
              <c:numCache>
                <c:formatCode>General</c:formatCode>
                <c:ptCount val="6"/>
                <c:pt idx="1">
                  <c:v>1</c:v>
                </c:pt>
                <c:pt idx="2">
                  <c:v>14</c:v>
                </c:pt>
              </c:numCache>
            </c:numRef>
          </c:xVal>
          <c:yVal>
            <c:numRef>
              <c:f>'EXPAND CLONAL TPA'!$AW$3:$AW$8</c:f>
              <c:numCache>
                <c:formatCode>General</c:formatCode>
                <c:ptCount val="6"/>
                <c:pt idx="1">
                  <c:v>0.75</c:v>
                </c:pt>
                <c:pt idx="2">
                  <c:v>1.5</c:v>
                </c:pt>
              </c:numCache>
            </c:numRef>
          </c:yVal>
          <c:smooth val="0"/>
        </c:ser>
        <c:axId val="94405096"/>
        <c:axId val="8975041"/>
      </c:scatterChart>
      <c:valAx>
        <c:axId val="9440509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75041"/>
        <c:crosses val="autoZero"/>
        <c:crossBetween val="midCat"/>
      </c:valAx>
      <c:valAx>
        <c:axId val="89750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440509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TPA'!$CB$10</c:f>
              <c:strCache>
                <c:ptCount val="1"/>
                <c:pt idx="0">
                  <c:v>2XTPA_D14 B</c:v>
                </c:pt>
              </c:strCache>
            </c:strRef>
          </c:tx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TPA'!$BU$11:$BU$28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'EXPAND CLONAL TPA'!$CB$11:$CB$28</c:f>
              <c:numCache>
                <c:formatCode>General</c:formatCode>
                <c:ptCount val="18"/>
                <c:pt idx="0">
                  <c:v>9.25925925925926</c:v>
                </c:pt>
                <c:pt idx="1">
                  <c:v>48.1481481481481</c:v>
                </c:pt>
                <c:pt idx="2">
                  <c:v>7.40740740740741</c:v>
                </c:pt>
                <c:pt idx="3">
                  <c:v>20.3703703703704</c:v>
                </c:pt>
                <c:pt idx="4">
                  <c:v>1.85185185185185</c:v>
                </c:pt>
                <c:pt idx="5">
                  <c:v>7.40740740740741</c:v>
                </c:pt>
                <c:pt idx="6">
                  <c:v>0</c:v>
                </c:pt>
                <c:pt idx="7">
                  <c:v>3.7037037037037</c:v>
                </c:pt>
                <c:pt idx="8">
                  <c:v>1.85185185185185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'EXPAND CLONAL TPA'!$CC$10</c:f>
              <c:strCache>
                <c:ptCount val="1"/>
                <c:pt idx="0">
                  <c:v>2XTPA_D14 T</c:v>
                </c:pt>
              </c:strCache>
            </c:strRef>
          </c:tx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TPA'!$BU$11:$BU$28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'EXPAND CLONAL TPA'!$CC$11:$CC$28</c:f>
              <c:numCache>
                <c:formatCode>General</c:formatCode>
                <c:ptCount val="18"/>
                <c:pt idx="0">
                  <c:v>0</c:v>
                </c:pt>
                <c:pt idx="1">
                  <c:v>7.40740740740741</c:v>
                </c:pt>
                <c:pt idx="2">
                  <c:v>5.55555555555556</c:v>
                </c:pt>
                <c:pt idx="3">
                  <c:v>12.962962962963</c:v>
                </c:pt>
                <c:pt idx="4">
                  <c:v>5.55555555555556</c:v>
                </c:pt>
                <c:pt idx="5">
                  <c:v>22.2222222222222</c:v>
                </c:pt>
                <c:pt idx="6">
                  <c:v>5.55555555555556</c:v>
                </c:pt>
                <c:pt idx="7">
                  <c:v>12.962962962963</c:v>
                </c:pt>
                <c:pt idx="8">
                  <c:v>1.85185185185185</c:v>
                </c:pt>
                <c:pt idx="9">
                  <c:v>9.25925925925926</c:v>
                </c:pt>
                <c:pt idx="10">
                  <c:v>0</c:v>
                </c:pt>
                <c:pt idx="11">
                  <c:v>3.7037037037037</c:v>
                </c:pt>
                <c:pt idx="12">
                  <c:v>1.85185185185185</c:v>
                </c:pt>
                <c:pt idx="13">
                  <c:v>3.7037037037037</c:v>
                </c:pt>
                <c:pt idx="14">
                  <c:v>1.85185185185185</c:v>
                </c:pt>
                <c:pt idx="15">
                  <c:v>3.7037037037037</c:v>
                </c:pt>
                <c:pt idx="16">
                  <c:v>0</c:v>
                </c:pt>
                <c:pt idx="17">
                  <c:v>1.85185185185185</c:v>
                </c:pt>
              </c:numCache>
            </c:numRef>
          </c:yVal>
          <c:smooth val="0"/>
        </c:ser>
        <c:axId val="64886148"/>
        <c:axId val="83708446"/>
      </c:scatterChart>
      <c:valAx>
        <c:axId val="6488614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3708446"/>
        <c:crosses val="autoZero"/>
        <c:crossBetween val="midCat"/>
      </c:valAx>
      <c:valAx>
        <c:axId val="837084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488614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2XTPA_D14 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'EXPAND CLONAL TPA'!$O$1</c:f>
              <c:strCache>
                <c:ptCount val="1"/>
                <c:pt idx="0">
                  <c:v>2XTPA_D14 S</c:v>
                </c:pt>
              </c:strCache>
            </c:strRef>
          </c:tx>
          <c:spPr>
            <a:solidFill>
              <a:srgbClr val="4f81bd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TPA'!$M$2:$M$117</c:f>
              <c:numCache>
                <c:formatCode>General</c:formatCode>
                <c:ptCount val="116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9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6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4</c:v>
                </c:pt>
                <c:pt idx="40">
                  <c:v>4</c:v>
                </c:pt>
                <c:pt idx="41">
                  <c:v>2</c:v>
                </c:pt>
                <c:pt idx="42">
                  <c:v>8</c:v>
                </c:pt>
                <c:pt idx="43">
                  <c:v>6</c:v>
                </c:pt>
                <c:pt idx="44">
                  <c:v>4</c:v>
                </c:pt>
                <c:pt idx="45">
                  <c:v>2</c:v>
                </c:pt>
                <c:pt idx="46">
                  <c:v>8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2</c:v>
                </c:pt>
                <c:pt idx="51">
                  <c:v>4</c:v>
                </c:pt>
                <c:pt idx="52">
                  <c:v>4</c:v>
                </c:pt>
                <c:pt idx="53">
                  <c:v>2</c:v>
                </c:pt>
              </c:numCache>
            </c:numRef>
          </c:xVal>
          <c:yVal>
            <c:numRef>
              <c:f>'EXPAND CLONAL TPA'!$O$2:$O$117</c:f>
              <c:numCache>
                <c:formatCode>General</c:formatCode>
                <c:ptCount val="116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6</c:v>
                </c:pt>
                <c:pt idx="20">
                  <c:v>0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2</c:v>
                </c:pt>
                <c:pt idx="25">
                  <c:v>8</c:v>
                </c:pt>
                <c:pt idx="26">
                  <c:v>10</c:v>
                </c:pt>
                <c:pt idx="27">
                  <c:v>6</c:v>
                </c:pt>
                <c:pt idx="28">
                  <c:v>12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4</c:v>
                </c:pt>
                <c:pt idx="40">
                  <c:v>6</c:v>
                </c:pt>
                <c:pt idx="41">
                  <c:v>4</c:v>
                </c:pt>
                <c:pt idx="42">
                  <c:v>8</c:v>
                </c:pt>
                <c:pt idx="43">
                  <c:v>8</c:v>
                </c:pt>
                <c:pt idx="44">
                  <c:v>4</c:v>
                </c:pt>
                <c:pt idx="45">
                  <c:v>4</c:v>
                </c:pt>
                <c:pt idx="46">
                  <c:v>8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0</c:v>
                </c:pt>
                <c:pt idx="51">
                  <c:v>14</c:v>
                </c:pt>
                <c:pt idx="52">
                  <c:v>8</c:v>
                </c:pt>
                <c:pt idx="53">
                  <c:v>4</c:v>
                </c:pt>
              </c:numCache>
            </c:numRef>
          </c:yVal>
          <c:smooth val="0"/>
        </c:ser>
        <c:axId val="41569785"/>
        <c:axId val="91332671"/>
      </c:scatterChart>
      <c:valAx>
        <c:axId val="4156978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1332671"/>
        <c:crosses val="autoZero"/>
        <c:crossBetween val="midCat"/>
      </c:valAx>
      <c:valAx>
        <c:axId val="9133267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56978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CLONAL TPA'!$M$2:$M$55</c:f>
              <c:numCache>
                <c:formatCode>General</c:formatCode>
                <c:ptCount val="5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9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6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4</c:v>
                </c:pt>
                <c:pt idx="40">
                  <c:v>4</c:v>
                </c:pt>
                <c:pt idx="41">
                  <c:v>2</c:v>
                </c:pt>
                <c:pt idx="42">
                  <c:v>8</c:v>
                </c:pt>
                <c:pt idx="43">
                  <c:v>6</c:v>
                </c:pt>
                <c:pt idx="44">
                  <c:v>4</c:v>
                </c:pt>
                <c:pt idx="45">
                  <c:v>2</c:v>
                </c:pt>
                <c:pt idx="46">
                  <c:v>8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2</c:v>
                </c:pt>
                <c:pt idx="51">
                  <c:v>4</c:v>
                </c:pt>
                <c:pt idx="52">
                  <c:v>4</c:v>
                </c:pt>
                <c:pt idx="53">
                  <c:v>2</c:v>
                </c:pt>
              </c:numCache>
            </c:numRef>
          </c:xVal>
          <c:yVal>
            <c:numRef>
              <c:f>'EXPAND CLONAL TPA'!$P$2:$P$55</c:f>
              <c:numCache>
                <c:formatCode>General</c:formatCode>
                <c:ptCount val="54"/>
                <c:pt idx="0">
                  <c:v>0.75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0.666666666666667</c:v>
                </c:pt>
                <c:pt idx="5">
                  <c:v>0.333333333333333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1.33333333333333</c:v>
                </c:pt>
                <c:pt idx="10">
                  <c:v>1.5</c:v>
                </c:pt>
                <c:pt idx="11">
                  <c:v>2</c:v>
                </c:pt>
                <c:pt idx="12">
                  <c:v>0.5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0.666666666666667</c:v>
                </c:pt>
                <c:pt idx="17">
                  <c:v>0.6</c:v>
                </c:pt>
                <c:pt idx="18">
                  <c:v>2</c:v>
                </c:pt>
                <c:pt idx="19">
                  <c:v>3</c:v>
                </c:pt>
                <c:pt idx="20">
                  <c:v>0</c:v>
                </c:pt>
                <c:pt idx="21">
                  <c:v>4</c:v>
                </c:pt>
                <c:pt idx="22">
                  <c:v>2.5</c:v>
                </c:pt>
                <c:pt idx="23">
                  <c:v>2</c:v>
                </c:pt>
                <c:pt idx="24">
                  <c:v>2</c:v>
                </c:pt>
                <c:pt idx="25">
                  <c:v>4</c:v>
                </c:pt>
                <c:pt idx="26">
                  <c:v>3.33333333333333</c:v>
                </c:pt>
                <c:pt idx="27">
                  <c:v>1.5</c:v>
                </c:pt>
                <c:pt idx="28">
                  <c:v>6</c:v>
                </c:pt>
                <c:pt idx="29">
                  <c:v>1</c:v>
                </c:pt>
                <c:pt idx="30">
                  <c:v>2</c:v>
                </c:pt>
                <c:pt idx="31">
                  <c:v>0.666666666666667</c:v>
                </c:pt>
                <c:pt idx="32">
                  <c:v>4</c:v>
                </c:pt>
                <c:pt idx="33">
                  <c:v>1</c:v>
                </c:pt>
                <c:pt idx="34">
                  <c:v>0.5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1.5</c:v>
                </c:pt>
                <c:pt idx="41">
                  <c:v>2</c:v>
                </c:pt>
                <c:pt idx="42">
                  <c:v>1</c:v>
                </c:pt>
                <c:pt idx="43">
                  <c:v>1.33333333333333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3.5</c:v>
                </c:pt>
                <c:pt idx="52">
                  <c:v>2</c:v>
                </c:pt>
                <c:pt idx="53">
                  <c:v>2</c:v>
                </c:pt>
              </c:numCache>
            </c:numRef>
          </c:yVal>
          <c:smooth val="0"/>
        </c:ser>
        <c:axId val="1785076"/>
        <c:axId val="21208416"/>
      </c:scatterChart>
      <c:valAx>
        <c:axId val="178507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1208416"/>
        <c:crosses val="autoZero"/>
        <c:crossBetween val="midCat"/>
      </c:valAx>
      <c:valAx>
        <c:axId val="212084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78507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'TPA CLONAL DATA'!$G$2:$G$55</c:f>
              <c:numCache>
                <c:formatCode>General</c:formatCode>
                <c:ptCount val="5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9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6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4</c:v>
                </c:pt>
                <c:pt idx="40">
                  <c:v>4</c:v>
                </c:pt>
                <c:pt idx="41">
                  <c:v>2</c:v>
                </c:pt>
                <c:pt idx="42">
                  <c:v>8</c:v>
                </c:pt>
                <c:pt idx="43">
                  <c:v>6</c:v>
                </c:pt>
                <c:pt idx="44">
                  <c:v>4</c:v>
                </c:pt>
                <c:pt idx="45">
                  <c:v>2</c:v>
                </c:pt>
                <c:pt idx="46">
                  <c:v>8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2</c:v>
                </c:pt>
                <c:pt idx="51">
                  <c:v>4</c:v>
                </c:pt>
                <c:pt idx="52">
                  <c:v>4</c:v>
                </c:pt>
                <c:pt idx="53">
                  <c:v>2</c:v>
                </c:pt>
              </c:numCache>
            </c:numRef>
          </c:xVal>
          <c:yVal>
            <c:numRef>
              <c:f>'TPA CLONAL DATA'!$I$2:$I$55</c:f>
              <c:numCache>
                <c:formatCode>General</c:formatCode>
                <c:ptCount val="54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6</c:v>
                </c:pt>
                <c:pt idx="20">
                  <c:v>0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2</c:v>
                </c:pt>
                <c:pt idx="25">
                  <c:v>8</c:v>
                </c:pt>
                <c:pt idx="26">
                  <c:v>10</c:v>
                </c:pt>
                <c:pt idx="27">
                  <c:v>6</c:v>
                </c:pt>
                <c:pt idx="28">
                  <c:v>12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4</c:v>
                </c:pt>
                <c:pt idx="40">
                  <c:v>6</c:v>
                </c:pt>
                <c:pt idx="41">
                  <c:v>4</c:v>
                </c:pt>
                <c:pt idx="42">
                  <c:v>8</c:v>
                </c:pt>
                <c:pt idx="43">
                  <c:v>8</c:v>
                </c:pt>
                <c:pt idx="44">
                  <c:v>4</c:v>
                </c:pt>
                <c:pt idx="45">
                  <c:v>4</c:v>
                </c:pt>
                <c:pt idx="46">
                  <c:v>8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0</c:v>
                </c:pt>
                <c:pt idx="51">
                  <c:v>14</c:v>
                </c:pt>
                <c:pt idx="52">
                  <c:v>8</c:v>
                </c:pt>
                <c:pt idx="53">
                  <c:v>4</c:v>
                </c:pt>
              </c:numCache>
            </c:numRef>
          </c:yVal>
          <c:smooth val="0"/>
        </c:ser>
        <c:axId val="84028399"/>
        <c:axId val="79635266"/>
      </c:scatterChart>
      <c:valAx>
        <c:axId val="8402839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9635266"/>
        <c:crosses val="autoZero"/>
        <c:crossBetween val="midCat"/>
      </c:valAx>
      <c:valAx>
        <c:axId val="7963526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402839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BRDU'!$J$10:$J$16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14</c:v>
                </c:pt>
              </c:numCache>
            </c:numRef>
          </c:xVal>
          <c:yVal>
            <c:numRef>
              <c:f>'EXPAND BRDU'!$K$10:$K$16</c:f>
              <c:numCache>
                <c:formatCode>General</c:formatCode>
                <c:ptCount val="7"/>
                <c:pt idx="0">
                  <c:v>3.91988863636364</c:v>
                </c:pt>
                <c:pt idx="1">
                  <c:v>3.263457</c:v>
                </c:pt>
                <c:pt idx="2">
                  <c:v>7.7798384</c:v>
                </c:pt>
                <c:pt idx="3">
                  <c:v>8.1996162</c:v>
                </c:pt>
                <c:pt idx="4">
                  <c:v>6.540609</c:v>
                </c:pt>
                <c:pt idx="5">
                  <c:v>6.21759725</c:v>
                </c:pt>
                <c:pt idx="6">
                  <c:v>5.3599472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BRDU'!$J$10:$J$16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14</c:v>
                </c:pt>
              </c:numCache>
            </c:numRef>
          </c:xVal>
          <c:yVal>
            <c:numRef>
              <c:f>'EXPAND BRDU'!$O$10:$O$16</c:f>
              <c:numCache>
                <c:formatCode>General</c:formatCode>
                <c:ptCount val="7"/>
                <c:pt idx="0">
                  <c:v>3.39</c:v>
                </c:pt>
                <c:pt idx="1">
                  <c:v>3.39</c:v>
                </c:pt>
                <c:pt idx="2">
                  <c:v>6.441</c:v>
                </c:pt>
                <c:pt idx="3">
                  <c:v>8.814</c:v>
                </c:pt>
                <c:pt idx="4">
                  <c:v>7.797</c:v>
                </c:pt>
                <c:pt idx="5">
                  <c:v>6.102</c:v>
                </c:pt>
                <c:pt idx="6">
                  <c:v>4.407</c:v>
                </c:pt>
              </c:numCache>
            </c:numRef>
          </c:yVal>
          <c:smooth val="0"/>
        </c:ser>
        <c:axId val="70211400"/>
        <c:axId val="67099025"/>
      </c:scatterChart>
      <c:valAx>
        <c:axId val="7021140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7099025"/>
        <c:crosses val="autoZero"/>
        <c:crossBetween val="midCat"/>
      </c:valAx>
      <c:valAx>
        <c:axId val="670990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021140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BRDU'!$J$10:$J$16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14</c:v>
                </c:pt>
              </c:numCache>
            </c:numRef>
          </c:xVal>
          <c:yVal>
            <c:numRef>
              <c:f>'EXPAND BRDU'!$K$10:$K$16</c:f>
              <c:numCache>
                <c:formatCode>General</c:formatCode>
                <c:ptCount val="7"/>
                <c:pt idx="0">
                  <c:v>3.91988863636364</c:v>
                </c:pt>
                <c:pt idx="1">
                  <c:v>3.263457</c:v>
                </c:pt>
                <c:pt idx="2">
                  <c:v>7.7798384</c:v>
                </c:pt>
                <c:pt idx="3">
                  <c:v>8.1996162</c:v>
                </c:pt>
                <c:pt idx="4">
                  <c:v>6.540609</c:v>
                </c:pt>
                <c:pt idx="5">
                  <c:v>6.21759725</c:v>
                </c:pt>
                <c:pt idx="6">
                  <c:v>5.3599472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cap="rnd" w="19080">
                <a:solidFill>
                  <a:srgbClr val="4f81bd"/>
                </a:solidFill>
                <a:prstDash val="sysDot"/>
                <a:round/>
              </a:ln>
            </c:spPr>
            <c:trendlineType val="poly"/>
            <c:order val="4"/>
            <c:forward val="0"/>
            <c:backward val="0"/>
            <c:dispRSqr val="0"/>
            <c:dispEq val="1"/>
          </c:trendline>
          <c:xVal>
            <c:numRef>
              <c:f>'EXPAND BRDU'!$M$10:$M$16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14</c:v>
                </c:pt>
              </c:numCache>
            </c:numRef>
          </c:xVal>
          <c:yVal>
            <c:numRef>
              <c:f>'EXPAND BRDU'!$O$10:$O$16</c:f>
              <c:numCache>
                <c:formatCode>General</c:formatCode>
                <c:ptCount val="7"/>
                <c:pt idx="0">
                  <c:v>3.39</c:v>
                </c:pt>
                <c:pt idx="1">
                  <c:v>3.39</c:v>
                </c:pt>
                <c:pt idx="2">
                  <c:v>6.441</c:v>
                </c:pt>
                <c:pt idx="3">
                  <c:v>8.814</c:v>
                </c:pt>
                <c:pt idx="4">
                  <c:v>7.797</c:v>
                </c:pt>
                <c:pt idx="5">
                  <c:v>6.102</c:v>
                </c:pt>
                <c:pt idx="6">
                  <c:v>4.407</c:v>
                </c:pt>
              </c:numCache>
            </c:numRef>
          </c:yVal>
          <c:smooth val="0"/>
        </c:ser>
        <c:axId val="61201078"/>
        <c:axId val="95248209"/>
      </c:scatterChart>
      <c:valAx>
        <c:axId val="6120107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5248209"/>
        <c:crosses val="autoZero"/>
        <c:crossBetween val="midCat"/>
      </c:valAx>
      <c:valAx>
        <c:axId val="9524820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120107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cap="rnd" w="19080">
                <a:solidFill>
                  <a:srgbClr val="4f81bd"/>
                </a:solidFill>
                <a:prstDash val="sysDot"/>
                <a:round/>
              </a:ln>
            </c:spPr>
            <c:trendlineType val="poly"/>
            <c:order val="3"/>
            <c:forward val="0"/>
            <c:backward val="0"/>
            <c:dispRSqr val="0"/>
            <c:dispEq val="1"/>
          </c:trendline>
          <c:xVal>
            <c:numRef>
              <c:f>'EXPAND BRDU'!$J$10:$J$16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14</c:v>
                </c:pt>
              </c:numCache>
            </c:numRef>
          </c:xVal>
          <c:yVal>
            <c:numRef>
              <c:f>'EXPAND BRDU'!$U$10:$U$16</c:f>
              <c:numCache>
                <c:formatCode>General</c:formatCode>
                <c:ptCount val="7"/>
                <c:pt idx="0">
                  <c:v>0.203</c:v>
                </c:pt>
                <c:pt idx="1">
                  <c:v>0.203</c:v>
                </c:pt>
                <c:pt idx="2">
                  <c:v>0.273</c:v>
                </c:pt>
                <c:pt idx="3">
                  <c:v>0.545</c:v>
                </c:pt>
                <c:pt idx="4">
                  <c:v>0.272</c:v>
                </c:pt>
                <c:pt idx="5">
                  <c:v>0.029</c:v>
                </c:pt>
                <c:pt idx="6">
                  <c:v>0.029</c:v>
                </c:pt>
              </c:numCache>
            </c:numRef>
          </c:yVal>
          <c:smooth val="0"/>
        </c:ser>
        <c:axId val="74726079"/>
        <c:axId val="72827448"/>
      </c:scatterChart>
      <c:valAx>
        <c:axId val="7472607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2827448"/>
        <c:crosses val="autoZero"/>
        <c:crossBetween val="midCat"/>
      </c:valAx>
      <c:valAx>
        <c:axId val="728274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72607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BRDU'!$M$10:$M$16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14</c:v>
                </c:pt>
              </c:numCache>
            </c:numRef>
          </c:xVal>
          <c:yVal>
            <c:numRef>
              <c:f>'EXPAND BRDU'!$N$10:$N$16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1.9</c:v>
                </c:pt>
                <c:pt idx="3">
                  <c:v>2.6</c:v>
                </c:pt>
                <c:pt idx="4">
                  <c:v>2.3</c:v>
                </c:pt>
                <c:pt idx="5">
                  <c:v>1.8</c:v>
                </c:pt>
                <c:pt idx="6">
                  <c:v>1.3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c0504d"/>
            </a:solidFill>
            <a:ln w="1908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'EXPAND BRDU'!$M$10:$M$16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10</c:v>
                </c:pt>
                <c:pt idx="6">
                  <c:v>14</c:v>
                </c:pt>
              </c:numCache>
            </c:numRef>
          </c:xVal>
          <c:yVal>
            <c:numRef>
              <c:f>'EXPAND BRDU'!$Q$10:$Q$16</c:f>
              <c:numCache>
                <c:formatCode>General</c:formatCode>
                <c:ptCount val="7"/>
                <c:pt idx="0">
                  <c:v>1</c:v>
                </c:pt>
                <c:pt idx="1">
                  <c:v>1.38196918132951</c:v>
                </c:pt>
                <c:pt idx="2">
                  <c:v>1.9891556304104</c:v>
                </c:pt>
                <c:pt idx="3">
                  <c:v>2.65835400198745</c:v>
                </c:pt>
                <c:pt idx="4">
                  <c:v>2.16531271013043</c:v>
                </c:pt>
                <c:pt idx="5">
                  <c:v>1.76315918194804</c:v>
                </c:pt>
                <c:pt idx="6">
                  <c:v>1.26277040717506</c:v>
                </c:pt>
              </c:numCache>
            </c:numRef>
          </c:yVal>
          <c:smooth val="0"/>
        </c:ser>
        <c:axId val="14283493"/>
        <c:axId val="58115670"/>
      </c:scatterChart>
      <c:valAx>
        <c:axId val="1428349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8115670"/>
        <c:crosses val="autoZero"/>
        <c:crossBetween val="midCat"/>
      </c:valAx>
      <c:valAx>
        <c:axId val="581156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28349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chart" Target="../charts/chart40.xml"/><Relationship Id="rId3" Type="http://schemas.openxmlformats.org/officeDocument/2006/relationships/chart" Target="../charts/chart4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Relationship Id="rId4" Type="http://schemas.openxmlformats.org/officeDocument/2006/relationships/chart" Target="../charts/chart46.xml"/><Relationship Id="rId5" Type="http://schemas.openxmlformats.org/officeDocument/2006/relationships/chart" Target="../charts/chart47.xml"/><Relationship Id="rId6" Type="http://schemas.openxmlformats.org/officeDocument/2006/relationships/chart" Target="../charts/chart48.xml"/><Relationship Id="rId7" Type="http://schemas.openxmlformats.org/officeDocument/2006/relationships/chart" Target="../charts/chart49.xml"/><Relationship Id="rId8" Type="http://schemas.openxmlformats.org/officeDocument/2006/relationships/chart" Target="../charts/chart50.xml"/><Relationship Id="rId9" Type="http://schemas.openxmlformats.org/officeDocument/2006/relationships/chart" Target="../charts/chart51.xml"/><Relationship Id="rId10" Type="http://schemas.openxmlformats.org/officeDocument/2006/relationships/chart" Target="../charts/chart52.xml"/><Relationship Id="rId11" Type="http://schemas.openxmlformats.org/officeDocument/2006/relationships/chart" Target="../charts/chart53.xml"/><Relationship Id="rId12" Type="http://schemas.openxmlformats.org/officeDocument/2006/relationships/chart" Target="../charts/chart54.xml"/><Relationship Id="rId13" Type="http://schemas.openxmlformats.org/officeDocument/2006/relationships/chart" Target="../charts/chart5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57.xml"/><Relationship Id="rId2" Type="http://schemas.openxmlformats.org/officeDocument/2006/relationships/chart" Target="../charts/chart58.xml"/><Relationship Id="rId3" Type="http://schemas.openxmlformats.org/officeDocument/2006/relationships/chart" Target="../charts/chart59.xml"/><Relationship Id="rId4" Type="http://schemas.openxmlformats.org/officeDocument/2006/relationships/chart" Target="../charts/chart6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60</xdr:col>
      <xdr:colOff>291240</xdr:colOff>
      <xdr:row>14</xdr:row>
      <xdr:rowOff>81360</xdr:rowOff>
    </xdr:from>
    <xdr:to>
      <xdr:col>66</xdr:col>
      <xdr:colOff>658440</xdr:colOff>
      <xdr:row>31</xdr:row>
      <xdr:rowOff>86760</xdr:rowOff>
    </xdr:to>
    <xdr:graphicFrame>
      <xdr:nvGraphicFramePr>
        <xdr:cNvPr id="0" name="Chart 1"/>
        <xdr:cNvGraphicFramePr/>
      </xdr:nvGraphicFramePr>
      <xdr:xfrm>
        <a:off x="55117080" y="2926080"/>
        <a:ext cx="5850000" cy="3459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140</xdr:col>
      <xdr:colOff>330120</xdr:colOff>
      <xdr:row>14</xdr:row>
      <xdr:rowOff>25560</xdr:rowOff>
    </xdr:from>
    <xdr:to>
      <xdr:col>145</xdr:col>
      <xdr:colOff>773640</xdr:colOff>
      <xdr:row>27</xdr:row>
      <xdr:rowOff>126000</xdr:rowOff>
    </xdr:to>
    <xdr:graphicFrame>
      <xdr:nvGraphicFramePr>
        <xdr:cNvPr id="1" name="Chart 2"/>
        <xdr:cNvGraphicFramePr/>
      </xdr:nvGraphicFramePr>
      <xdr:xfrm>
        <a:off x="128257200" y="287028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168</xdr:col>
      <xdr:colOff>12600</xdr:colOff>
      <xdr:row>14</xdr:row>
      <xdr:rowOff>19080</xdr:rowOff>
    </xdr:from>
    <xdr:to>
      <xdr:col>173</xdr:col>
      <xdr:colOff>456120</xdr:colOff>
      <xdr:row>27</xdr:row>
      <xdr:rowOff>119520</xdr:rowOff>
    </xdr:to>
    <xdr:graphicFrame>
      <xdr:nvGraphicFramePr>
        <xdr:cNvPr id="2" name="Chart 3"/>
        <xdr:cNvGraphicFramePr/>
      </xdr:nvGraphicFramePr>
      <xdr:xfrm>
        <a:off x="153525240" y="286380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68</xdr:col>
      <xdr:colOff>152280</xdr:colOff>
      <xdr:row>15</xdr:row>
      <xdr:rowOff>158760</xdr:rowOff>
    </xdr:from>
    <xdr:to>
      <xdr:col>73</xdr:col>
      <xdr:colOff>595800</xdr:colOff>
      <xdr:row>29</xdr:row>
      <xdr:rowOff>56160</xdr:rowOff>
    </xdr:to>
    <xdr:graphicFrame>
      <xdr:nvGraphicFramePr>
        <xdr:cNvPr id="3" name="Chart 4"/>
        <xdr:cNvGraphicFramePr/>
      </xdr:nvGraphicFramePr>
      <xdr:xfrm>
        <a:off x="62288280" y="320688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81</xdr:col>
      <xdr:colOff>275400</xdr:colOff>
      <xdr:row>28</xdr:row>
      <xdr:rowOff>154080</xdr:rowOff>
    </xdr:from>
    <xdr:to>
      <xdr:col>86</xdr:col>
      <xdr:colOff>704160</xdr:colOff>
      <xdr:row>49</xdr:row>
      <xdr:rowOff>75960</xdr:rowOff>
    </xdr:to>
    <xdr:graphicFrame>
      <xdr:nvGraphicFramePr>
        <xdr:cNvPr id="4" name="Chart 5"/>
        <xdr:cNvGraphicFramePr/>
      </xdr:nvGraphicFramePr>
      <xdr:xfrm>
        <a:off x="74290320" y="5843520"/>
        <a:ext cx="4997520" cy="418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266</xdr:col>
      <xdr:colOff>8280</xdr:colOff>
      <xdr:row>19</xdr:row>
      <xdr:rowOff>184680</xdr:rowOff>
    </xdr:from>
    <xdr:to>
      <xdr:col>271</xdr:col>
      <xdr:colOff>447120</xdr:colOff>
      <xdr:row>33</xdr:row>
      <xdr:rowOff>82080</xdr:rowOff>
    </xdr:to>
    <xdr:graphicFrame>
      <xdr:nvGraphicFramePr>
        <xdr:cNvPr id="5" name="Chart 7"/>
        <xdr:cNvGraphicFramePr/>
      </xdr:nvGraphicFramePr>
      <xdr:xfrm>
        <a:off x="243069840" y="4045320"/>
        <a:ext cx="50076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257</xdr:col>
      <xdr:colOff>427320</xdr:colOff>
      <xdr:row>17</xdr:row>
      <xdr:rowOff>17280</xdr:rowOff>
    </xdr:from>
    <xdr:to>
      <xdr:col>263</xdr:col>
      <xdr:colOff>49680</xdr:colOff>
      <xdr:row>30</xdr:row>
      <xdr:rowOff>119880</xdr:rowOff>
    </xdr:to>
    <xdr:graphicFrame>
      <xdr:nvGraphicFramePr>
        <xdr:cNvPr id="6" name="Chart 9"/>
        <xdr:cNvGraphicFramePr/>
      </xdr:nvGraphicFramePr>
      <xdr:xfrm>
        <a:off x="235265040" y="3471840"/>
        <a:ext cx="5104800" cy="2743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246</xdr:col>
      <xdr:colOff>768240</xdr:colOff>
      <xdr:row>13</xdr:row>
      <xdr:rowOff>158760</xdr:rowOff>
    </xdr:from>
    <xdr:to>
      <xdr:col>252</xdr:col>
      <xdr:colOff>386280</xdr:colOff>
      <xdr:row>27</xdr:row>
      <xdr:rowOff>56160</xdr:rowOff>
    </xdr:to>
    <xdr:graphicFrame>
      <xdr:nvGraphicFramePr>
        <xdr:cNvPr id="7" name="Chart 11"/>
        <xdr:cNvGraphicFramePr/>
      </xdr:nvGraphicFramePr>
      <xdr:xfrm>
        <a:off x="225554400" y="2800440"/>
        <a:ext cx="51008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238</xdr:col>
      <xdr:colOff>717480</xdr:colOff>
      <xdr:row>16</xdr:row>
      <xdr:rowOff>196920</xdr:rowOff>
    </xdr:from>
    <xdr:to>
      <xdr:col>244</xdr:col>
      <xdr:colOff>335520</xdr:colOff>
      <xdr:row>30</xdr:row>
      <xdr:rowOff>94320</xdr:rowOff>
    </xdr:to>
    <xdr:graphicFrame>
      <xdr:nvGraphicFramePr>
        <xdr:cNvPr id="8" name="Chart 13"/>
        <xdr:cNvGraphicFramePr/>
      </xdr:nvGraphicFramePr>
      <xdr:xfrm>
        <a:off x="218193480" y="3448080"/>
        <a:ext cx="51008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228</xdr:col>
      <xdr:colOff>272880</xdr:colOff>
      <xdr:row>17</xdr:row>
      <xdr:rowOff>133200</xdr:rowOff>
    </xdr:from>
    <xdr:to>
      <xdr:col>233</xdr:col>
      <xdr:colOff>716400</xdr:colOff>
      <xdr:row>31</xdr:row>
      <xdr:rowOff>30600</xdr:rowOff>
    </xdr:to>
    <xdr:graphicFrame>
      <xdr:nvGraphicFramePr>
        <xdr:cNvPr id="9" name="Chart 15"/>
        <xdr:cNvGraphicFramePr/>
      </xdr:nvGraphicFramePr>
      <xdr:xfrm>
        <a:off x="208611360" y="358776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220</xdr:col>
      <xdr:colOff>209520</xdr:colOff>
      <xdr:row>14</xdr:row>
      <xdr:rowOff>196920</xdr:rowOff>
    </xdr:from>
    <xdr:to>
      <xdr:col>225</xdr:col>
      <xdr:colOff>653040</xdr:colOff>
      <xdr:row>28</xdr:row>
      <xdr:rowOff>94320</xdr:rowOff>
    </xdr:to>
    <xdr:graphicFrame>
      <xdr:nvGraphicFramePr>
        <xdr:cNvPr id="10" name="Chart 17"/>
        <xdr:cNvGraphicFramePr/>
      </xdr:nvGraphicFramePr>
      <xdr:xfrm>
        <a:off x="201237840" y="304164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212</xdr:col>
      <xdr:colOff>247680</xdr:colOff>
      <xdr:row>14</xdr:row>
      <xdr:rowOff>120600</xdr:rowOff>
    </xdr:from>
    <xdr:to>
      <xdr:col>217</xdr:col>
      <xdr:colOff>691200</xdr:colOff>
      <xdr:row>28</xdr:row>
      <xdr:rowOff>18000</xdr:rowOff>
    </xdr:to>
    <xdr:graphicFrame>
      <xdr:nvGraphicFramePr>
        <xdr:cNvPr id="11" name="Chart 19"/>
        <xdr:cNvGraphicFramePr/>
      </xdr:nvGraphicFramePr>
      <xdr:xfrm>
        <a:off x="193965840" y="296532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274</xdr:col>
      <xdr:colOff>647640</xdr:colOff>
      <xdr:row>15</xdr:row>
      <xdr:rowOff>196920</xdr:rowOff>
    </xdr:from>
    <xdr:to>
      <xdr:col>280</xdr:col>
      <xdr:colOff>265680</xdr:colOff>
      <xdr:row>29</xdr:row>
      <xdr:rowOff>94320</xdr:rowOff>
    </xdr:to>
    <xdr:graphicFrame>
      <xdr:nvGraphicFramePr>
        <xdr:cNvPr id="12" name="Chart 22"/>
        <xdr:cNvGraphicFramePr/>
      </xdr:nvGraphicFramePr>
      <xdr:xfrm>
        <a:off x="251019360" y="3245040"/>
        <a:ext cx="51004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23</xdr:col>
      <xdr:colOff>647640</xdr:colOff>
      <xdr:row>14</xdr:row>
      <xdr:rowOff>57240</xdr:rowOff>
    </xdr:from>
    <xdr:to>
      <xdr:col>29</xdr:col>
      <xdr:colOff>265680</xdr:colOff>
      <xdr:row>27</xdr:row>
      <xdr:rowOff>157680</xdr:rowOff>
    </xdr:to>
    <xdr:graphicFrame>
      <xdr:nvGraphicFramePr>
        <xdr:cNvPr id="13" name="Chart 18"/>
        <xdr:cNvGraphicFramePr/>
      </xdr:nvGraphicFramePr>
      <xdr:xfrm>
        <a:off x="21664080" y="2901960"/>
        <a:ext cx="51008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137</xdr:col>
      <xdr:colOff>584280</xdr:colOff>
      <xdr:row>14</xdr:row>
      <xdr:rowOff>31680</xdr:rowOff>
    </xdr:from>
    <xdr:to>
      <xdr:col>143</xdr:col>
      <xdr:colOff>202320</xdr:colOff>
      <xdr:row>27</xdr:row>
      <xdr:rowOff>132120</xdr:rowOff>
    </xdr:to>
    <xdr:graphicFrame>
      <xdr:nvGraphicFramePr>
        <xdr:cNvPr id="14" name="Chart 8"/>
        <xdr:cNvGraphicFramePr/>
      </xdr:nvGraphicFramePr>
      <xdr:xfrm>
        <a:off x="125769960" y="2876400"/>
        <a:ext cx="51008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132</xdr:col>
      <xdr:colOff>565200</xdr:colOff>
      <xdr:row>14</xdr:row>
      <xdr:rowOff>69840</xdr:rowOff>
    </xdr:from>
    <xdr:to>
      <xdr:col>138</xdr:col>
      <xdr:colOff>183240</xdr:colOff>
      <xdr:row>27</xdr:row>
      <xdr:rowOff>170280</xdr:rowOff>
    </xdr:to>
    <xdr:graphicFrame>
      <xdr:nvGraphicFramePr>
        <xdr:cNvPr id="15" name="Chart 10"/>
        <xdr:cNvGraphicFramePr/>
      </xdr:nvGraphicFramePr>
      <xdr:xfrm>
        <a:off x="121182120" y="2914560"/>
        <a:ext cx="51008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127</xdr:col>
      <xdr:colOff>660240</xdr:colOff>
      <xdr:row>14</xdr:row>
      <xdr:rowOff>95400</xdr:rowOff>
    </xdr:from>
    <xdr:to>
      <xdr:col>133</xdr:col>
      <xdr:colOff>278280</xdr:colOff>
      <xdr:row>27</xdr:row>
      <xdr:rowOff>195840</xdr:rowOff>
    </xdr:to>
    <xdr:graphicFrame>
      <xdr:nvGraphicFramePr>
        <xdr:cNvPr id="16" name="Chart 12"/>
        <xdr:cNvGraphicFramePr/>
      </xdr:nvGraphicFramePr>
      <xdr:xfrm>
        <a:off x="116708400" y="2940120"/>
        <a:ext cx="51004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122</xdr:col>
      <xdr:colOff>69840</xdr:colOff>
      <xdr:row>14</xdr:row>
      <xdr:rowOff>95400</xdr:rowOff>
    </xdr:from>
    <xdr:to>
      <xdr:col>127</xdr:col>
      <xdr:colOff>513360</xdr:colOff>
      <xdr:row>27</xdr:row>
      <xdr:rowOff>195840</xdr:rowOff>
    </xdr:to>
    <xdr:graphicFrame>
      <xdr:nvGraphicFramePr>
        <xdr:cNvPr id="17" name="Chart 14"/>
        <xdr:cNvGraphicFramePr/>
      </xdr:nvGraphicFramePr>
      <xdr:xfrm>
        <a:off x="111549240" y="294012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126</xdr:col>
      <xdr:colOff>146160</xdr:colOff>
      <xdr:row>0</xdr:row>
      <xdr:rowOff>57240</xdr:rowOff>
    </xdr:from>
    <xdr:to>
      <xdr:col>131</xdr:col>
      <xdr:colOff>589680</xdr:colOff>
      <xdr:row>13</xdr:row>
      <xdr:rowOff>157680</xdr:rowOff>
    </xdr:to>
    <xdr:graphicFrame>
      <xdr:nvGraphicFramePr>
        <xdr:cNvPr id="18" name="Chart 16"/>
        <xdr:cNvGraphicFramePr/>
      </xdr:nvGraphicFramePr>
      <xdr:xfrm>
        <a:off x="115280640" y="5724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146</xdr:col>
      <xdr:colOff>399960</xdr:colOff>
      <xdr:row>14</xdr:row>
      <xdr:rowOff>95400</xdr:rowOff>
    </xdr:from>
    <xdr:to>
      <xdr:col>152</xdr:col>
      <xdr:colOff>18000</xdr:colOff>
      <xdr:row>27</xdr:row>
      <xdr:rowOff>195840</xdr:rowOff>
    </xdr:to>
    <xdr:graphicFrame>
      <xdr:nvGraphicFramePr>
        <xdr:cNvPr id="19" name="Chart 21"/>
        <xdr:cNvGraphicFramePr/>
      </xdr:nvGraphicFramePr>
      <xdr:xfrm>
        <a:off x="133809480" y="2940120"/>
        <a:ext cx="51008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156</xdr:col>
      <xdr:colOff>412920</xdr:colOff>
      <xdr:row>14</xdr:row>
      <xdr:rowOff>19080</xdr:rowOff>
    </xdr:from>
    <xdr:to>
      <xdr:col>162</xdr:col>
      <xdr:colOff>30960</xdr:colOff>
      <xdr:row>27</xdr:row>
      <xdr:rowOff>119520</xdr:rowOff>
    </xdr:to>
    <xdr:graphicFrame>
      <xdr:nvGraphicFramePr>
        <xdr:cNvPr id="20" name="Chart 24"/>
        <xdr:cNvGraphicFramePr/>
      </xdr:nvGraphicFramePr>
      <xdr:xfrm>
        <a:off x="142960320" y="2863800"/>
        <a:ext cx="51004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151</xdr:col>
      <xdr:colOff>450720</xdr:colOff>
      <xdr:row>14</xdr:row>
      <xdr:rowOff>57240</xdr:rowOff>
    </xdr:from>
    <xdr:to>
      <xdr:col>157</xdr:col>
      <xdr:colOff>68760</xdr:colOff>
      <xdr:row>27</xdr:row>
      <xdr:rowOff>157680</xdr:rowOff>
    </xdr:to>
    <xdr:graphicFrame>
      <xdr:nvGraphicFramePr>
        <xdr:cNvPr id="21" name="Chart 25"/>
        <xdr:cNvGraphicFramePr/>
      </xdr:nvGraphicFramePr>
      <xdr:xfrm>
        <a:off x="138429360" y="2901960"/>
        <a:ext cx="51004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162</xdr:col>
      <xdr:colOff>158760</xdr:colOff>
      <xdr:row>14</xdr:row>
      <xdr:rowOff>31680</xdr:rowOff>
    </xdr:from>
    <xdr:to>
      <xdr:col>167</xdr:col>
      <xdr:colOff>602280</xdr:colOff>
      <xdr:row>27</xdr:row>
      <xdr:rowOff>132120</xdr:rowOff>
    </xdr:to>
    <xdr:graphicFrame>
      <xdr:nvGraphicFramePr>
        <xdr:cNvPr id="22" name="Chart 26"/>
        <xdr:cNvGraphicFramePr/>
      </xdr:nvGraphicFramePr>
      <xdr:xfrm>
        <a:off x="148188600" y="287640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152</xdr:col>
      <xdr:colOff>57240</xdr:colOff>
      <xdr:row>0</xdr:row>
      <xdr:rowOff>0</xdr:rowOff>
    </xdr:from>
    <xdr:to>
      <xdr:col>157</xdr:col>
      <xdr:colOff>500760</xdr:colOff>
      <xdr:row>13</xdr:row>
      <xdr:rowOff>100440</xdr:rowOff>
    </xdr:to>
    <xdr:graphicFrame>
      <xdr:nvGraphicFramePr>
        <xdr:cNvPr id="23" name="Chart 27"/>
        <xdr:cNvGraphicFramePr/>
      </xdr:nvGraphicFramePr>
      <xdr:xfrm>
        <a:off x="138949560" y="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205</xdr:col>
      <xdr:colOff>216000</xdr:colOff>
      <xdr:row>15</xdr:row>
      <xdr:rowOff>146160</xdr:rowOff>
    </xdr:from>
    <xdr:to>
      <xdr:col>210</xdr:col>
      <xdr:colOff>659520</xdr:colOff>
      <xdr:row>29</xdr:row>
      <xdr:rowOff>43560</xdr:rowOff>
    </xdr:to>
    <xdr:graphicFrame>
      <xdr:nvGraphicFramePr>
        <xdr:cNvPr id="24" name="Chart 29"/>
        <xdr:cNvGraphicFramePr/>
      </xdr:nvGraphicFramePr>
      <xdr:xfrm>
        <a:off x="187537680" y="3194280"/>
        <a:ext cx="50126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91</xdr:col>
      <xdr:colOff>355680</xdr:colOff>
      <xdr:row>30</xdr:row>
      <xdr:rowOff>38160</xdr:rowOff>
    </xdr:from>
    <xdr:to>
      <xdr:col>98</xdr:col>
      <xdr:colOff>659520</xdr:colOff>
      <xdr:row>43</xdr:row>
      <xdr:rowOff>119520</xdr:rowOff>
    </xdr:to>
    <xdr:graphicFrame>
      <xdr:nvGraphicFramePr>
        <xdr:cNvPr id="25" name="Chart 31"/>
        <xdr:cNvGraphicFramePr/>
      </xdr:nvGraphicFramePr>
      <xdr:xfrm>
        <a:off x="83508120" y="6134040"/>
        <a:ext cx="6700320" cy="272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24</xdr:col>
      <xdr:colOff>711360</xdr:colOff>
      <xdr:row>52</xdr:row>
      <xdr:rowOff>120600</xdr:rowOff>
    </xdr:from>
    <xdr:to>
      <xdr:col>30</xdr:col>
      <xdr:colOff>329400</xdr:colOff>
      <xdr:row>66</xdr:row>
      <xdr:rowOff>18000</xdr:rowOff>
    </xdr:to>
    <xdr:graphicFrame>
      <xdr:nvGraphicFramePr>
        <xdr:cNvPr id="26" name="Chart 33"/>
        <xdr:cNvGraphicFramePr/>
      </xdr:nvGraphicFramePr>
      <xdr:xfrm>
        <a:off x="22641840" y="10686960"/>
        <a:ext cx="51004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114</xdr:col>
      <xdr:colOff>488880</xdr:colOff>
      <xdr:row>14</xdr:row>
      <xdr:rowOff>95400</xdr:rowOff>
    </xdr:from>
    <xdr:to>
      <xdr:col>120</xdr:col>
      <xdr:colOff>106920</xdr:colOff>
      <xdr:row>27</xdr:row>
      <xdr:rowOff>195840</xdr:rowOff>
    </xdr:to>
    <xdr:graphicFrame>
      <xdr:nvGraphicFramePr>
        <xdr:cNvPr id="27" name="Chart 23"/>
        <xdr:cNvGraphicFramePr/>
      </xdr:nvGraphicFramePr>
      <xdr:xfrm>
        <a:off x="104658120" y="2940120"/>
        <a:ext cx="51004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105</xdr:col>
      <xdr:colOff>247680</xdr:colOff>
      <xdr:row>14</xdr:row>
      <xdr:rowOff>120600</xdr:rowOff>
    </xdr:from>
    <xdr:to>
      <xdr:col>110</xdr:col>
      <xdr:colOff>691200</xdr:colOff>
      <xdr:row>28</xdr:row>
      <xdr:rowOff>18000</xdr:rowOff>
    </xdr:to>
    <xdr:graphicFrame>
      <xdr:nvGraphicFramePr>
        <xdr:cNvPr id="28" name="Chart 28"/>
        <xdr:cNvGraphicFramePr/>
      </xdr:nvGraphicFramePr>
      <xdr:xfrm>
        <a:off x="96193080" y="296532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95</xdr:col>
      <xdr:colOff>527040</xdr:colOff>
      <xdr:row>15</xdr:row>
      <xdr:rowOff>57240</xdr:rowOff>
    </xdr:from>
    <xdr:to>
      <xdr:col>101</xdr:col>
      <xdr:colOff>145080</xdr:colOff>
      <xdr:row>28</xdr:row>
      <xdr:rowOff>157680</xdr:rowOff>
    </xdr:to>
    <xdr:graphicFrame>
      <xdr:nvGraphicFramePr>
        <xdr:cNvPr id="29" name="Chart 30"/>
        <xdr:cNvGraphicFramePr/>
      </xdr:nvGraphicFramePr>
      <xdr:xfrm>
        <a:off x="87334560" y="3105360"/>
        <a:ext cx="510084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105</xdr:col>
      <xdr:colOff>298440</xdr:colOff>
      <xdr:row>0</xdr:row>
      <xdr:rowOff>146160</xdr:rowOff>
    </xdr:from>
    <xdr:to>
      <xdr:col>110</xdr:col>
      <xdr:colOff>741960</xdr:colOff>
      <xdr:row>14</xdr:row>
      <xdr:rowOff>43560</xdr:rowOff>
    </xdr:to>
    <xdr:graphicFrame>
      <xdr:nvGraphicFramePr>
        <xdr:cNvPr id="30" name="Chart 35"/>
        <xdr:cNvGraphicFramePr/>
      </xdr:nvGraphicFramePr>
      <xdr:xfrm>
        <a:off x="96243840" y="14616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87</xdr:col>
      <xdr:colOff>324000</xdr:colOff>
      <xdr:row>13</xdr:row>
      <xdr:rowOff>171360</xdr:rowOff>
    </xdr:from>
    <xdr:to>
      <xdr:col>92</xdr:col>
      <xdr:colOff>767520</xdr:colOff>
      <xdr:row>27</xdr:row>
      <xdr:rowOff>68760</xdr:rowOff>
    </xdr:to>
    <xdr:graphicFrame>
      <xdr:nvGraphicFramePr>
        <xdr:cNvPr id="31" name="Chart 36"/>
        <xdr:cNvGraphicFramePr/>
      </xdr:nvGraphicFramePr>
      <xdr:xfrm>
        <a:off x="79821720" y="281304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75</xdr:col>
      <xdr:colOff>133200</xdr:colOff>
      <xdr:row>13</xdr:row>
      <xdr:rowOff>120600</xdr:rowOff>
    </xdr:from>
    <xdr:to>
      <xdr:col>80</xdr:col>
      <xdr:colOff>576720</xdr:colOff>
      <xdr:row>27</xdr:row>
      <xdr:rowOff>18000</xdr:rowOff>
    </xdr:to>
    <xdr:graphicFrame>
      <xdr:nvGraphicFramePr>
        <xdr:cNvPr id="32" name="Chart 38"/>
        <xdr:cNvGraphicFramePr/>
      </xdr:nvGraphicFramePr>
      <xdr:xfrm>
        <a:off x="68665680" y="276228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100</xdr:col>
      <xdr:colOff>158760</xdr:colOff>
      <xdr:row>29</xdr:row>
      <xdr:rowOff>171360</xdr:rowOff>
    </xdr:from>
    <xdr:to>
      <xdr:col>105</xdr:col>
      <xdr:colOff>602280</xdr:colOff>
      <xdr:row>43</xdr:row>
      <xdr:rowOff>68760</xdr:rowOff>
    </xdr:to>
    <xdr:graphicFrame>
      <xdr:nvGraphicFramePr>
        <xdr:cNvPr id="33" name="Chart 39"/>
        <xdr:cNvGraphicFramePr/>
      </xdr:nvGraphicFramePr>
      <xdr:xfrm>
        <a:off x="91535400" y="606420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81</xdr:col>
      <xdr:colOff>260280</xdr:colOff>
      <xdr:row>13</xdr:row>
      <xdr:rowOff>165240</xdr:rowOff>
    </xdr:from>
    <xdr:to>
      <xdr:col>86</xdr:col>
      <xdr:colOff>703800</xdr:colOff>
      <xdr:row>27</xdr:row>
      <xdr:rowOff>62640</xdr:rowOff>
    </xdr:to>
    <xdr:graphicFrame>
      <xdr:nvGraphicFramePr>
        <xdr:cNvPr id="34" name="Chart 20"/>
        <xdr:cNvGraphicFramePr/>
      </xdr:nvGraphicFramePr>
      <xdr:xfrm>
        <a:off x="74275200" y="280692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186</xdr:col>
      <xdr:colOff>805680</xdr:colOff>
      <xdr:row>23</xdr:row>
      <xdr:rowOff>65160</xdr:rowOff>
    </xdr:from>
    <xdr:to>
      <xdr:col>192</xdr:col>
      <xdr:colOff>450720</xdr:colOff>
      <xdr:row>36</xdr:row>
      <xdr:rowOff>138960</xdr:rowOff>
    </xdr:to>
    <xdr:graphicFrame>
      <xdr:nvGraphicFramePr>
        <xdr:cNvPr id="35" name="Chart 34"/>
        <xdr:cNvGraphicFramePr/>
      </xdr:nvGraphicFramePr>
      <xdr:xfrm>
        <a:off x="170766000" y="4738680"/>
        <a:ext cx="5127480" cy="271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286</xdr:col>
      <xdr:colOff>221760</xdr:colOff>
      <xdr:row>12</xdr:row>
      <xdr:rowOff>161280</xdr:rowOff>
    </xdr:from>
    <xdr:to>
      <xdr:col>291</xdr:col>
      <xdr:colOff>687600</xdr:colOff>
      <xdr:row>26</xdr:row>
      <xdr:rowOff>29880</xdr:rowOff>
    </xdr:to>
    <xdr:graphicFrame>
      <xdr:nvGraphicFramePr>
        <xdr:cNvPr id="36" name="Chart 37"/>
        <xdr:cNvGraphicFramePr/>
      </xdr:nvGraphicFramePr>
      <xdr:xfrm>
        <a:off x="261558720" y="2599560"/>
        <a:ext cx="5034600" cy="271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281</xdr:col>
      <xdr:colOff>145080</xdr:colOff>
      <xdr:row>21</xdr:row>
      <xdr:rowOff>58680</xdr:rowOff>
    </xdr:from>
    <xdr:to>
      <xdr:col>286</xdr:col>
      <xdr:colOff>610920</xdr:colOff>
      <xdr:row>34</xdr:row>
      <xdr:rowOff>132480</xdr:rowOff>
    </xdr:to>
    <xdr:graphicFrame>
      <xdr:nvGraphicFramePr>
        <xdr:cNvPr id="37" name="Chart 40"/>
        <xdr:cNvGraphicFramePr/>
      </xdr:nvGraphicFramePr>
      <xdr:xfrm>
        <a:off x="256912920" y="4325760"/>
        <a:ext cx="5034960" cy="271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127080</xdr:colOff>
      <xdr:row>29</xdr:row>
      <xdr:rowOff>165240</xdr:rowOff>
    </xdr:from>
    <xdr:to>
      <xdr:col>25</xdr:col>
      <xdr:colOff>570600</xdr:colOff>
      <xdr:row>43</xdr:row>
      <xdr:rowOff>62640</xdr:rowOff>
    </xdr:to>
    <xdr:graphicFrame>
      <xdr:nvGraphicFramePr>
        <xdr:cNvPr id="38" name="Chart 1"/>
        <xdr:cNvGraphicFramePr/>
      </xdr:nvGraphicFramePr>
      <xdr:xfrm>
        <a:off x="18402480" y="605808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61</xdr:col>
      <xdr:colOff>343080</xdr:colOff>
      <xdr:row>19</xdr:row>
      <xdr:rowOff>63360</xdr:rowOff>
    </xdr:from>
    <xdr:to>
      <xdr:col>66</xdr:col>
      <xdr:colOff>786600</xdr:colOff>
      <xdr:row>32</xdr:row>
      <xdr:rowOff>163800</xdr:rowOff>
    </xdr:to>
    <xdr:graphicFrame>
      <xdr:nvGraphicFramePr>
        <xdr:cNvPr id="39" name="Chart 3"/>
        <xdr:cNvGraphicFramePr/>
      </xdr:nvGraphicFramePr>
      <xdr:xfrm>
        <a:off x="56082600" y="3924000"/>
        <a:ext cx="50126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61</xdr:col>
      <xdr:colOff>355680</xdr:colOff>
      <xdr:row>4</xdr:row>
      <xdr:rowOff>165240</xdr:rowOff>
    </xdr:from>
    <xdr:to>
      <xdr:col>66</xdr:col>
      <xdr:colOff>799200</xdr:colOff>
      <xdr:row>18</xdr:row>
      <xdr:rowOff>62640</xdr:rowOff>
    </xdr:to>
    <xdr:graphicFrame>
      <xdr:nvGraphicFramePr>
        <xdr:cNvPr id="40" name="Chart 4"/>
        <xdr:cNvGraphicFramePr/>
      </xdr:nvGraphicFramePr>
      <xdr:xfrm>
        <a:off x="56095200" y="978120"/>
        <a:ext cx="50126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51</xdr:col>
      <xdr:colOff>0</xdr:colOff>
      <xdr:row>15</xdr:row>
      <xdr:rowOff>171360</xdr:rowOff>
    </xdr:from>
    <xdr:to>
      <xdr:col>56</xdr:col>
      <xdr:colOff>443520</xdr:colOff>
      <xdr:row>29</xdr:row>
      <xdr:rowOff>68760</xdr:rowOff>
    </xdr:to>
    <xdr:graphicFrame>
      <xdr:nvGraphicFramePr>
        <xdr:cNvPr id="41" name="Chart 1"/>
        <xdr:cNvGraphicFramePr/>
      </xdr:nvGraphicFramePr>
      <xdr:xfrm>
        <a:off x="46602000" y="321948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355680</xdr:colOff>
      <xdr:row>14</xdr:row>
      <xdr:rowOff>120600</xdr:rowOff>
    </xdr:from>
    <xdr:to>
      <xdr:col>41</xdr:col>
      <xdr:colOff>799200</xdr:colOff>
      <xdr:row>28</xdr:row>
      <xdr:rowOff>18000</xdr:rowOff>
    </xdr:to>
    <xdr:graphicFrame>
      <xdr:nvGraphicFramePr>
        <xdr:cNvPr id="42" name="Chart 4"/>
        <xdr:cNvGraphicFramePr/>
      </xdr:nvGraphicFramePr>
      <xdr:xfrm>
        <a:off x="33771240" y="296532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42</xdr:col>
      <xdr:colOff>685800</xdr:colOff>
      <xdr:row>12</xdr:row>
      <xdr:rowOff>69840</xdr:rowOff>
    </xdr:from>
    <xdr:to>
      <xdr:col>48</xdr:col>
      <xdr:colOff>303840</xdr:colOff>
      <xdr:row>25</xdr:row>
      <xdr:rowOff>170280</xdr:rowOff>
    </xdr:to>
    <xdr:graphicFrame>
      <xdr:nvGraphicFramePr>
        <xdr:cNvPr id="43" name="Chart 5"/>
        <xdr:cNvGraphicFramePr/>
      </xdr:nvGraphicFramePr>
      <xdr:xfrm>
        <a:off x="39584160" y="2508120"/>
        <a:ext cx="51004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99</xdr:col>
      <xdr:colOff>717480</xdr:colOff>
      <xdr:row>16</xdr:row>
      <xdr:rowOff>196920</xdr:rowOff>
    </xdr:from>
    <xdr:to>
      <xdr:col>105</xdr:col>
      <xdr:colOff>335520</xdr:colOff>
      <xdr:row>30</xdr:row>
      <xdr:rowOff>94320</xdr:rowOff>
    </xdr:to>
    <xdr:graphicFrame>
      <xdr:nvGraphicFramePr>
        <xdr:cNvPr id="44" name="Chart 10"/>
        <xdr:cNvGraphicFramePr/>
      </xdr:nvGraphicFramePr>
      <xdr:xfrm>
        <a:off x="91700280" y="3448080"/>
        <a:ext cx="51004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55</xdr:col>
      <xdr:colOff>660240</xdr:colOff>
      <xdr:row>14</xdr:row>
      <xdr:rowOff>95400</xdr:rowOff>
    </xdr:from>
    <xdr:to>
      <xdr:col>60</xdr:col>
      <xdr:colOff>105120</xdr:colOff>
      <xdr:row>27</xdr:row>
      <xdr:rowOff>195840</xdr:rowOff>
    </xdr:to>
    <xdr:graphicFrame>
      <xdr:nvGraphicFramePr>
        <xdr:cNvPr id="45" name="Chart 18"/>
        <xdr:cNvGraphicFramePr/>
      </xdr:nvGraphicFramePr>
      <xdr:xfrm>
        <a:off x="51437520" y="2940120"/>
        <a:ext cx="40136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50</xdr:col>
      <xdr:colOff>69840</xdr:colOff>
      <xdr:row>14</xdr:row>
      <xdr:rowOff>95400</xdr:rowOff>
    </xdr:from>
    <xdr:to>
      <xdr:col>55</xdr:col>
      <xdr:colOff>513360</xdr:colOff>
      <xdr:row>27</xdr:row>
      <xdr:rowOff>195840</xdr:rowOff>
    </xdr:to>
    <xdr:graphicFrame>
      <xdr:nvGraphicFramePr>
        <xdr:cNvPr id="46" name="Chart 19"/>
        <xdr:cNvGraphicFramePr/>
      </xdr:nvGraphicFramePr>
      <xdr:xfrm>
        <a:off x="46278000" y="2940120"/>
        <a:ext cx="50126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60</xdr:col>
      <xdr:colOff>0</xdr:colOff>
      <xdr:row>14</xdr:row>
      <xdr:rowOff>95400</xdr:rowOff>
    </xdr:from>
    <xdr:to>
      <xdr:col>65</xdr:col>
      <xdr:colOff>18000</xdr:colOff>
      <xdr:row>27</xdr:row>
      <xdr:rowOff>195840</xdr:rowOff>
    </xdr:to>
    <xdr:graphicFrame>
      <xdr:nvGraphicFramePr>
        <xdr:cNvPr id="47" name="Chart 21"/>
        <xdr:cNvGraphicFramePr/>
      </xdr:nvGraphicFramePr>
      <xdr:xfrm>
        <a:off x="55346040" y="2940120"/>
        <a:ext cx="458676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64</xdr:col>
      <xdr:colOff>450720</xdr:colOff>
      <xdr:row>14</xdr:row>
      <xdr:rowOff>57240</xdr:rowOff>
    </xdr:from>
    <xdr:to>
      <xdr:col>70</xdr:col>
      <xdr:colOff>105120</xdr:colOff>
      <xdr:row>27</xdr:row>
      <xdr:rowOff>157680</xdr:rowOff>
    </xdr:to>
    <xdr:graphicFrame>
      <xdr:nvGraphicFramePr>
        <xdr:cNvPr id="48" name="Chart 23"/>
        <xdr:cNvGraphicFramePr/>
      </xdr:nvGraphicFramePr>
      <xdr:xfrm>
        <a:off x="59451840" y="2901960"/>
        <a:ext cx="51368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64</xdr:col>
      <xdr:colOff>666720</xdr:colOff>
      <xdr:row>28</xdr:row>
      <xdr:rowOff>190440</xdr:rowOff>
    </xdr:from>
    <xdr:to>
      <xdr:col>69</xdr:col>
      <xdr:colOff>608400</xdr:colOff>
      <xdr:row>42</xdr:row>
      <xdr:rowOff>87840</xdr:rowOff>
    </xdr:to>
    <xdr:graphicFrame>
      <xdr:nvGraphicFramePr>
        <xdr:cNvPr id="49" name="Chart 25"/>
        <xdr:cNvGraphicFramePr/>
      </xdr:nvGraphicFramePr>
      <xdr:xfrm>
        <a:off x="59667840" y="5879880"/>
        <a:ext cx="45104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90</xdr:col>
      <xdr:colOff>380880</xdr:colOff>
      <xdr:row>16</xdr:row>
      <xdr:rowOff>31680</xdr:rowOff>
    </xdr:from>
    <xdr:to>
      <xdr:col>96</xdr:col>
      <xdr:colOff>105120</xdr:colOff>
      <xdr:row>29</xdr:row>
      <xdr:rowOff>132120</xdr:rowOff>
    </xdr:to>
    <xdr:graphicFrame>
      <xdr:nvGraphicFramePr>
        <xdr:cNvPr id="50" name="Chart 26"/>
        <xdr:cNvGraphicFramePr/>
      </xdr:nvGraphicFramePr>
      <xdr:xfrm>
        <a:off x="83139840" y="3282840"/>
        <a:ext cx="52066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34</xdr:col>
      <xdr:colOff>0</xdr:colOff>
      <xdr:row>13</xdr:row>
      <xdr:rowOff>108000</xdr:rowOff>
    </xdr:from>
    <xdr:to>
      <xdr:col>36</xdr:col>
      <xdr:colOff>11520</xdr:colOff>
      <xdr:row>27</xdr:row>
      <xdr:rowOff>5400</xdr:rowOff>
    </xdr:to>
    <xdr:graphicFrame>
      <xdr:nvGraphicFramePr>
        <xdr:cNvPr id="51" name="Chart 28"/>
        <xdr:cNvGraphicFramePr/>
      </xdr:nvGraphicFramePr>
      <xdr:xfrm>
        <a:off x="31588200" y="2749680"/>
        <a:ext cx="18388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73</xdr:col>
      <xdr:colOff>304920</xdr:colOff>
      <xdr:row>15</xdr:row>
      <xdr:rowOff>196920</xdr:rowOff>
    </xdr:from>
    <xdr:to>
      <xdr:col>78</xdr:col>
      <xdr:colOff>748440</xdr:colOff>
      <xdr:row>29</xdr:row>
      <xdr:rowOff>94320</xdr:rowOff>
    </xdr:to>
    <xdr:graphicFrame>
      <xdr:nvGraphicFramePr>
        <xdr:cNvPr id="52" name="Chart 29"/>
        <xdr:cNvGraphicFramePr/>
      </xdr:nvGraphicFramePr>
      <xdr:xfrm>
        <a:off x="67529880" y="324504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5</xdr:col>
      <xdr:colOff>101520</xdr:colOff>
      <xdr:row>14</xdr:row>
      <xdr:rowOff>69840</xdr:rowOff>
    </xdr:from>
    <xdr:to>
      <xdr:col>10</xdr:col>
      <xdr:colOff>545040</xdr:colOff>
      <xdr:row>27</xdr:row>
      <xdr:rowOff>170280</xdr:rowOff>
    </xdr:to>
    <xdr:graphicFrame>
      <xdr:nvGraphicFramePr>
        <xdr:cNvPr id="53" name="Chart 30"/>
        <xdr:cNvGraphicFramePr/>
      </xdr:nvGraphicFramePr>
      <xdr:xfrm>
        <a:off x="4670280" y="291456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16</xdr:col>
      <xdr:colOff>254160</xdr:colOff>
      <xdr:row>14</xdr:row>
      <xdr:rowOff>44280</xdr:rowOff>
    </xdr:from>
    <xdr:to>
      <xdr:col>21</xdr:col>
      <xdr:colOff>697680</xdr:colOff>
      <xdr:row>27</xdr:row>
      <xdr:rowOff>144720</xdr:rowOff>
    </xdr:to>
    <xdr:graphicFrame>
      <xdr:nvGraphicFramePr>
        <xdr:cNvPr id="54" name="Chart 33"/>
        <xdr:cNvGraphicFramePr/>
      </xdr:nvGraphicFramePr>
      <xdr:xfrm>
        <a:off x="14874480" y="288900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749160</xdr:colOff>
      <xdr:row>7</xdr:row>
      <xdr:rowOff>82440</xdr:rowOff>
    </xdr:from>
    <xdr:to>
      <xdr:col>15</xdr:col>
      <xdr:colOff>367200</xdr:colOff>
      <xdr:row>20</xdr:row>
      <xdr:rowOff>182880</xdr:rowOff>
    </xdr:to>
    <xdr:graphicFrame>
      <xdr:nvGraphicFramePr>
        <xdr:cNvPr id="55" name="Chart 1"/>
        <xdr:cNvGraphicFramePr/>
      </xdr:nvGraphicFramePr>
      <xdr:xfrm>
        <a:off x="8973000" y="1504800"/>
        <a:ext cx="51008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50760</xdr:colOff>
      <xdr:row>17</xdr:row>
      <xdr:rowOff>180360</xdr:rowOff>
    </xdr:from>
    <xdr:to>
      <xdr:col>9</xdr:col>
      <xdr:colOff>87840</xdr:colOff>
      <xdr:row>31</xdr:row>
      <xdr:rowOff>58680</xdr:rowOff>
    </xdr:to>
    <xdr:graphicFrame>
      <xdr:nvGraphicFramePr>
        <xdr:cNvPr id="56" name="Chart 2"/>
        <xdr:cNvGraphicFramePr/>
      </xdr:nvGraphicFramePr>
      <xdr:xfrm>
        <a:off x="3705840" y="3867120"/>
        <a:ext cx="4605840" cy="272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507960</xdr:colOff>
      <xdr:row>17</xdr:row>
      <xdr:rowOff>155160</xdr:rowOff>
    </xdr:from>
    <xdr:to>
      <xdr:col>15</xdr:col>
      <xdr:colOff>126000</xdr:colOff>
      <xdr:row>31</xdr:row>
      <xdr:rowOff>52560</xdr:rowOff>
    </xdr:to>
    <xdr:graphicFrame>
      <xdr:nvGraphicFramePr>
        <xdr:cNvPr id="57" name="Chart 3"/>
        <xdr:cNvGraphicFramePr/>
      </xdr:nvGraphicFramePr>
      <xdr:xfrm>
        <a:off x="8731800" y="3841920"/>
        <a:ext cx="51008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25560</xdr:colOff>
      <xdr:row>17</xdr:row>
      <xdr:rowOff>192960</xdr:rowOff>
    </xdr:from>
    <xdr:to>
      <xdr:col>25</xdr:col>
      <xdr:colOff>469080</xdr:colOff>
      <xdr:row>31</xdr:row>
      <xdr:rowOff>90360</xdr:rowOff>
    </xdr:to>
    <xdr:graphicFrame>
      <xdr:nvGraphicFramePr>
        <xdr:cNvPr id="58" name="Chart 5"/>
        <xdr:cNvGraphicFramePr/>
      </xdr:nvGraphicFramePr>
      <xdr:xfrm>
        <a:off x="18300960" y="3879720"/>
        <a:ext cx="5012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711360</xdr:colOff>
      <xdr:row>17</xdr:row>
      <xdr:rowOff>142200</xdr:rowOff>
    </xdr:from>
    <xdr:to>
      <xdr:col>20</xdr:col>
      <xdr:colOff>329400</xdr:colOff>
      <xdr:row>31</xdr:row>
      <xdr:rowOff>39600</xdr:rowOff>
    </xdr:to>
    <xdr:graphicFrame>
      <xdr:nvGraphicFramePr>
        <xdr:cNvPr id="59" name="Chart 6"/>
        <xdr:cNvGraphicFramePr/>
      </xdr:nvGraphicFramePr>
      <xdr:xfrm>
        <a:off x="13503960" y="3828960"/>
        <a:ext cx="510084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B233"/>
  <sheetViews>
    <sheetView showFormulas="false" showGridLines="true" showRowColHeaders="true" showZeros="true" rightToLeft="false" tabSelected="false" showOutlineSymbols="true" defaultGridColor="true" view="normal" topLeftCell="H1" colorId="64" zoomScale="99" zoomScaleNormal="99" zoomScalePageLayoutView="100" workbookViewId="0">
      <selection pane="topLeft" activeCell="AJ26" activeCellId="0" sqref="AJ26"/>
    </sheetView>
  </sheetViews>
  <sheetFormatPr defaultColWidth="10.50390625" defaultRowHeight="16" zeroHeight="false" outlineLevelRow="0" outlineLevelCol="0"/>
  <sheetData>
    <row r="1" customFormat="false" ht="1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I1" s="1" t="s">
        <v>33</v>
      </c>
      <c r="AL1" s="1" t="s">
        <v>34</v>
      </c>
      <c r="BV1" s="1" t="s">
        <v>35</v>
      </c>
      <c r="CU1" s="2" t="s">
        <v>36</v>
      </c>
      <c r="CV1" s="2" t="s">
        <v>37</v>
      </c>
      <c r="CW1" s="2" t="s">
        <v>38</v>
      </c>
      <c r="CX1" s="1" t="str">
        <f aca="false">CV1</f>
        <v>CTRL B</v>
      </c>
      <c r="CY1" s="1" t="str">
        <f aca="false">CW1</f>
        <v>EXP B</v>
      </c>
      <c r="CZ1" s="1" t="n">
        <v>0.045</v>
      </c>
      <c r="DU1" s="1" t="n">
        <v>2</v>
      </c>
      <c r="DV1" s="1" t="n">
        <f aca="false">DU8</f>
        <v>0.97</v>
      </c>
      <c r="ET1" s="1" t="n">
        <v>2</v>
      </c>
      <c r="EU1" s="1" t="n">
        <f aca="false">ET8</f>
        <v>0.84</v>
      </c>
      <c r="GP1" s="3" t="str">
        <f aca="false">GP10</f>
        <v>CTRL D2 B</v>
      </c>
      <c r="GX1" s="3" t="str">
        <f aca="false">GX10</f>
        <v>CTRL D4 B</v>
      </c>
      <c r="HF1" s="3" t="str">
        <f aca="false">HF10</f>
        <v>CTRL D8 B</v>
      </c>
      <c r="HN1" s="3" t="str">
        <f aca="false">HN10</f>
        <v>CTRL D10 B</v>
      </c>
      <c r="HV1" s="3" t="str">
        <f aca="false">HV10</f>
        <v>CTRL D14 B</v>
      </c>
      <c r="IA1" s="1" t="s">
        <v>39</v>
      </c>
      <c r="IB1" s="1" t="n">
        <v>1</v>
      </c>
      <c r="IE1" s="3" t="str">
        <f aca="false">IE10</f>
        <v>EXP D4 B</v>
      </c>
      <c r="IJ1" s="1" t="s">
        <v>39</v>
      </c>
      <c r="IK1" s="1" t="n">
        <v>0.5</v>
      </c>
      <c r="IN1" s="3" t="str">
        <f aca="false">IN10</f>
        <v>EXP D8 B</v>
      </c>
      <c r="IS1" s="1" t="s">
        <v>39</v>
      </c>
      <c r="IT1" s="1" t="n">
        <v>0.5</v>
      </c>
      <c r="IW1" s="3" t="str">
        <f aca="false">IW10</f>
        <v>EXP D10 B</v>
      </c>
      <c r="JB1" s="1" t="s">
        <v>39</v>
      </c>
      <c r="JC1" s="1" t="n">
        <v>0.5</v>
      </c>
      <c r="JF1" s="3" t="str">
        <f aca="false">JF10</f>
        <v>EXP D14 B</v>
      </c>
      <c r="JK1" s="1" t="s">
        <v>39</v>
      </c>
      <c r="JL1" s="1" t="n">
        <v>0.5</v>
      </c>
      <c r="JP1" s="3" t="str">
        <f aca="false">JP10</f>
        <v>EXP D14 T</v>
      </c>
      <c r="JX1" s="1" t="s">
        <v>40</v>
      </c>
    </row>
    <row r="2" customFormat="false" ht="16" hidden="false" customHeight="false" outlineLevel="0" collapsed="false">
      <c r="A2" s="1" t="n">
        <v>2</v>
      </c>
      <c r="B2" s="1" t="n">
        <v>2</v>
      </c>
      <c r="C2" s="1" t="n">
        <f aca="false">B2-A2</f>
        <v>0</v>
      </c>
      <c r="D2" s="1" t="n">
        <v>2</v>
      </c>
      <c r="E2" s="1" t="n">
        <v>2</v>
      </c>
      <c r="F2" s="1" t="n">
        <f aca="false">E2-D2</f>
        <v>0</v>
      </c>
      <c r="G2" s="1" t="n">
        <v>3</v>
      </c>
      <c r="H2" s="1" t="n">
        <v>3</v>
      </c>
      <c r="I2" s="1" t="n">
        <f aca="false">H2-G2</f>
        <v>0</v>
      </c>
      <c r="J2" s="1" t="n">
        <v>4</v>
      </c>
      <c r="K2" s="1" t="n">
        <v>4</v>
      </c>
      <c r="L2" s="1" t="n">
        <f aca="false">K2-J2</f>
        <v>0</v>
      </c>
      <c r="M2" s="1" t="n">
        <v>7</v>
      </c>
      <c r="N2" s="1" t="n">
        <v>7</v>
      </c>
      <c r="O2" s="1" t="n">
        <f aca="false">N2-M2</f>
        <v>0</v>
      </c>
      <c r="P2" s="1" t="n">
        <v>2</v>
      </c>
      <c r="Q2" s="1" t="n">
        <v>3</v>
      </c>
      <c r="R2" s="1" t="n">
        <f aca="false">Q2-P2</f>
        <v>1</v>
      </c>
      <c r="S2" s="1" t="n">
        <v>6</v>
      </c>
      <c r="T2" s="1" t="n">
        <v>8</v>
      </c>
      <c r="U2" s="1" t="n">
        <f aca="false">T2-S2</f>
        <v>2</v>
      </c>
      <c r="V2" s="1" t="n">
        <v>1</v>
      </c>
      <c r="W2" s="1" t="n">
        <v>1</v>
      </c>
      <c r="X2" s="1" t="n">
        <f aca="false">W2-V2</f>
        <v>0</v>
      </c>
      <c r="Y2" s="1" t="n">
        <v>2</v>
      </c>
      <c r="Z2" s="1" t="n">
        <v>2</v>
      </c>
      <c r="AA2" s="1" t="n">
        <f aca="false">Z2-Y2</f>
        <v>0</v>
      </c>
      <c r="AB2" s="1" t="n">
        <v>1</v>
      </c>
      <c r="AC2" s="1" t="n">
        <v>1</v>
      </c>
      <c r="AD2" s="1" t="n">
        <f aca="false">AC2-AB2</f>
        <v>0</v>
      </c>
      <c r="AE2" s="1" t="n">
        <v>16</v>
      </c>
      <c r="AF2" s="1" t="n">
        <v>30</v>
      </c>
      <c r="AG2" s="1" t="n">
        <f aca="false">AF2-AE2</f>
        <v>14</v>
      </c>
      <c r="AI2" s="1" t="s">
        <v>41</v>
      </c>
      <c r="AJ2" s="1" t="n">
        <f aca="false">COUNTIFS(B$2:B$1000,2,A$2:A$1000,2)</f>
        <v>57</v>
      </c>
      <c r="AL2" s="1" t="s">
        <v>42</v>
      </c>
      <c r="AM2" s="1" t="n">
        <f aca="false">MAX(A2:AF1000)</f>
        <v>60</v>
      </c>
      <c r="BX2" s="1" t="s">
        <v>37</v>
      </c>
      <c r="BY2" s="1" t="s">
        <v>43</v>
      </c>
      <c r="BZ2" s="1" t="s">
        <v>38</v>
      </c>
      <c r="CA2" s="1" t="s">
        <v>44</v>
      </c>
      <c r="CE2" s="1" t="s">
        <v>45</v>
      </c>
      <c r="CF2" s="1" t="n">
        <f aca="false">1/0.2289</f>
        <v>4.36871996505024</v>
      </c>
      <c r="CI2" s="1" t="s">
        <v>37</v>
      </c>
      <c r="CJ2" s="1" t="s">
        <v>43</v>
      </c>
      <c r="CM2" s="1" t="s">
        <v>38</v>
      </c>
      <c r="CN2" s="1" t="s">
        <v>44</v>
      </c>
      <c r="CU2" s="2" t="n">
        <v>2</v>
      </c>
      <c r="CV2" s="2" t="n">
        <f aca="false">CB8</f>
        <v>0.77</v>
      </c>
      <c r="CW2" s="2" t="n">
        <f aca="false">CF8</f>
        <v>0.79</v>
      </c>
      <c r="CX2" s="1" t="n">
        <f aca="false">CI4</f>
        <v>1.74285714285714</v>
      </c>
      <c r="CY2" s="1" t="n">
        <f aca="false">CM4</f>
        <v>1.79220779220779</v>
      </c>
      <c r="CZ2" s="1" t="n">
        <f aca="false">1+CU2*CZ$1</f>
        <v>1.09</v>
      </c>
      <c r="DU2" s="1" t="n">
        <v>4</v>
      </c>
      <c r="DV2" s="1" t="n">
        <f aca="false">DZ8</f>
        <v>1.78</v>
      </c>
      <c r="ET2" s="1" t="n">
        <v>4</v>
      </c>
      <c r="EU2" s="1" t="n">
        <f aca="false">EY8</f>
        <v>0.91</v>
      </c>
      <c r="FQ2" s="1" t="s">
        <v>46</v>
      </c>
      <c r="IA2" s="1" t="s">
        <v>47</v>
      </c>
      <c r="IB2" s="1" t="n">
        <v>0.2</v>
      </c>
      <c r="IJ2" s="1" t="s">
        <v>47</v>
      </c>
      <c r="IK2" s="1" t="n">
        <v>0.35</v>
      </c>
      <c r="IS2" s="1" t="s">
        <v>47</v>
      </c>
      <c r="IT2" s="1" t="n">
        <v>0.29</v>
      </c>
      <c r="JB2" s="1" t="s">
        <v>47</v>
      </c>
      <c r="JC2" s="1" t="n">
        <v>0.09</v>
      </c>
      <c r="JK2" s="1" t="s">
        <v>47</v>
      </c>
      <c r="JL2" s="1" t="n">
        <v>0.053</v>
      </c>
    </row>
    <row r="3" customFormat="false" ht="16" hidden="false" customHeight="false" outlineLevel="0" collapsed="false">
      <c r="A3" s="1" t="n">
        <v>2</v>
      </c>
      <c r="B3" s="1" t="n">
        <v>2</v>
      </c>
      <c r="C3" s="1" t="n">
        <f aca="false">B3-A3</f>
        <v>0</v>
      </c>
      <c r="D3" s="1" t="n">
        <v>1</v>
      </c>
      <c r="E3" s="1" t="n">
        <v>1</v>
      </c>
      <c r="F3" s="1" t="n">
        <f aca="false">E3-D3</f>
        <v>0</v>
      </c>
      <c r="G3" s="1" t="n">
        <v>2</v>
      </c>
      <c r="H3" s="1" t="n">
        <v>2</v>
      </c>
      <c r="I3" s="1" t="n">
        <f aca="false">H3-G3</f>
        <v>0</v>
      </c>
      <c r="J3" s="1" t="n">
        <v>5</v>
      </c>
      <c r="K3" s="1" t="n">
        <v>7</v>
      </c>
      <c r="L3" s="1" t="n">
        <f aca="false">K3-J3</f>
        <v>2</v>
      </c>
      <c r="M3" s="1" t="n">
        <v>3</v>
      </c>
      <c r="N3" s="1" t="n">
        <v>3</v>
      </c>
      <c r="O3" s="1" t="n">
        <f aca="false">N3-M3</f>
        <v>0</v>
      </c>
      <c r="P3" s="1" t="n">
        <v>4</v>
      </c>
      <c r="Q3" s="1" t="n">
        <v>6</v>
      </c>
      <c r="R3" s="1" t="n">
        <f aca="false">Q3-P3</f>
        <v>2</v>
      </c>
      <c r="S3" s="1" t="n">
        <v>8</v>
      </c>
      <c r="T3" s="1" t="n">
        <v>10</v>
      </c>
      <c r="U3" s="1" t="n">
        <f aca="false">T3-S3</f>
        <v>2</v>
      </c>
      <c r="V3" s="1" t="n">
        <v>1</v>
      </c>
      <c r="W3" s="1" t="n">
        <v>1</v>
      </c>
      <c r="X3" s="1" t="n">
        <f aca="false">W3-V3</f>
        <v>0</v>
      </c>
      <c r="Y3" s="1" t="n">
        <v>2</v>
      </c>
      <c r="Z3" s="1" t="n">
        <v>4</v>
      </c>
      <c r="AA3" s="1" t="n">
        <f aca="false">Z3-Y3</f>
        <v>2</v>
      </c>
      <c r="AB3" s="1" t="n">
        <v>3</v>
      </c>
      <c r="AC3" s="1" t="n">
        <v>3</v>
      </c>
      <c r="AD3" s="1" t="n">
        <f aca="false">AC3-AB3</f>
        <v>0</v>
      </c>
      <c r="AE3" s="1" t="n">
        <v>44</v>
      </c>
      <c r="AF3" s="1" t="n">
        <v>60</v>
      </c>
      <c r="AG3" s="1" t="n">
        <f aca="false">AF3-AE3</f>
        <v>16</v>
      </c>
      <c r="AI3" s="1" t="s">
        <v>48</v>
      </c>
      <c r="AJ3" s="1" t="n">
        <f aca="false">COUNTIFS(B$2:B$1000,2,A$2:A$1000,1)</f>
        <v>0</v>
      </c>
      <c r="AM3" s="1" t="s">
        <v>49</v>
      </c>
      <c r="AN3" s="1" t="n">
        <v>0</v>
      </c>
      <c r="AO3" s="1" t="n">
        <v>0</v>
      </c>
      <c r="AP3" s="1" t="n">
        <v>0</v>
      </c>
      <c r="AQ3" s="1" t="n">
        <v>2</v>
      </c>
      <c r="AR3" s="1" t="n">
        <v>2</v>
      </c>
      <c r="AS3" s="1" t="n">
        <v>2</v>
      </c>
      <c r="AT3" s="1" t="n">
        <v>2</v>
      </c>
      <c r="AU3" s="1" t="n">
        <v>2</v>
      </c>
      <c r="AV3" s="1" t="n">
        <v>2</v>
      </c>
      <c r="AW3" s="1" t="n">
        <v>4</v>
      </c>
      <c r="AX3" s="1" t="n">
        <v>4</v>
      </c>
      <c r="AY3" s="1" t="n">
        <v>4</v>
      </c>
      <c r="AZ3" s="1" t="n">
        <v>4</v>
      </c>
      <c r="BA3" s="1" t="n">
        <v>4</v>
      </c>
      <c r="BB3" s="1" t="n">
        <v>4</v>
      </c>
      <c r="BC3" s="1" t="n">
        <v>8</v>
      </c>
      <c r="BD3" s="1" t="n">
        <v>8</v>
      </c>
      <c r="BE3" s="1" t="n">
        <v>8</v>
      </c>
      <c r="BF3" s="1" t="n">
        <v>8</v>
      </c>
      <c r="BG3" s="1" t="n">
        <v>8</v>
      </c>
      <c r="BH3" s="1" t="n">
        <v>8</v>
      </c>
      <c r="BI3" s="1" t="n">
        <v>10</v>
      </c>
      <c r="BJ3" s="1" t="n">
        <v>10</v>
      </c>
      <c r="BK3" s="1" t="n">
        <v>10</v>
      </c>
      <c r="BL3" s="1" t="n">
        <v>10</v>
      </c>
      <c r="BM3" s="1" t="n">
        <v>10</v>
      </c>
      <c r="BN3" s="1" t="n">
        <v>10</v>
      </c>
      <c r="BO3" s="1" t="n">
        <v>14</v>
      </c>
      <c r="BP3" s="1" t="n">
        <v>14</v>
      </c>
      <c r="BQ3" s="1" t="n">
        <v>14</v>
      </c>
      <c r="BR3" s="1" t="n">
        <v>14</v>
      </c>
      <c r="BS3" s="1" t="n">
        <v>14</v>
      </c>
      <c r="BT3" s="1" t="n">
        <v>14</v>
      </c>
      <c r="BW3" s="1" t="n">
        <v>0</v>
      </c>
      <c r="BX3" s="1" t="n">
        <f aca="false">AN6</f>
        <v>142.431990149068</v>
      </c>
      <c r="BY3" s="1" t="n">
        <f aca="false">AO6</f>
        <v>142.431990149068</v>
      </c>
      <c r="CF3" s="1" t="n">
        <f aca="false">1/0.0785</f>
        <v>12.7388535031847</v>
      </c>
      <c r="CH3" s="1" t="n">
        <v>0</v>
      </c>
      <c r="CI3" s="1" t="n">
        <f aca="false">AN4</f>
        <v>1.53913043478261</v>
      </c>
      <c r="CJ3" s="1" t="n">
        <f aca="false">AO4</f>
        <v>1.53913043478261</v>
      </c>
      <c r="CU3" s="2" t="n">
        <v>4</v>
      </c>
      <c r="CV3" s="2" t="n">
        <f aca="false">CK8</f>
        <v>1.17</v>
      </c>
      <c r="CW3" s="2" t="n">
        <f aca="false">CO8</f>
        <v>2.08</v>
      </c>
      <c r="CX3" s="1" t="n">
        <f aca="false">CI5</f>
        <v>2.28676470588235</v>
      </c>
      <c r="CY3" s="1" t="n">
        <f aca="false">CM5</f>
        <v>3.04568527918782</v>
      </c>
      <c r="CZ3" s="1" t="n">
        <f aca="false">1+CU3*CZ$1</f>
        <v>1.18</v>
      </c>
      <c r="DU3" s="1" t="n">
        <v>8</v>
      </c>
      <c r="DV3" s="1" t="n">
        <f aca="false">EE8</f>
        <v>2.29</v>
      </c>
      <c r="ET3" s="1" t="n">
        <v>8</v>
      </c>
      <c r="EU3" s="1" t="n">
        <f aca="false">FD8</f>
        <v>1.05</v>
      </c>
      <c r="FQ3" s="1" t="str">
        <f aca="false">AM3</f>
        <v>time</v>
      </c>
      <c r="FR3" s="1" t="n">
        <f aca="false">AN3</f>
        <v>0</v>
      </c>
      <c r="FS3" s="1" t="n">
        <f aca="false">AO3</f>
        <v>0</v>
      </c>
      <c r="FT3" s="1" t="n">
        <f aca="false">AQ3</f>
        <v>2</v>
      </c>
      <c r="FU3" s="1" t="n">
        <f aca="false">AR3</f>
        <v>2</v>
      </c>
      <c r="FV3" s="1" t="n">
        <f aca="false">AT3</f>
        <v>2</v>
      </c>
      <c r="FW3" s="1" t="n">
        <f aca="false">AU3</f>
        <v>2</v>
      </c>
      <c r="FX3" s="1" t="n">
        <f aca="false">AW3</f>
        <v>4</v>
      </c>
      <c r="FY3" s="1" t="n">
        <f aca="false">AX3</f>
        <v>4</v>
      </c>
      <c r="FZ3" s="1" t="n">
        <f aca="false">AZ3</f>
        <v>4</v>
      </c>
      <c r="GA3" s="1" t="n">
        <f aca="false">BA3</f>
        <v>4</v>
      </c>
      <c r="GB3" s="1" t="n">
        <f aca="false">BC3</f>
        <v>8</v>
      </c>
      <c r="GC3" s="1" t="n">
        <f aca="false">BD3</f>
        <v>8</v>
      </c>
      <c r="GD3" s="1" t="n">
        <f aca="false">BF3</f>
        <v>8</v>
      </c>
      <c r="GE3" s="1" t="n">
        <f aca="false">BG3</f>
        <v>8</v>
      </c>
      <c r="GF3" s="1" t="n">
        <f aca="false">BI3</f>
        <v>10</v>
      </c>
      <c r="GG3" s="1" t="n">
        <f aca="false">BJ3</f>
        <v>10</v>
      </c>
      <c r="GH3" s="1" t="n">
        <f aca="false">BL3</f>
        <v>10</v>
      </c>
      <c r="GI3" s="1" t="n">
        <f aca="false">BM3</f>
        <v>10</v>
      </c>
      <c r="GJ3" s="1" t="n">
        <f aca="false">BO3</f>
        <v>14</v>
      </c>
      <c r="GK3" s="1" t="n">
        <f aca="false">BP3</f>
        <v>14</v>
      </c>
      <c r="GL3" s="1" t="n">
        <f aca="false">BR3</f>
        <v>14</v>
      </c>
      <c r="GM3" s="1" t="n">
        <f aca="false">BS3</f>
        <v>14</v>
      </c>
      <c r="IA3" s="1" t="s">
        <v>50</v>
      </c>
      <c r="IB3" s="1" t="n">
        <v>0.52</v>
      </c>
      <c r="IJ3" s="1" t="s">
        <v>50</v>
      </c>
      <c r="IK3" s="1" t="n">
        <v>0.52</v>
      </c>
      <c r="IS3" s="1" t="s">
        <v>50</v>
      </c>
      <c r="IT3" s="1" t="n">
        <v>0.56</v>
      </c>
      <c r="JB3" s="1" t="s">
        <v>50</v>
      </c>
      <c r="JC3" s="1" t="n">
        <v>0.65</v>
      </c>
      <c r="JK3" s="1" t="s">
        <v>50</v>
      </c>
      <c r="JL3" s="1" t="n">
        <v>0.49</v>
      </c>
      <c r="JZ3" s="1" t="s">
        <v>51</v>
      </c>
      <c r="KA3" s="1" t="s">
        <v>51</v>
      </c>
    </row>
    <row r="4" customFormat="false" ht="16" hidden="false" customHeight="false" outlineLevel="0" collapsed="false">
      <c r="A4" s="1" t="n">
        <v>2</v>
      </c>
      <c r="B4" s="1" t="n">
        <v>2</v>
      </c>
      <c r="C4" s="1" t="n">
        <f aca="false">B4-A4</f>
        <v>0</v>
      </c>
      <c r="D4" s="1" t="n">
        <v>2</v>
      </c>
      <c r="E4" s="1" t="n">
        <v>2</v>
      </c>
      <c r="F4" s="1" t="n">
        <f aca="false">E4-D4</f>
        <v>0</v>
      </c>
      <c r="G4" s="1" t="n">
        <v>1</v>
      </c>
      <c r="H4" s="1" t="n">
        <v>1</v>
      </c>
      <c r="I4" s="1" t="n">
        <f aca="false">H4-G4</f>
        <v>0</v>
      </c>
      <c r="J4" s="1" t="n">
        <v>4</v>
      </c>
      <c r="K4" s="1" t="n">
        <v>4</v>
      </c>
      <c r="L4" s="1" t="n">
        <f aca="false">K4-J4</f>
        <v>0</v>
      </c>
      <c r="M4" s="1" t="n">
        <v>4</v>
      </c>
      <c r="N4" s="1" t="n">
        <v>4</v>
      </c>
      <c r="O4" s="1" t="n">
        <f aca="false">N4-M4</f>
        <v>0</v>
      </c>
      <c r="P4" s="1" t="n">
        <v>2</v>
      </c>
      <c r="Q4" s="1" t="n">
        <v>5</v>
      </c>
      <c r="R4" s="1" t="n">
        <f aca="false">Q4-P4</f>
        <v>3</v>
      </c>
      <c r="S4" s="1" t="n">
        <v>7</v>
      </c>
      <c r="T4" s="1" t="n">
        <v>10</v>
      </c>
      <c r="U4" s="1" t="n">
        <f aca="false">T4-S4</f>
        <v>3</v>
      </c>
      <c r="V4" s="1" t="n">
        <v>1</v>
      </c>
      <c r="W4" s="1" t="n">
        <v>1</v>
      </c>
      <c r="X4" s="1" t="n">
        <f aca="false">W4-V4</f>
        <v>0</v>
      </c>
      <c r="Y4" s="1" t="n">
        <v>6</v>
      </c>
      <c r="Z4" s="1" t="n">
        <v>10</v>
      </c>
      <c r="AA4" s="1" t="n">
        <f aca="false">Z4-Y4</f>
        <v>4</v>
      </c>
      <c r="AB4" s="1" t="n">
        <v>2</v>
      </c>
      <c r="AC4" s="1" t="n">
        <v>4</v>
      </c>
      <c r="AD4" s="1" t="n">
        <f aca="false">AC4-AB4</f>
        <v>2</v>
      </c>
      <c r="AE4" s="1" t="n">
        <v>10</v>
      </c>
      <c r="AF4" s="1" t="n">
        <v>14</v>
      </c>
      <c r="AG4" s="1" t="n">
        <f aca="false">AF4-AE4</f>
        <v>4</v>
      </c>
      <c r="AI4" s="1" t="s">
        <v>52</v>
      </c>
      <c r="AJ4" s="1" t="n">
        <f aca="false">COUNTIFS(B$2:B$1000,2,A$2:A$1000,0)</f>
        <v>0</v>
      </c>
      <c r="AM4" s="1" t="s">
        <v>53</v>
      </c>
      <c r="AN4" s="1" t="n">
        <f aca="false">AVERAGE(A2:A1000)</f>
        <v>1.53913043478261</v>
      </c>
      <c r="AO4" s="1" t="n">
        <f aca="false">AVERAGE(B2:B1000)</f>
        <v>1.53913043478261</v>
      </c>
      <c r="AP4" s="1" t="n">
        <f aca="false">AVERAGE(C2:C1000)</f>
        <v>0</v>
      </c>
      <c r="AQ4" s="1" t="n">
        <f aca="false">AVERAGE(D2:D1000)</f>
        <v>1.74285714285714</v>
      </c>
      <c r="AR4" s="1" t="n">
        <f aca="false">AVERAGE(E2:E1000)</f>
        <v>1.82857142857143</v>
      </c>
      <c r="AS4" s="1" t="n">
        <f aca="false">AVERAGE(F2:F1000)</f>
        <v>0.0857142857142857</v>
      </c>
      <c r="AT4" s="1" t="n">
        <f aca="false">AVERAGE(G2:G1000)</f>
        <v>1.79220779220779</v>
      </c>
      <c r="AU4" s="1" t="n">
        <f aca="false">AVERAGE(H2:H1000)</f>
        <v>1.91341991341991</v>
      </c>
      <c r="AV4" s="1" t="n">
        <f aca="false">AVERAGE(I2:I1000)</f>
        <v>0.121212121212121</v>
      </c>
      <c r="AW4" s="1" t="n">
        <f aca="false">AVERAGE(J2:J1000)</f>
        <v>2.28676470588235</v>
      </c>
      <c r="AX4" s="1" t="n">
        <f aca="false">AVERAGE(K2:K1000)</f>
        <v>2.75735294117647</v>
      </c>
      <c r="AY4" s="1" t="n">
        <f aca="false">AVERAGE(L2:L1000)</f>
        <v>0.470588235294118</v>
      </c>
      <c r="AZ4" s="1" t="n">
        <f aca="false">AVERAGE(M2:M1000)</f>
        <v>3.04568527918782</v>
      </c>
      <c r="BA4" s="1" t="n">
        <f aca="false">AVERAGE(N2:N1000)</f>
        <v>3.66497461928934</v>
      </c>
      <c r="BB4" s="1" t="n">
        <f aca="false">AVERAGE(O2:O1000)</f>
        <v>0.619289340101523</v>
      </c>
      <c r="BC4" s="1" t="n">
        <f aca="false">AVERAGE(P2:P1000)</f>
        <v>2.19496855345912</v>
      </c>
      <c r="BD4" s="1" t="n">
        <f aca="false">AVERAGE(Q2:Q1000)</f>
        <v>3.06918238993711</v>
      </c>
      <c r="BE4" s="1" t="n">
        <f aca="false">AVERAGE(R2:R1000)</f>
        <v>0.874213836477987</v>
      </c>
      <c r="BF4" s="1" t="n">
        <f aca="false">AVERAGE(S2:S1000)</f>
        <v>3.53768844221106</v>
      </c>
      <c r="BG4" s="1" t="n">
        <f aca="false">AVERAGE(T2:T1000)</f>
        <v>6.04522613065327</v>
      </c>
      <c r="BH4" s="1" t="n">
        <f aca="false">AVERAGE(U2:U1000)</f>
        <v>2.50753768844221</v>
      </c>
      <c r="BI4" s="1" t="n">
        <f aca="false">AVERAGE(V2:V1000)</f>
        <v>2.43150684931507</v>
      </c>
      <c r="BJ4" s="1" t="n">
        <f aca="false">AVERAGE(W2:W1000)</f>
        <v>3.80821917808219</v>
      </c>
      <c r="BK4" s="1" t="n">
        <f aca="false">AVERAGE(X2:X1000)</f>
        <v>1.37671232876712</v>
      </c>
      <c r="BL4" s="1" t="n">
        <f aca="false">AVERAGE(Y2:Y1000)</f>
        <v>5.32484076433121</v>
      </c>
      <c r="BM4" s="1" t="n">
        <f aca="false">AVERAGE(Z2:Z1000)</f>
        <v>9.55414012738854</v>
      </c>
      <c r="BN4" s="1" t="n">
        <f aca="false">AVERAGE(AA2:AA1000)</f>
        <v>4.22929936305733</v>
      </c>
      <c r="BO4" s="1" t="n">
        <f aca="false">AVERAGE(AB2:AB1000)</f>
        <v>2.73846153846154</v>
      </c>
      <c r="BP4" s="1" t="n">
        <f aca="false">AVERAGE(AC2:AC1000)</f>
        <v>4.81538461538462</v>
      </c>
      <c r="BQ4" s="1" t="n">
        <f aca="false">AVERAGE(AD2:AD1000)</f>
        <v>2.07692307692308</v>
      </c>
      <c r="BR4" s="1" t="n">
        <f aca="false">AVERAGE(AE2:AE1000)</f>
        <v>5.08040201005025</v>
      </c>
      <c r="BS4" s="1" t="n">
        <f aca="false">AVERAGE(AF2:AF1000)</f>
        <v>10.3718592964824</v>
      </c>
      <c r="BT4" s="1" t="n">
        <f aca="false">AVERAGE(AG2:AG1000)</f>
        <v>5.29145728643216</v>
      </c>
      <c r="BW4" s="1" t="n">
        <v>2</v>
      </c>
      <c r="BX4" s="1" t="n">
        <f aca="false">AQ6</f>
        <v>152.859182938776</v>
      </c>
      <c r="BY4" s="1" t="n">
        <f aca="false">AR6</f>
        <v>160.376847673469</v>
      </c>
      <c r="BZ4" s="1" t="n">
        <f aca="false">AT6</f>
        <v>137.016454285714</v>
      </c>
      <c r="CA4" s="1" t="n">
        <f aca="false">AU6</f>
        <v>146.283267619048</v>
      </c>
      <c r="CE4" s="1" t="s">
        <v>54</v>
      </c>
      <c r="CF4" s="1" t="n">
        <f aca="false">0.52/0.2289</f>
        <v>2.27173438182613</v>
      </c>
      <c r="CH4" s="1" t="n">
        <v>2</v>
      </c>
      <c r="CI4" s="1" t="n">
        <f aca="false">AQ4</f>
        <v>1.74285714285714</v>
      </c>
      <c r="CJ4" s="1" t="n">
        <f aca="false">AR4</f>
        <v>1.82857142857143</v>
      </c>
      <c r="CM4" s="1" t="n">
        <f aca="false">AT4</f>
        <v>1.79220779220779</v>
      </c>
      <c r="CN4" s="1" t="n">
        <f aca="false">AU4</f>
        <v>1.91341991341991</v>
      </c>
      <c r="CQ4" s="1" t="n">
        <f aca="false">CJ4/CI4</f>
        <v>1.04918032786885</v>
      </c>
      <c r="CR4" s="1" t="n">
        <f aca="false">CN4/CM4</f>
        <v>1.06763285024155</v>
      </c>
      <c r="CU4" s="2" t="n">
        <v>8</v>
      </c>
      <c r="CV4" s="2" t="n">
        <f aca="false">CT8</f>
        <v>1.27</v>
      </c>
      <c r="CW4" s="2" t="n">
        <f aca="false">CX8</f>
        <v>2.42</v>
      </c>
      <c r="CX4" s="1" t="n">
        <f aca="false">CI6</f>
        <v>2.19496855345912</v>
      </c>
      <c r="CY4" s="1" t="n">
        <f aca="false">CM6</f>
        <v>3.53768844221106</v>
      </c>
      <c r="CZ4" s="1" t="n">
        <f aca="false">1+CU4*CZ$1</f>
        <v>1.36</v>
      </c>
      <c r="DU4" s="1" t="n">
        <v>10</v>
      </c>
      <c r="DV4" s="1" t="n">
        <f aca="false">EJ8</f>
        <v>4</v>
      </c>
      <c r="ET4" s="1" t="n">
        <v>10</v>
      </c>
      <c r="EU4" s="1" t="n">
        <f aca="false">FI8</f>
        <v>1.21</v>
      </c>
      <c r="FQ4" s="1" t="str">
        <f aca="false">AM4</f>
        <v>average</v>
      </c>
      <c r="FR4" s="1" t="n">
        <f aca="false">AN4</f>
        <v>1.53913043478261</v>
      </c>
      <c r="FS4" s="1" t="n">
        <f aca="false">AO4</f>
        <v>1.53913043478261</v>
      </c>
      <c r="FT4" s="1" t="n">
        <f aca="false">AQ4</f>
        <v>1.74285714285714</v>
      </c>
      <c r="FU4" s="1" t="n">
        <f aca="false">AR4</f>
        <v>1.82857142857143</v>
      </c>
      <c r="FV4" s="1" t="n">
        <f aca="false">AT4</f>
        <v>1.79220779220779</v>
      </c>
      <c r="FW4" s="1" t="n">
        <f aca="false">AU4</f>
        <v>1.91341991341991</v>
      </c>
      <c r="FX4" s="1" t="n">
        <f aca="false">AW4</f>
        <v>2.28676470588235</v>
      </c>
      <c r="FY4" s="1" t="n">
        <f aca="false">AX4</f>
        <v>2.75735294117647</v>
      </c>
      <c r="FZ4" s="1" t="n">
        <f aca="false">AZ4</f>
        <v>3.04568527918782</v>
      </c>
      <c r="GA4" s="1" t="n">
        <f aca="false">BA4</f>
        <v>3.66497461928934</v>
      </c>
      <c r="GB4" s="1" t="n">
        <f aca="false">BC4</f>
        <v>2.19496855345912</v>
      </c>
      <c r="GC4" s="1" t="n">
        <f aca="false">BD4</f>
        <v>3.06918238993711</v>
      </c>
      <c r="GD4" s="1" t="n">
        <f aca="false">BF4</f>
        <v>3.53768844221106</v>
      </c>
      <c r="GE4" s="1" t="n">
        <f aca="false">BG4</f>
        <v>6.04522613065327</v>
      </c>
      <c r="GF4" s="1" t="n">
        <f aca="false">BI4</f>
        <v>2.43150684931507</v>
      </c>
      <c r="GG4" s="1" t="n">
        <f aca="false">BJ4</f>
        <v>3.80821917808219</v>
      </c>
      <c r="GH4" s="1" t="n">
        <f aca="false">BL4</f>
        <v>5.32484076433121</v>
      </c>
      <c r="GI4" s="1" t="n">
        <f aca="false">BM4</f>
        <v>9.55414012738854</v>
      </c>
      <c r="GJ4" s="1" t="n">
        <f aca="false">BO4</f>
        <v>2.73846153846154</v>
      </c>
      <c r="GK4" s="1" t="n">
        <f aca="false">BP4</f>
        <v>4.81538461538462</v>
      </c>
      <c r="GL4" s="1" t="n">
        <f aca="false">BR4</f>
        <v>5.08040201005025</v>
      </c>
      <c r="GM4" s="1" t="n">
        <f aca="false">BS4</f>
        <v>10.3718592964824</v>
      </c>
      <c r="GP4" s="1" t="s">
        <v>55</v>
      </c>
      <c r="GQ4" s="1" t="n">
        <v>1.32</v>
      </c>
      <c r="GT4" s="1" t="s">
        <v>53</v>
      </c>
      <c r="GU4" s="1" t="n">
        <f aca="false">FT4</f>
        <v>1.74285714285714</v>
      </c>
      <c r="GX4" s="1" t="s">
        <v>55</v>
      </c>
      <c r="GY4" s="1" t="n">
        <v>1.32</v>
      </c>
      <c r="HB4" s="1" t="s">
        <v>53</v>
      </c>
      <c r="HC4" s="1" t="n">
        <f aca="false">FX4</f>
        <v>2.28676470588235</v>
      </c>
      <c r="HF4" s="1" t="s">
        <v>55</v>
      </c>
      <c r="HG4" s="1" t="n">
        <v>1.32</v>
      </c>
      <c r="HJ4" s="1" t="s">
        <v>53</v>
      </c>
      <c r="HK4" s="1" t="n">
        <f aca="false">GB4</f>
        <v>2.19496855345912</v>
      </c>
      <c r="HN4" s="1" t="s">
        <v>55</v>
      </c>
      <c r="HO4" s="1" t="n">
        <v>1.67</v>
      </c>
      <c r="HR4" s="1" t="s">
        <v>53</v>
      </c>
      <c r="HS4" s="1" t="n">
        <f aca="false">GF4</f>
        <v>2.43150684931507</v>
      </c>
      <c r="HV4" s="1" t="s">
        <v>55</v>
      </c>
      <c r="HW4" s="1" t="n">
        <v>2.26</v>
      </c>
      <c r="HZ4" s="1" t="s">
        <v>53</v>
      </c>
      <c r="IA4" s="1" t="n">
        <f aca="false">GJ4</f>
        <v>2.73846153846154</v>
      </c>
      <c r="IB4" s="1" t="n">
        <v>2.78</v>
      </c>
      <c r="IE4" s="1" t="s">
        <v>55</v>
      </c>
      <c r="IF4" s="1" t="n">
        <v>3</v>
      </c>
      <c r="II4" s="1" t="s">
        <v>53</v>
      </c>
      <c r="IJ4" s="1" t="n">
        <f aca="false">FZ4</f>
        <v>3.04568527918782</v>
      </c>
      <c r="IK4" s="1" t="n">
        <v>3.07</v>
      </c>
      <c r="IN4" s="1" t="s">
        <v>55</v>
      </c>
      <c r="IO4" s="1" t="n">
        <v>3.5</v>
      </c>
      <c r="IR4" s="1" t="s">
        <v>53</v>
      </c>
      <c r="IS4" s="1" t="n">
        <f aca="false">GD4</f>
        <v>3.53768844221106</v>
      </c>
      <c r="IT4" s="1" t="n">
        <v>3.52</v>
      </c>
      <c r="IW4" s="1" t="s">
        <v>55</v>
      </c>
      <c r="IX4" s="1" t="n">
        <v>5.2</v>
      </c>
      <c r="JA4" s="1" t="s">
        <v>53</v>
      </c>
      <c r="JB4" s="1" t="n">
        <f aca="false">GH4</f>
        <v>5.32484076433121</v>
      </c>
      <c r="JC4" s="1" t="n">
        <v>5.38</v>
      </c>
      <c r="JF4" s="1" t="s">
        <v>55</v>
      </c>
      <c r="JG4" s="1" t="n">
        <v>4.28</v>
      </c>
      <c r="JJ4" s="1" t="s">
        <v>53</v>
      </c>
      <c r="JK4" s="1" t="n">
        <f aca="false">GL4</f>
        <v>5.08040201005025</v>
      </c>
      <c r="JL4" s="1" t="n">
        <v>5.09</v>
      </c>
      <c r="JP4" s="1" t="s">
        <v>55</v>
      </c>
      <c r="JQ4" s="1" t="n">
        <v>12.5</v>
      </c>
      <c r="JT4" s="1" t="s">
        <v>53</v>
      </c>
      <c r="JU4" s="1" t="n">
        <f aca="false">GM4</f>
        <v>10.3718592964824</v>
      </c>
      <c r="JW4" s="1" t="n">
        <v>0</v>
      </c>
      <c r="JX4" s="1" t="n">
        <v>3.2</v>
      </c>
      <c r="JY4" s="1" t="n">
        <v>4</v>
      </c>
      <c r="JZ4" s="1" t="n">
        <v>0</v>
      </c>
      <c r="KA4" s="1" t="n">
        <v>0</v>
      </c>
    </row>
    <row r="5" customFormat="false" ht="16" hidden="false" customHeight="false" outlineLevel="0" collapsed="false">
      <c r="A5" s="1" t="n">
        <v>1</v>
      </c>
      <c r="B5" s="1" t="n">
        <v>1</v>
      </c>
      <c r="C5" s="1" t="n">
        <f aca="false">B5-A5</f>
        <v>0</v>
      </c>
      <c r="D5" s="1" t="n">
        <v>1</v>
      </c>
      <c r="E5" s="1" t="n">
        <v>2</v>
      </c>
      <c r="F5" s="1" t="n">
        <f aca="false">E5-D5</f>
        <v>1</v>
      </c>
      <c r="G5" s="1" t="n">
        <v>1</v>
      </c>
      <c r="H5" s="1" t="n">
        <v>1</v>
      </c>
      <c r="I5" s="1" t="n">
        <f aca="false">H5-G5</f>
        <v>0</v>
      </c>
      <c r="J5" s="1" t="n">
        <v>2</v>
      </c>
      <c r="K5" s="1" t="n">
        <v>3</v>
      </c>
      <c r="L5" s="1" t="n">
        <f aca="false">K5-J5</f>
        <v>1</v>
      </c>
      <c r="M5" s="1" t="n">
        <v>2</v>
      </c>
      <c r="N5" s="1" t="n">
        <v>2</v>
      </c>
      <c r="O5" s="1" t="n">
        <f aca="false">N5-M5</f>
        <v>0</v>
      </c>
      <c r="P5" s="1" t="n">
        <v>2</v>
      </c>
      <c r="Q5" s="1" t="n">
        <v>4</v>
      </c>
      <c r="R5" s="1" t="n">
        <f aca="false">Q5-P5</f>
        <v>2</v>
      </c>
      <c r="S5" s="1" t="n">
        <v>3</v>
      </c>
      <c r="T5" s="1" t="n">
        <v>5</v>
      </c>
      <c r="U5" s="1" t="n">
        <f aca="false">T5-S5</f>
        <v>2</v>
      </c>
      <c r="V5" s="1" t="n">
        <v>3</v>
      </c>
      <c r="W5" s="1" t="n">
        <v>3</v>
      </c>
      <c r="X5" s="1" t="n">
        <f aca="false">W5-V5</f>
        <v>0</v>
      </c>
      <c r="Y5" s="1" t="n">
        <v>6</v>
      </c>
      <c r="Z5" s="1" t="n">
        <v>6</v>
      </c>
      <c r="AA5" s="1" t="n">
        <f aca="false">Z5-Y5</f>
        <v>0</v>
      </c>
      <c r="AB5" s="1" t="n">
        <v>2</v>
      </c>
      <c r="AC5" s="1" t="n">
        <v>8</v>
      </c>
      <c r="AD5" s="1" t="n">
        <f aca="false">AC5-AB5</f>
        <v>6</v>
      </c>
      <c r="AE5" s="1" t="n">
        <v>24</v>
      </c>
      <c r="AF5" s="1" t="n">
        <v>32</v>
      </c>
      <c r="AG5" s="1" t="n">
        <f aca="false">AF5-AE5</f>
        <v>8</v>
      </c>
      <c r="AM5" s="1" t="s">
        <v>56</v>
      </c>
      <c r="AN5" s="1" t="n">
        <f aca="false">'EXPAND PERSISTANCE'!A14</f>
        <v>92.5405585714286</v>
      </c>
      <c r="AO5" s="1" t="n">
        <f aca="false">AN5</f>
        <v>92.5405585714286</v>
      </c>
      <c r="AP5" s="1" t="n">
        <f aca="false">AO5</f>
        <v>92.5405585714286</v>
      </c>
      <c r="AQ5" s="1" t="n">
        <f aca="false">'EXPAND PERSISTANCE'!B14</f>
        <v>87.7060885714286</v>
      </c>
      <c r="AR5" s="1" t="n">
        <f aca="false">AQ5</f>
        <v>87.7060885714286</v>
      </c>
      <c r="AS5" s="1" t="n">
        <f aca="false">AR5</f>
        <v>87.7060885714286</v>
      </c>
      <c r="AT5" s="1" t="n">
        <f aca="false">'EXPAND PERSISTANCE'!C14</f>
        <v>76.45121</v>
      </c>
      <c r="AU5" s="1" t="n">
        <f aca="false">AT5</f>
        <v>76.45121</v>
      </c>
      <c r="AV5" s="1" t="n">
        <f aca="false">AU5</f>
        <v>76.45121</v>
      </c>
      <c r="AW5" s="1" t="n">
        <f aca="false">'EXPAND PERSISTANCE'!D14</f>
        <v>84.098068</v>
      </c>
      <c r="AX5" s="1" t="n">
        <f aca="false">AW5</f>
        <v>84.098068</v>
      </c>
      <c r="AY5" s="1" t="n">
        <f aca="false">AX5</f>
        <v>84.098068</v>
      </c>
      <c r="AZ5" s="1" t="n">
        <f aca="false">'EXPAND PERSISTANCE'!E14</f>
        <v>80.600055</v>
      </c>
      <c r="BA5" s="1" t="n">
        <f aca="false">AZ5</f>
        <v>80.600055</v>
      </c>
      <c r="BB5" s="1" t="n">
        <f aca="false">BA5</f>
        <v>80.600055</v>
      </c>
      <c r="BC5" s="1" t="n">
        <f aca="false">'EXPAND PERSISTANCE'!F14</f>
        <v>66.4337933333333</v>
      </c>
      <c r="BD5" s="1" t="n">
        <f aca="false">BC5</f>
        <v>66.4337933333333</v>
      </c>
      <c r="BE5" s="1" t="n">
        <f aca="false">BD5</f>
        <v>66.4337933333333</v>
      </c>
      <c r="BF5" s="1" t="n">
        <f aca="false">'EXPAND PERSISTANCE'!G14</f>
        <v>68.9002625</v>
      </c>
      <c r="BG5" s="1" t="n">
        <f aca="false">BF5</f>
        <v>68.9002625</v>
      </c>
      <c r="BH5" s="1" t="n">
        <f aca="false">BG5</f>
        <v>68.9002625</v>
      </c>
      <c r="BI5" s="1" t="n">
        <f aca="false">'EXPAND PERSISTANCE'!H14</f>
        <v>66.5117833333333</v>
      </c>
      <c r="BJ5" s="1" t="n">
        <f aca="false">BI5</f>
        <v>66.5117833333333</v>
      </c>
      <c r="BK5" s="1" t="n">
        <f aca="false">BJ5</f>
        <v>66.5117833333333</v>
      </c>
      <c r="BL5" s="1" t="n">
        <f aca="false">'EXPAND PERSISTANCE'!I14</f>
        <v>56.4082525</v>
      </c>
      <c r="BM5" s="1" t="n">
        <f aca="false">BL5</f>
        <v>56.4082525</v>
      </c>
      <c r="BN5" s="1" t="n">
        <f aca="false">BM5</f>
        <v>56.4082525</v>
      </c>
      <c r="BO5" s="1" t="n">
        <f aca="false">'EXPAND PERSISTANCE'!J14</f>
        <v>62.2469875</v>
      </c>
      <c r="BP5" s="1" t="n">
        <f aca="false">BO5</f>
        <v>62.2469875</v>
      </c>
      <c r="BQ5" s="1" t="n">
        <f aca="false">BP5</f>
        <v>62.2469875</v>
      </c>
      <c r="BR5" s="1" t="n">
        <f aca="false">'EXPAND PERSISTANCE'!K14</f>
        <v>46.6853</v>
      </c>
      <c r="BS5" s="1" t="n">
        <f aca="false">BR5</f>
        <v>46.6853</v>
      </c>
      <c r="BT5" s="1" t="n">
        <f aca="false">BS5</f>
        <v>46.6853</v>
      </c>
      <c r="BW5" s="1" t="n">
        <v>4</v>
      </c>
      <c r="BX5" s="1" t="n">
        <f aca="false">AW6</f>
        <v>192.312493735294</v>
      </c>
      <c r="BY5" s="1" t="n">
        <f aca="false">AX6</f>
        <v>231.888055147059</v>
      </c>
      <c r="BZ5" s="1" t="n">
        <f aca="false">AZ6</f>
        <v>245.482401015228</v>
      </c>
      <c r="CA5" s="1" t="n">
        <f aca="false">BA6</f>
        <v>295.397155888325</v>
      </c>
      <c r="CE5" s="1" t="s">
        <v>57</v>
      </c>
      <c r="CF5" s="1" t="n">
        <v>0.5</v>
      </c>
      <c r="CH5" s="1" t="n">
        <v>4</v>
      </c>
      <c r="CI5" s="1" t="n">
        <f aca="false">AW4</f>
        <v>2.28676470588235</v>
      </c>
      <c r="CJ5" s="1" t="n">
        <f aca="false">AX4</f>
        <v>2.75735294117647</v>
      </c>
      <c r="CM5" s="1" t="n">
        <f aca="false">AZ4</f>
        <v>3.04568527918782</v>
      </c>
      <c r="CN5" s="1" t="n">
        <f aca="false">BA4</f>
        <v>3.66497461928934</v>
      </c>
      <c r="CQ5" s="1" t="n">
        <f aca="false">CJ5/CI5</f>
        <v>1.20578778135048</v>
      </c>
      <c r="CR5" s="1" t="n">
        <f aca="false">CN5/CM5</f>
        <v>1.20333333333333</v>
      </c>
      <c r="CU5" s="2" t="n">
        <v>10</v>
      </c>
      <c r="CV5" s="2" t="n">
        <f aca="false">DC8</f>
        <v>1.37</v>
      </c>
      <c r="CW5" s="2" t="n">
        <f aca="false">DG8</f>
        <v>4</v>
      </c>
      <c r="CX5" s="1" t="n">
        <f aca="false">CI7</f>
        <v>2.43150684931507</v>
      </c>
      <c r="CY5" s="1" t="n">
        <f aca="false">CM7</f>
        <v>5.32484076433121</v>
      </c>
      <c r="CZ5" s="1" t="n">
        <f aca="false">1+CU5*CZ$1</f>
        <v>1.45</v>
      </c>
      <c r="DU5" s="1" t="n">
        <v>14</v>
      </c>
      <c r="DV5" s="1" t="n">
        <f aca="false">EO8</f>
        <v>3.65</v>
      </c>
      <c r="ET5" s="1" t="n">
        <v>14</v>
      </c>
      <c r="EU5" s="1" t="n">
        <f aca="false">FN8</f>
        <v>1.5</v>
      </c>
      <c r="FQ5" s="1" t="str">
        <f aca="false">AM5</f>
        <v>persistence</v>
      </c>
      <c r="FR5" s="1" t="n">
        <f aca="false">AN5</f>
        <v>92.5405585714286</v>
      </c>
      <c r="FS5" s="1" t="n">
        <f aca="false">AO5</f>
        <v>92.5405585714286</v>
      </c>
      <c r="FT5" s="1" t="n">
        <f aca="false">AQ5</f>
        <v>87.7060885714286</v>
      </c>
      <c r="FU5" s="1" t="n">
        <f aca="false">AR5</f>
        <v>87.7060885714286</v>
      </c>
      <c r="FV5" s="1" t="n">
        <f aca="false">AT5</f>
        <v>76.45121</v>
      </c>
      <c r="FW5" s="1" t="n">
        <f aca="false">AU5</f>
        <v>76.45121</v>
      </c>
      <c r="FX5" s="1" t="n">
        <f aca="false">AW5</f>
        <v>84.098068</v>
      </c>
      <c r="FY5" s="1" t="n">
        <f aca="false">AX5</f>
        <v>84.098068</v>
      </c>
      <c r="FZ5" s="1" t="n">
        <f aca="false">AZ5</f>
        <v>80.600055</v>
      </c>
      <c r="GA5" s="1" t="n">
        <f aca="false">BA5</f>
        <v>80.600055</v>
      </c>
      <c r="GB5" s="1" t="n">
        <f aca="false">BC5</f>
        <v>66.4337933333333</v>
      </c>
      <c r="GC5" s="1" t="n">
        <f aca="false">BD5</f>
        <v>66.4337933333333</v>
      </c>
      <c r="GD5" s="1" t="n">
        <f aca="false">BF5</f>
        <v>68.9002625</v>
      </c>
      <c r="GE5" s="1" t="n">
        <f aca="false">BG5</f>
        <v>68.9002625</v>
      </c>
      <c r="GF5" s="1" t="n">
        <f aca="false">BI5</f>
        <v>66.5117833333333</v>
      </c>
      <c r="GG5" s="1" t="n">
        <f aca="false">BJ5</f>
        <v>66.5117833333333</v>
      </c>
      <c r="GH5" s="1" t="n">
        <f aca="false">BL5</f>
        <v>56.4082525</v>
      </c>
      <c r="GI5" s="1" t="n">
        <f aca="false">BM5</f>
        <v>56.4082525</v>
      </c>
      <c r="GJ5" s="1" t="n">
        <f aca="false">BO5</f>
        <v>62.2469875</v>
      </c>
      <c r="GK5" s="1" t="n">
        <f aca="false">BP5</f>
        <v>62.2469875</v>
      </c>
      <c r="GL5" s="1" t="n">
        <f aca="false">BR5</f>
        <v>46.6853</v>
      </c>
      <c r="GM5" s="1" t="n">
        <f aca="false">BS5</f>
        <v>46.6853</v>
      </c>
      <c r="GP5" s="1" t="s">
        <v>58</v>
      </c>
      <c r="GQ5" s="1" t="n">
        <v>0.49</v>
      </c>
      <c r="GT5" s="1" t="s">
        <v>59</v>
      </c>
      <c r="GU5" s="1" t="n">
        <f aca="false">SUM(GU11:GU110)/100</f>
        <v>0.00571428571428576</v>
      </c>
      <c r="GX5" s="1" t="s">
        <v>58</v>
      </c>
      <c r="GY5" s="1" t="n">
        <v>0.49</v>
      </c>
      <c r="HB5" s="1" t="s">
        <v>59</v>
      </c>
      <c r="HC5" s="1" t="n">
        <f aca="false">SUM(HC11:HC110)/100</f>
        <v>0.308823529411765</v>
      </c>
      <c r="HF5" s="1" t="s">
        <v>58</v>
      </c>
      <c r="HG5" s="1" t="n">
        <v>0.49</v>
      </c>
      <c r="HJ5" s="1" t="s">
        <v>59</v>
      </c>
      <c r="HK5" s="1" t="n">
        <f aca="false">SUM(HK11:HK110)/100</f>
        <v>0.106918238993711</v>
      </c>
      <c r="HN5" s="1" t="s">
        <v>58</v>
      </c>
      <c r="HO5" s="1" t="n">
        <v>0.64</v>
      </c>
      <c r="HR5" s="1" t="s">
        <v>59</v>
      </c>
      <c r="HS5" s="1" t="n">
        <f aca="false">SUM(HS11:HS110)/100</f>
        <v>0.328767123287671</v>
      </c>
      <c r="HV5" s="1" t="s">
        <v>58</v>
      </c>
      <c r="HW5" s="1" t="n">
        <v>0.5</v>
      </c>
      <c r="HZ5" s="1" t="s">
        <v>59</v>
      </c>
      <c r="IA5" s="1" t="n">
        <f aca="false">SUM(IA11:IA110)/100</f>
        <v>0.302564102564103</v>
      </c>
      <c r="IB5" s="1" t="n">
        <v>0.32</v>
      </c>
      <c r="IE5" s="1" t="s">
        <v>58</v>
      </c>
      <c r="IF5" s="1" t="n">
        <v>0.32</v>
      </c>
      <c r="II5" s="1" t="s">
        <v>59</v>
      </c>
      <c r="IJ5" s="1" t="n">
        <f aca="false">SUM(IJ11:IJ110)/100</f>
        <v>0.0862944162436549</v>
      </c>
      <c r="IK5" s="1" t="n">
        <v>0.082</v>
      </c>
      <c r="IN5" s="1" t="s">
        <v>58</v>
      </c>
      <c r="IO5" s="1" t="n">
        <v>0.37</v>
      </c>
      <c r="IR5" s="1" t="s">
        <v>59</v>
      </c>
      <c r="IS5" s="1" t="n">
        <f aca="false">SUM(IS11:IS110)/100</f>
        <v>0.175879396984925</v>
      </c>
      <c r="IT5" s="1" t="n">
        <v>0.16</v>
      </c>
      <c r="IW5" s="1" t="s">
        <v>58</v>
      </c>
      <c r="IX5" s="1" t="n">
        <v>0.59</v>
      </c>
      <c r="JA5" s="1" t="s">
        <v>59</v>
      </c>
      <c r="JB5" s="1" t="n">
        <f aca="false">SUM(JB11:JB110)/100</f>
        <v>0.515923566878981</v>
      </c>
      <c r="JC5" s="1" t="n">
        <v>0.52</v>
      </c>
      <c r="JF5" s="1" t="s">
        <v>58</v>
      </c>
      <c r="JG5" s="1" t="n">
        <v>0.735</v>
      </c>
      <c r="JJ5" s="1" t="s">
        <v>59</v>
      </c>
      <c r="JK5" s="1" t="n">
        <f aca="false">SUM(JK11:JK110)/100</f>
        <v>0.688442211055276</v>
      </c>
      <c r="JL5" s="1" t="n">
        <v>0.69</v>
      </c>
      <c r="JP5" s="1" t="s">
        <v>58</v>
      </c>
      <c r="JQ5" s="1" t="n">
        <v>0.68</v>
      </c>
      <c r="JT5" s="1" t="s">
        <v>59</v>
      </c>
      <c r="JU5" s="1" t="n">
        <f aca="false">SUM(JU11:JU110)/100</f>
        <v>0.618090452261307</v>
      </c>
      <c r="JW5" s="1" t="n">
        <v>1</v>
      </c>
      <c r="JX5" s="1" t="n">
        <v>3.2</v>
      </c>
      <c r="JY5" s="1" t="n">
        <v>4</v>
      </c>
      <c r="JZ5" s="1" t="n">
        <f aca="false">(JX5+JX4)/JX$4*($JW5-$JW4)/2+JZ4</f>
        <v>1</v>
      </c>
      <c r="KA5" s="1" t="n">
        <f aca="false">KA4+JY5/JY$4*(JW5-JW4)</f>
        <v>1</v>
      </c>
      <c r="KB5" s="1" t="n">
        <v>0.17</v>
      </c>
    </row>
    <row r="6" customFormat="false" ht="16" hidden="false" customHeight="false" outlineLevel="0" collapsed="false">
      <c r="A6" s="1" t="n">
        <v>1</v>
      </c>
      <c r="B6" s="1" t="n">
        <v>1</v>
      </c>
      <c r="C6" s="1" t="n">
        <f aca="false">B6-A6</f>
        <v>0</v>
      </c>
      <c r="D6" s="1" t="n">
        <v>1</v>
      </c>
      <c r="E6" s="1" t="n">
        <v>1</v>
      </c>
      <c r="F6" s="1" t="n">
        <f aca="false">E6-D6</f>
        <v>0</v>
      </c>
      <c r="G6" s="1" t="n">
        <v>1</v>
      </c>
      <c r="H6" s="1" t="n">
        <v>1</v>
      </c>
      <c r="I6" s="1" t="n">
        <f aca="false">H6-G6</f>
        <v>0</v>
      </c>
      <c r="J6" s="1" t="n">
        <v>3</v>
      </c>
      <c r="K6" s="1" t="n">
        <v>6</v>
      </c>
      <c r="L6" s="1" t="n">
        <f aca="false">K6-J6</f>
        <v>3</v>
      </c>
      <c r="M6" s="1" t="n">
        <v>1</v>
      </c>
      <c r="N6" s="1" t="n">
        <v>1</v>
      </c>
      <c r="O6" s="1" t="n">
        <f aca="false">N6-M6</f>
        <v>0</v>
      </c>
      <c r="P6" s="1" t="n">
        <v>1</v>
      </c>
      <c r="Q6" s="1" t="n">
        <v>2</v>
      </c>
      <c r="R6" s="1" t="n">
        <f aca="false">Q6-P6</f>
        <v>1</v>
      </c>
      <c r="S6" s="1" t="n">
        <v>3</v>
      </c>
      <c r="T6" s="1" t="n">
        <v>3</v>
      </c>
      <c r="U6" s="1" t="n">
        <f aca="false">T6-S6</f>
        <v>0</v>
      </c>
      <c r="V6" s="1" t="n">
        <v>1</v>
      </c>
      <c r="W6" s="1" t="n">
        <v>1</v>
      </c>
      <c r="X6" s="1" t="n">
        <f aca="false">W6-V6</f>
        <v>0</v>
      </c>
      <c r="Y6" s="1" t="n">
        <v>5</v>
      </c>
      <c r="Z6" s="1" t="n">
        <v>5</v>
      </c>
      <c r="AA6" s="1" t="n">
        <f aca="false">Z6-Y6</f>
        <v>0</v>
      </c>
      <c r="AB6" s="1" t="n">
        <v>4</v>
      </c>
      <c r="AC6" s="1" t="n">
        <v>8</v>
      </c>
      <c r="AD6" s="1" t="n">
        <f aca="false">AC6-AB6</f>
        <v>4</v>
      </c>
      <c r="AE6" s="1" t="n">
        <v>12</v>
      </c>
      <c r="AF6" s="1" t="n">
        <v>20</v>
      </c>
      <c r="AG6" s="1" t="n">
        <f aca="false">AF6-AE6</f>
        <v>8</v>
      </c>
      <c r="AI6" s="1" t="s">
        <v>60</v>
      </c>
      <c r="AM6" s="1" t="s">
        <v>61</v>
      </c>
      <c r="AN6" s="1" t="n">
        <f aca="false">AN4*AN5</f>
        <v>142.431990149068</v>
      </c>
      <c r="AO6" s="1" t="n">
        <f aca="false">AO4*AO5</f>
        <v>142.431990149068</v>
      </c>
      <c r="AP6" s="1" t="n">
        <f aca="false">AP4*AP5</f>
        <v>0</v>
      </c>
      <c r="AQ6" s="1" t="n">
        <f aca="false">AQ4*AQ5</f>
        <v>152.859182938776</v>
      </c>
      <c r="AR6" s="1" t="n">
        <f aca="false">AR4*AR5</f>
        <v>160.376847673469</v>
      </c>
      <c r="AS6" s="1" t="n">
        <f aca="false">AS4*AS5</f>
        <v>7.51766473469388</v>
      </c>
      <c r="AT6" s="1" t="n">
        <f aca="false">AT4*AT5</f>
        <v>137.016454285714</v>
      </c>
      <c r="AU6" s="1" t="n">
        <f aca="false">AU4*AU5</f>
        <v>146.283267619048</v>
      </c>
      <c r="AV6" s="1" t="n">
        <f aca="false">AV4*AV5</f>
        <v>9.26681333333333</v>
      </c>
      <c r="AW6" s="1" t="n">
        <f aca="false">AW4*AW5</f>
        <v>192.312493735294</v>
      </c>
      <c r="AX6" s="1" t="n">
        <f aca="false">AX4*AX5</f>
        <v>231.888055147059</v>
      </c>
      <c r="AY6" s="1" t="n">
        <f aca="false">AY4*AY5</f>
        <v>39.5755614117647</v>
      </c>
      <c r="AZ6" s="1" t="n">
        <f aca="false">AZ4*AZ5</f>
        <v>245.482401015228</v>
      </c>
      <c r="BA6" s="1" t="n">
        <f aca="false">BA4*BA5</f>
        <v>295.397155888325</v>
      </c>
      <c r="BB6" s="1" t="n">
        <f aca="false">BB4*BB5</f>
        <v>49.9147548730964</v>
      </c>
      <c r="BC6" s="1" t="n">
        <f aca="false">BC4*BC5</f>
        <v>145.820087253669</v>
      </c>
      <c r="BD6" s="1" t="n">
        <f aca="false">BD4*BD5</f>
        <v>203.897428595388</v>
      </c>
      <c r="BE6" s="1" t="n">
        <f aca="false">BE4*BE5</f>
        <v>58.0773413417191</v>
      </c>
      <c r="BF6" s="1" t="n">
        <f aca="false">BF4*BF5</f>
        <v>243.747662311558</v>
      </c>
      <c r="BG6" s="1" t="n">
        <f aca="false">BG4*BG5</f>
        <v>416.517667273869</v>
      </c>
      <c r="BH6" s="1" t="n">
        <f aca="false">BH4*BH5</f>
        <v>172.770004962312</v>
      </c>
      <c r="BI6" s="1" t="n">
        <f aca="false">BI4*BI5</f>
        <v>161.72385673516</v>
      </c>
      <c r="BJ6" s="1" t="n">
        <f aca="false">BJ4*BJ5</f>
        <v>253.291448858447</v>
      </c>
      <c r="BK6" s="1" t="n">
        <f aca="false">BK4*BK5</f>
        <v>91.5675921232877</v>
      </c>
      <c r="BL6" s="1" t="n">
        <f aca="false">BL4*BL5</f>
        <v>300.364962356688</v>
      </c>
      <c r="BM6" s="1" t="n">
        <f aca="false">BM4*BM5</f>
        <v>538.932348726115</v>
      </c>
      <c r="BN6" s="1" t="n">
        <f aca="false">BN4*BN5</f>
        <v>238.567386369427</v>
      </c>
      <c r="BO6" s="1" t="n">
        <f aca="false">BO4*BO5</f>
        <v>170.460981153846</v>
      </c>
      <c r="BP6" s="1" t="n">
        <f aca="false">BP4*BP5</f>
        <v>299.743185961538</v>
      </c>
      <c r="BQ6" s="1" t="n">
        <f aca="false">BQ4*BQ5</f>
        <v>129.282204807692</v>
      </c>
      <c r="BR6" s="1" t="n">
        <f aca="false">BR4*BR5</f>
        <v>237.180091959799</v>
      </c>
      <c r="BS6" s="1" t="n">
        <f aca="false">BS4*BS5</f>
        <v>484.21336281407</v>
      </c>
      <c r="BT6" s="1" t="n">
        <f aca="false">BT4*BT5</f>
        <v>247.033270854271</v>
      </c>
      <c r="BW6" s="1" t="n">
        <v>8</v>
      </c>
      <c r="BX6" s="1" t="n">
        <f aca="false">BC6</f>
        <v>145.820087253669</v>
      </c>
      <c r="BY6" s="1" t="n">
        <f aca="false">BD6</f>
        <v>203.897428595388</v>
      </c>
      <c r="BZ6" s="1" t="n">
        <f aca="false">BF6</f>
        <v>243.747662311558</v>
      </c>
      <c r="CA6" s="1" t="n">
        <f aca="false">BG6</f>
        <v>416.517667273869</v>
      </c>
      <c r="CE6" s="1" t="s">
        <v>62</v>
      </c>
      <c r="CF6" s="1" t="n">
        <f aca="false">0.0785*CF2*CF5</f>
        <v>0.171472258628222</v>
      </c>
      <c r="CG6" s="1" t="n">
        <f aca="false">1/CF6</f>
        <v>5.83184713375796</v>
      </c>
      <c r="CH6" s="1" t="n">
        <v>8</v>
      </c>
      <c r="CI6" s="1" t="n">
        <f aca="false">BC4</f>
        <v>2.19496855345912</v>
      </c>
      <c r="CJ6" s="1" t="n">
        <f aca="false">BD4</f>
        <v>3.06918238993711</v>
      </c>
      <c r="CM6" s="1" t="n">
        <f aca="false">BF4</f>
        <v>3.53768844221106</v>
      </c>
      <c r="CN6" s="1" t="n">
        <f aca="false">BG4</f>
        <v>6.04522613065327</v>
      </c>
      <c r="CQ6" s="1" t="n">
        <f aca="false">CJ6/CI6</f>
        <v>1.39828080229226</v>
      </c>
      <c r="CR6" s="1" t="n">
        <f aca="false">CN6/CM6</f>
        <v>1.70880681818182</v>
      </c>
      <c r="CU6" s="2" t="n">
        <v>14</v>
      </c>
      <c r="CV6" s="2" t="n">
        <f aca="false">DL8</f>
        <v>1.63</v>
      </c>
      <c r="CW6" s="2" t="n">
        <f aca="false">DP8</f>
        <v>3.53</v>
      </c>
      <c r="CX6" s="1" t="n">
        <f aca="false">CI8</f>
        <v>2.73846153846154</v>
      </c>
      <c r="CY6" s="1" t="n">
        <f aca="false">CM8</f>
        <v>5.08040201005025</v>
      </c>
      <c r="CZ6" s="1" t="n">
        <f aca="false">1+CU6*CZ$1</f>
        <v>1.63</v>
      </c>
      <c r="FQ6" s="1" t="str">
        <f aca="false">AM6</f>
        <v>product</v>
      </c>
      <c r="FR6" s="1" t="n">
        <f aca="false">AN6</f>
        <v>142.431990149068</v>
      </c>
      <c r="FS6" s="1" t="n">
        <f aca="false">AO6</f>
        <v>142.431990149068</v>
      </c>
      <c r="FT6" s="1" t="n">
        <f aca="false">AQ6</f>
        <v>152.859182938776</v>
      </c>
      <c r="FU6" s="1" t="n">
        <f aca="false">AR6</f>
        <v>160.376847673469</v>
      </c>
      <c r="FV6" s="1" t="n">
        <f aca="false">AT6</f>
        <v>137.016454285714</v>
      </c>
      <c r="FW6" s="1" t="n">
        <f aca="false">AU6</f>
        <v>146.283267619048</v>
      </c>
      <c r="FX6" s="1" t="n">
        <f aca="false">AW6</f>
        <v>192.312493735294</v>
      </c>
      <c r="FY6" s="1" t="n">
        <f aca="false">AX6</f>
        <v>231.888055147059</v>
      </c>
      <c r="FZ6" s="1" t="n">
        <f aca="false">AZ6</f>
        <v>245.482401015228</v>
      </c>
      <c r="GA6" s="1" t="n">
        <f aca="false">BA6</f>
        <v>295.397155888325</v>
      </c>
      <c r="GB6" s="1" t="n">
        <f aca="false">BC6</f>
        <v>145.820087253669</v>
      </c>
      <c r="GC6" s="1" t="n">
        <f aca="false">BD6</f>
        <v>203.897428595388</v>
      </c>
      <c r="GD6" s="1" t="n">
        <f aca="false">BF6</f>
        <v>243.747662311558</v>
      </c>
      <c r="GE6" s="1" t="n">
        <f aca="false">BG6</f>
        <v>416.517667273869</v>
      </c>
      <c r="GF6" s="1" t="n">
        <f aca="false">BI6</f>
        <v>161.72385673516</v>
      </c>
      <c r="GG6" s="1" t="n">
        <f aca="false">BJ6</f>
        <v>253.291448858447</v>
      </c>
      <c r="GH6" s="1" t="n">
        <f aca="false">BL6</f>
        <v>300.364962356688</v>
      </c>
      <c r="GI6" s="1" t="n">
        <f aca="false">BM6</f>
        <v>538.932348726115</v>
      </c>
      <c r="GJ6" s="1" t="n">
        <f aca="false">BO6</f>
        <v>170.460981153846</v>
      </c>
      <c r="GK6" s="1" t="n">
        <f aca="false">BP6</f>
        <v>299.743185961538</v>
      </c>
      <c r="GL6" s="1" t="n">
        <f aca="false">BR6</f>
        <v>237.180091959799</v>
      </c>
      <c r="GM6" s="1" t="n">
        <f aca="false">BS6</f>
        <v>484.21336281407</v>
      </c>
      <c r="GP6" s="1" t="s">
        <v>63</v>
      </c>
      <c r="GQ6" s="1" t="n">
        <f aca="false">(EXP(2/GQ$4)-1)/(1+GQ$5+EXP(1/GQ$4)*(1-GQ$5))*100</f>
        <v>137.714321529103</v>
      </c>
      <c r="GX6" s="1" t="s">
        <v>63</v>
      </c>
      <c r="GY6" s="1" t="n">
        <f aca="false">(EXP(2/GY$4)-1)/(1+GY$5+EXP(1/GY$4)*(1-GY$5))*100</f>
        <v>137.714321529103</v>
      </c>
      <c r="HF6" s="1" t="s">
        <v>63</v>
      </c>
      <c r="HG6" s="1" t="n">
        <f aca="false">(EXP(2/HG$4)-1)/(1+HG$5+EXP(1/HG$4)*(1-HG$5))*100</f>
        <v>137.714321529103</v>
      </c>
      <c r="HN6" s="1" t="s">
        <v>63</v>
      </c>
      <c r="HO6" s="1" t="n">
        <f aca="false">(EXP(2/HO$4)-1)/(1+HO$5+EXP(1/HO$4)*(1-HO$5))*100</f>
        <v>100.740526940806</v>
      </c>
      <c r="HV6" s="1" t="s">
        <v>63</v>
      </c>
      <c r="HW6" s="1" t="n">
        <f aca="false">(EXP(2/HW$4)-1)/(1+HW$5+EXP(1/HW$4)*(1-HW$5))*100</f>
        <v>62.4540165332037</v>
      </c>
      <c r="IE6" s="1" t="s">
        <v>63</v>
      </c>
      <c r="IF6" s="1" t="n">
        <f aca="false">(EXP(2/IF$4)-1)/(1+IF$5+EXP(1/IF$4)*(1-IF$5))*100</f>
        <v>41.768495836507</v>
      </c>
      <c r="IN6" s="1" t="s">
        <v>63</v>
      </c>
      <c r="IO6" s="1" t="n">
        <f aca="false">(EXP(2/IO$4)-1)/(1+IO$5+EXP(1/IO$4)*(1-IO$5))*100</f>
        <v>34.9036797441899</v>
      </c>
      <c r="IW6" s="1" t="s">
        <v>63</v>
      </c>
      <c r="IX6" s="1" t="n">
        <f aca="false">(EXP(2/IX$4)-1)/(1+IX$5+EXP(1/IX$4)*(1-IX$5))*100</f>
        <v>22.4754755778439</v>
      </c>
      <c r="JF6" s="1" t="s">
        <v>63</v>
      </c>
      <c r="JG6" s="1" t="n">
        <f aca="false">(EXP(2/JG$4)-1)/(1+JG$5+EXP(1/JG$4)*(1-JG$5))*100</f>
        <v>28.7795399135777</v>
      </c>
      <c r="JP6" s="1" t="s">
        <v>63</v>
      </c>
      <c r="JQ6" s="1" t="n">
        <f aca="false">(EXP(2/JQ$4)-1)/(1+JQ$5+EXP(1/JQ$4)*(1-JQ$5))*100</f>
        <v>8.56145420309306</v>
      </c>
      <c r="JW6" s="1" t="n">
        <v>2</v>
      </c>
      <c r="JX6" s="1" t="n">
        <v>8</v>
      </c>
      <c r="JY6" s="1" t="n">
        <v>4</v>
      </c>
      <c r="JZ6" s="1" t="n">
        <f aca="false">(JX6+JX5)/JX$4*($JW6-$JW5)/2+JZ5</f>
        <v>2.75</v>
      </c>
      <c r="KA6" s="1" t="n">
        <f aca="false">KA5+JY6/JY$4*(JW6-JW5)</f>
        <v>2</v>
      </c>
      <c r="KB6" s="1" t="n">
        <v>0.4</v>
      </c>
    </row>
    <row r="7" customFormat="false" ht="16" hidden="false" customHeight="false" outlineLevel="0" collapsed="false">
      <c r="A7" s="1" t="n">
        <v>2</v>
      </c>
      <c r="B7" s="1" t="n">
        <v>2</v>
      </c>
      <c r="C7" s="1" t="n">
        <f aca="false">B7-A7</f>
        <v>0</v>
      </c>
      <c r="D7" s="1" t="n">
        <v>1</v>
      </c>
      <c r="E7" s="1" t="n">
        <v>1</v>
      </c>
      <c r="F7" s="1" t="n">
        <f aca="false">E7-D7</f>
        <v>0</v>
      </c>
      <c r="G7" s="1" t="n">
        <v>3</v>
      </c>
      <c r="H7" s="1" t="n">
        <v>3</v>
      </c>
      <c r="I7" s="1" t="n">
        <f aca="false">H7-G7</f>
        <v>0</v>
      </c>
      <c r="J7" s="1" t="n">
        <v>5</v>
      </c>
      <c r="K7" s="1" t="n">
        <v>7</v>
      </c>
      <c r="L7" s="1" t="n">
        <f aca="false">K7-J7</f>
        <v>2</v>
      </c>
      <c r="M7" s="1" t="n">
        <v>1</v>
      </c>
      <c r="N7" s="1" t="n">
        <v>1</v>
      </c>
      <c r="O7" s="1" t="n">
        <f aca="false">N7-M7</f>
        <v>0</v>
      </c>
      <c r="P7" s="1" t="n">
        <v>4</v>
      </c>
      <c r="Q7" s="1" t="n">
        <v>4</v>
      </c>
      <c r="R7" s="1" t="n">
        <f aca="false">Q7-P7</f>
        <v>0</v>
      </c>
      <c r="S7" s="1" t="n">
        <v>5</v>
      </c>
      <c r="T7" s="1" t="n">
        <v>5</v>
      </c>
      <c r="U7" s="1" t="n">
        <f aca="false">T7-S7</f>
        <v>0</v>
      </c>
      <c r="V7" s="1" t="n">
        <v>5</v>
      </c>
      <c r="W7" s="1" t="n">
        <v>8</v>
      </c>
      <c r="X7" s="1" t="n">
        <f aca="false">W7-V7</f>
        <v>3</v>
      </c>
      <c r="Y7" s="1" t="n">
        <v>6</v>
      </c>
      <c r="Z7" s="1" t="n">
        <v>6</v>
      </c>
      <c r="AA7" s="1" t="n">
        <f aca="false">Z7-Y7</f>
        <v>0</v>
      </c>
      <c r="AB7" s="1" t="n">
        <v>3</v>
      </c>
      <c r="AC7" s="1" t="n">
        <v>6</v>
      </c>
      <c r="AD7" s="1" t="n">
        <f aca="false">AC7-AB7</f>
        <v>3</v>
      </c>
      <c r="AE7" s="1" t="n">
        <v>4</v>
      </c>
      <c r="AF7" s="1" t="n">
        <v>12</v>
      </c>
      <c r="AG7" s="1" t="n">
        <f aca="false">AF7-AE7</f>
        <v>8</v>
      </c>
      <c r="AI7" s="1" t="s">
        <v>41</v>
      </c>
      <c r="AJ7" s="1" t="n">
        <f aca="false">COUNTIFS(E$2:E$1000,2,D$2:D$1000,2)</f>
        <v>80</v>
      </c>
      <c r="BW7" s="1" t="n">
        <v>10</v>
      </c>
      <c r="BX7" s="1" t="n">
        <f aca="false">BI6</f>
        <v>161.72385673516</v>
      </c>
      <c r="BY7" s="1" t="n">
        <f aca="false">BJ6</f>
        <v>253.291448858447</v>
      </c>
      <c r="BZ7" s="1" t="n">
        <f aca="false">BL6</f>
        <v>300.364962356688</v>
      </c>
      <c r="CA7" s="1" t="n">
        <f aca="false">BM6</f>
        <v>538.932348726115</v>
      </c>
      <c r="CB7" s="1" t="n">
        <v>209</v>
      </c>
      <c r="CF7" s="1" t="n">
        <v>209</v>
      </c>
      <c r="CH7" s="1" t="n">
        <v>10</v>
      </c>
      <c r="CI7" s="1" t="n">
        <f aca="false">BI4</f>
        <v>2.43150684931507</v>
      </c>
      <c r="CJ7" s="1" t="n">
        <f aca="false">BJ4</f>
        <v>3.80821917808219</v>
      </c>
      <c r="CK7" s="1" t="n">
        <v>178</v>
      </c>
      <c r="CM7" s="1" t="n">
        <f aca="false">BL4</f>
        <v>5.32484076433121</v>
      </c>
      <c r="CN7" s="1" t="n">
        <f aca="false">BM4</f>
        <v>9.55414012738854</v>
      </c>
      <c r="CO7" s="1" t="n">
        <v>133</v>
      </c>
      <c r="CQ7" s="1" t="n">
        <f aca="false">CJ7/CI7</f>
        <v>1.56619718309859</v>
      </c>
      <c r="CR7" s="1" t="n">
        <f aca="false">CN7/CM7</f>
        <v>1.79425837320574</v>
      </c>
      <c r="CT7" s="1" t="n">
        <v>147</v>
      </c>
      <c r="CX7" s="1" t="n">
        <v>134.8</v>
      </c>
      <c r="DC7" s="1" t="n">
        <v>160</v>
      </c>
      <c r="DG7" s="1" t="n">
        <v>120.5</v>
      </c>
      <c r="DK7" s="1" t="s">
        <v>64</v>
      </c>
      <c r="DL7" s="1" t="n">
        <v>150</v>
      </c>
      <c r="DO7" s="1" t="s">
        <v>64</v>
      </c>
      <c r="DP7" s="1" t="n">
        <v>122</v>
      </c>
      <c r="DU7" s="1" t="n">
        <v>163</v>
      </c>
      <c r="DZ7" s="1" t="n">
        <v>158</v>
      </c>
      <c r="EE7" s="1" t="n">
        <v>142</v>
      </c>
      <c r="EJ7" s="1" t="n">
        <v>120</v>
      </c>
      <c r="EO7" s="1" t="n">
        <v>120</v>
      </c>
      <c r="ET7" s="1" t="n">
        <v>183</v>
      </c>
      <c r="EY7" s="1" t="n">
        <v>245</v>
      </c>
      <c r="FD7" s="1" t="n">
        <v>178</v>
      </c>
      <c r="FI7" s="1" t="n">
        <v>186</v>
      </c>
      <c r="FN7" s="1" t="n">
        <v>170</v>
      </c>
      <c r="GK7" s="1" t="n">
        <f aca="false">GK6/GJ6</f>
        <v>1.75842696629213</v>
      </c>
      <c r="JW7" s="1" t="n">
        <v>4</v>
      </c>
      <c r="JX7" s="1" t="n">
        <v>8</v>
      </c>
      <c r="JY7" s="1" t="n">
        <v>4</v>
      </c>
      <c r="JZ7" s="1" t="n">
        <f aca="false">(JX7+JX6)/JX$4*($JW7-$JW6)/2+JZ6</f>
        <v>7.75</v>
      </c>
      <c r="KA7" s="1" t="n">
        <f aca="false">KA6+JY7/JY$4*(JW7-JW6)</f>
        <v>4</v>
      </c>
      <c r="KB7" s="1" t="n">
        <v>0.5</v>
      </c>
    </row>
    <row r="8" customFormat="false" ht="16" hidden="false" customHeight="false" outlineLevel="0" collapsed="false">
      <c r="A8" s="1" t="n">
        <v>1</v>
      </c>
      <c r="B8" s="1" t="n">
        <v>1</v>
      </c>
      <c r="C8" s="1" t="n">
        <f aca="false">B8-A8</f>
        <v>0</v>
      </c>
      <c r="D8" s="1" t="n">
        <v>1</v>
      </c>
      <c r="E8" s="1" t="n">
        <v>1</v>
      </c>
      <c r="F8" s="1" t="n">
        <f aca="false">E8-D8</f>
        <v>0</v>
      </c>
      <c r="G8" s="1" t="n">
        <v>2</v>
      </c>
      <c r="H8" s="1" t="n">
        <v>2</v>
      </c>
      <c r="I8" s="1" t="n">
        <f aca="false">H8-G8</f>
        <v>0</v>
      </c>
      <c r="J8" s="1" t="n">
        <v>4</v>
      </c>
      <c r="K8" s="1" t="n">
        <v>4</v>
      </c>
      <c r="L8" s="1" t="n">
        <f aca="false">K8-J8</f>
        <v>0</v>
      </c>
      <c r="M8" s="1" t="n">
        <v>1</v>
      </c>
      <c r="N8" s="1" t="n">
        <v>1</v>
      </c>
      <c r="O8" s="1" t="n">
        <f aca="false">N8-M8</f>
        <v>0</v>
      </c>
      <c r="P8" s="1" t="n">
        <v>1</v>
      </c>
      <c r="Q8" s="1" t="n">
        <v>1</v>
      </c>
      <c r="R8" s="1" t="n">
        <f aca="false">Q8-P8</f>
        <v>0</v>
      </c>
      <c r="S8" s="1" t="n">
        <v>6</v>
      </c>
      <c r="T8" s="1" t="n">
        <v>8</v>
      </c>
      <c r="U8" s="1" t="n">
        <f aca="false">T8-S8</f>
        <v>2</v>
      </c>
      <c r="V8" s="1" t="n">
        <v>1</v>
      </c>
      <c r="W8" s="1" t="n">
        <v>5</v>
      </c>
      <c r="X8" s="1" t="n">
        <f aca="false">W8-V8</f>
        <v>4</v>
      </c>
      <c r="Y8" s="1" t="n">
        <v>3</v>
      </c>
      <c r="Z8" s="1" t="n">
        <v>3</v>
      </c>
      <c r="AA8" s="1" t="n">
        <f aca="false">Z8-Y8</f>
        <v>0</v>
      </c>
      <c r="AB8" s="1" t="n">
        <v>6</v>
      </c>
      <c r="AC8" s="1" t="n">
        <v>12</v>
      </c>
      <c r="AD8" s="1" t="n">
        <f aca="false">AC8-AB8</f>
        <v>6</v>
      </c>
      <c r="AE8" s="1" t="n">
        <v>6</v>
      </c>
      <c r="AF8" s="1" t="n">
        <v>14</v>
      </c>
      <c r="AG8" s="1" t="n">
        <f aca="false">AF8-AE8</f>
        <v>8</v>
      </c>
      <c r="AI8" s="1" t="s">
        <v>48</v>
      </c>
      <c r="AJ8" s="1" t="n">
        <f aca="false">COUNTIFS(E$2:E$1000,2,D$2:D$1000,1)</f>
        <v>4</v>
      </c>
      <c r="BW8" s="1" t="n">
        <v>14</v>
      </c>
      <c r="BX8" s="1" t="n">
        <f aca="false">BO6</f>
        <v>170.460981153846</v>
      </c>
      <c r="BY8" s="1" t="n">
        <f aca="false">BP6</f>
        <v>299.743185961538</v>
      </c>
      <c r="BZ8" s="1" t="n">
        <f aca="false">BR6</f>
        <v>237.180091959799</v>
      </c>
      <c r="CA8" s="1" t="n">
        <f aca="false">BS6</f>
        <v>484.21336281407</v>
      </c>
      <c r="CB8" s="1" t="n">
        <v>0.77</v>
      </c>
      <c r="CC8" s="1" t="n">
        <f aca="false">SUM(CC11:CC110)</f>
        <v>11902.8200443202</v>
      </c>
      <c r="CF8" s="1" t="n">
        <v>0.79</v>
      </c>
      <c r="CG8" s="1" t="n">
        <f aca="false">SUM(CG11:CG110)</f>
        <v>11982.9373157931</v>
      </c>
      <c r="CH8" s="1" t="n">
        <v>14</v>
      </c>
      <c r="CI8" s="1" t="n">
        <f aca="false">BO4</f>
        <v>2.73846153846154</v>
      </c>
      <c r="CJ8" s="1" t="n">
        <f aca="false">BP4</f>
        <v>4.81538461538462</v>
      </c>
      <c r="CK8" s="1" t="n">
        <v>1.17</v>
      </c>
      <c r="CL8" s="1" t="n">
        <f aca="false">SUM(CL11:CL110)</f>
        <v>6160.44420553928</v>
      </c>
      <c r="CM8" s="1" t="n">
        <f aca="false">BR4</f>
        <v>5.08040201005025</v>
      </c>
      <c r="CN8" s="1" t="n">
        <f aca="false">BS4</f>
        <v>10.3718592964824</v>
      </c>
      <c r="CO8" s="1" t="n">
        <v>2.08</v>
      </c>
      <c r="CP8" s="1" t="n">
        <f aca="false">SUM(CP11:CP110)</f>
        <v>1171.84709930068</v>
      </c>
      <c r="CQ8" s="1" t="n">
        <f aca="false">CJ8/CI8</f>
        <v>1.75842696629213</v>
      </c>
      <c r="CR8" s="1" t="n">
        <f aca="false">CN8/CM8</f>
        <v>2.04154302670623</v>
      </c>
      <c r="CT8" s="1" t="n">
        <v>1.27</v>
      </c>
      <c r="CU8" s="1" t="n">
        <f aca="false">SUM(CU11:CU110)</f>
        <v>2239.17564690258</v>
      </c>
      <c r="CX8" s="1" t="n">
        <v>2.42</v>
      </c>
      <c r="CY8" s="1" t="n">
        <f aca="false">SUM(CY11:CY110)</f>
        <v>1297.07781220402</v>
      </c>
      <c r="DC8" s="1" t="n">
        <v>1.37</v>
      </c>
      <c r="DD8" s="1" t="n">
        <f aca="false">SUM(DD11:DD110)</f>
        <v>3683.57421083966</v>
      </c>
      <c r="DG8" s="1" t="n">
        <v>4</v>
      </c>
      <c r="DH8" s="1" t="n">
        <f aca="false">SUM(DH11:DH110)</f>
        <v>563.334326801603</v>
      </c>
      <c r="DK8" s="1" t="s">
        <v>65</v>
      </c>
      <c r="DL8" s="1" t="n">
        <v>1.63</v>
      </c>
      <c r="DM8" s="1" t="n">
        <f aca="false">SUM(DM11:DM110)</f>
        <v>2546.28616360326</v>
      </c>
      <c r="DO8" s="1" t="s">
        <v>65</v>
      </c>
      <c r="DP8" s="1" t="n">
        <v>3.53</v>
      </c>
      <c r="DQ8" s="1" t="n">
        <f aca="false">SUM(DQ11:DQ110)</f>
        <v>648.562590504049</v>
      </c>
      <c r="DU8" s="1" t="n">
        <v>0.97</v>
      </c>
      <c r="DZ8" s="1" t="n">
        <v>1.78</v>
      </c>
      <c r="EE8" s="1" t="n">
        <v>2.29</v>
      </c>
      <c r="EJ8" s="1" t="n">
        <v>4</v>
      </c>
      <c r="EO8" s="1" t="n">
        <v>3.65</v>
      </c>
      <c r="ET8" s="1" t="n">
        <v>0.84</v>
      </c>
      <c r="EY8" s="1" t="n">
        <v>0.91</v>
      </c>
      <c r="FD8" s="1" t="n">
        <v>1.05</v>
      </c>
      <c r="FI8" s="1" t="n">
        <v>1.21</v>
      </c>
      <c r="FN8" s="1" t="n">
        <v>1.5</v>
      </c>
      <c r="GK8" s="1" t="n">
        <f aca="false">5/3</f>
        <v>1.66666666666667</v>
      </c>
      <c r="JW8" s="1" t="n">
        <v>8</v>
      </c>
      <c r="JX8" s="1" t="n">
        <v>6.5</v>
      </c>
      <c r="JY8" s="1" t="n">
        <v>4</v>
      </c>
      <c r="JZ8" s="1" t="n">
        <f aca="false">(JX8+JX7)/JX$4*($JW8-$JW7)/2+JZ7</f>
        <v>16.8125</v>
      </c>
      <c r="KA8" s="1" t="n">
        <f aca="false">KA7+JY8/JY$4*(JW8-JW7)</f>
        <v>8</v>
      </c>
      <c r="KB8" s="1" t="n">
        <v>0.17</v>
      </c>
    </row>
    <row r="9" customFormat="false" ht="16" hidden="false" customHeight="false" outlineLevel="0" collapsed="false">
      <c r="A9" s="1" t="n">
        <v>1</v>
      </c>
      <c r="B9" s="1" t="n">
        <v>1</v>
      </c>
      <c r="C9" s="1" t="n">
        <f aca="false">B9-A9</f>
        <v>0</v>
      </c>
      <c r="D9" s="1" t="n">
        <v>2</v>
      </c>
      <c r="E9" s="1" t="n">
        <v>2</v>
      </c>
      <c r="F9" s="1" t="n">
        <f aca="false">E9-D9</f>
        <v>0</v>
      </c>
      <c r="G9" s="1" t="n">
        <v>1</v>
      </c>
      <c r="H9" s="1" t="n">
        <v>1</v>
      </c>
      <c r="I9" s="1" t="n">
        <f aca="false">H9-G9</f>
        <v>0</v>
      </c>
      <c r="J9" s="1" t="n">
        <v>2</v>
      </c>
      <c r="K9" s="1" t="n">
        <v>2</v>
      </c>
      <c r="L9" s="1" t="n">
        <f aca="false">K9-J9</f>
        <v>0</v>
      </c>
      <c r="M9" s="1" t="n">
        <v>4</v>
      </c>
      <c r="N9" s="1" t="n">
        <v>4</v>
      </c>
      <c r="O9" s="1" t="n">
        <f aca="false">N9-M9</f>
        <v>0</v>
      </c>
      <c r="P9" s="1" t="n">
        <v>1</v>
      </c>
      <c r="Q9" s="1" t="n">
        <v>1</v>
      </c>
      <c r="R9" s="1" t="n">
        <f aca="false">Q9-P9</f>
        <v>0</v>
      </c>
      <c r="S9" s="1" t="n">
        <v>1</v>
      </c>
      <c r="T9" s="1" t="n">
        <v>3</v>
      </c>
      <c r="U9" s="1" t="n">
        <f aca="false">T9-S9</f>
        <v>2</v>
      </c>
      <c r="V9" s="1" t="n">
        <v>4</v>
      </c>
      <c r="W9" s="1" t="n">
        <v>4</v>
      </c>
      <c r="X9" s="1" t="n">
        <f aca="false">W9-V9</f>
        <v>0</v>
      </c>
      <c r="Y9" s="1" t="n">
        <v>7</v>
      </c>
      <c r="Z9" s="1" t="n">
        <v>10</v>
      </c>
      <c r="AA9" s="1" t="n">
        <f aca="false">Z9-Y9</f>
        <v>3</v>
      </c>
      <c r="AB9" s="1" t="n">
        <v>2</v>
      </c>
      <c r="AC9" s="1" t="n">
        <v>4</v>
      </c>
      <c r="AD9" s="1" t="n">
        <f aca="false">AC9-AB9</f>
        <v>2</v>
      </c>
      <c r="AE9" s="1" t="n">
        <v>10</v>
      </c>
      <c r="AF9" s="1" t="n">
        <v>20</v>
      </c>
      <c r="AG9" s="1" t="n">
        <f aca="false">AF9-AE9</f>
        <v>10</v>
      </c>
      <c r="AI9" s="1" t="s">
        <v>52</v>
      </c>
      <c r="AJ9" s="1" t="n">
        <f aca="false">COUNTIFS(E$2:E$1000,2,D$2:D$1000,0)</f>
        <v>0</v>
      </c>
      <c r="AN9" s="1" t="n">
        <f aca="false">SUM(AN10:AN110)</f>
        <v>115</v>
      </c>
      <c r="AO9" s="1" t="n">
        <f aca="false">SUM(AO10:AO110)</f>
        <v>115</v>
      </c>
      <c r="AP9" s="1" t="n">
        <f aca="false">SUM(AP10:AP110)</f>
        <v>115</v>
      </c>
      <c r="AQ9" s="1" t="n">
        <f aca="false">SUM(AQ10:AQ110)</f>
        <v>175</v>
      </c>
      <c r="AR9" s="1" t="n">
        <f aca="false">SUM(AR10:AR110)</f>
        <v>175</v>
      </c>
      <c r="AS9" s="1" t="n">
        <f aca="false">SUM(AS10:AS110)</f>
        <v>175</v>
      </c>
      <c r="AT9" s="1" t="n">
        <f aca="false">SUM(AT10:AT110)</f>
        <v>231</v>
      </c>
      <c r="AU9" s="1" t="n">
        <f aca="false">SUM(AU10:AU110)</f>
        <v>231</v>
      </c>
      <c r="AV9" s="1" t="n">
        <f aca="false">SUM(AV10:AV110)</f>
        <v>231</v>
      </c>
      <c r="AW9" s="1" t="n">
        <f aca="false">SUM(AW10:AW110)</f>
        <v>136</v>
      </c>
      <c r="AX9" s="1" t="n">
        <f aca="false">SUM(AX10:AX110)</f>
        <v>136</v>
      </c>
      <c r="AY9" s="1" t="n">
        <f aca="false">SUM(AY10:AY110)</f>
        <v>136</v>
      </c>
      <c r="AZ9" s="1" t="n">
        <f aca="false">SUM(AZ10:AZ110)</f>
        <v>197</v>
      </c>
      <c r="BA9" s="1" t="n">
        <f aca="false">SUM(BA10:BA110)</f>
        <v>197</v>
      </c>
      <c r="BB9" s="1" t="n">
        <f aca="false">SUM(BB10:BB110)</f>
        <v>197</v>
      </c>
      <c r="BC9" s="1" t="n">
        <f aca="false">SUM(BC10:BC110)</f>
        <v>159</v>
      </c>
      <c r="BD9" s="1" t="n">
        <f aca="false">SUM(BD10:BD110)</f>
        <v>159</v>
      </c>
      <c r="BE9" s="1" t="n">
        <f aca="false">SUM(BE10:BE110)</f>
        <v>159</v>
      </c>
      <c r="BF9" s="1" t="n">
        <f aca="false">SUM(BF10:BF110)</f>
        <v>199</v>
      </c>
      <c r="BG9" s="1" t="n">
        <f aca="false">SUM(BG10:BG110)</f>
        <v>199</v>
      </c>
      <c r="BH9" s="1" t="n">
        <f aca="false">SUM(BH10:BH110)</f>
        <v>199</v>
      </c>
      <c r="BI9" s="1" t="n">
        <f aca="false">SUM(BI10:BI110)</f>
        <v>146</v>
      </c>
      <c r="BJ9" s="1" t="n">
        <f aca="false">SUM(BJ10:BJ110)</f>
        <v>146</v>
      </c>
      <c r="BK9" s="1" t="n">
        <f aca="false">SUM(BK10:BK110)</f>
        <v>146</v>
      </c>
      <c r="BL9" s="1" t="n">
        <f aca="false">SUM(BL10:BL110)</f>
        <v>157</v>
      </c>
      <c r="BM9" s="1" t="n">
        <f aca="false">SUM(BM10:BM110)</f>
        <v>157</v>
      </c>
      <c r="BN9" s="1" t="n">
        <f aca="false">SUM(BN10:BN110)</f>
        <v>157</v>
      </c>
      <c r="BO9" s="1" t="n">
        <f aca="false">SUM(BO10:BO110)</f>
        <v>195</v>
      </c>
      <c r="BP9" s="1" t="n">
        <f aca="false">SUM(BP10:BP110)</f>
        <v>195</v>
      </c>
      <c r="BQ9" s="1" t="n">
        <f aca="false">SUM(BQ10:BQ110)</f>
        <v>195</v>
      </c>
      <c r="BR9" s="1" t="n">
        <f aca="false">SUM(BR10:BR110)</f>
        <v>199</v>
      </c>
      <c r="BS9" s="1" t="n">
        <f aca="false">SUM(BS10:BS110)</f>
        <v>199</v>
      </c>
      <c r="BT9" s="1" t="n">
        <f aca="false">SUM(BT10:BT110)</f>
        <v>199</v>
      </c>
      <c r="GQ9" s="1" t="n">
        <f aca="false">SUM(GQ11:GQ110)</f>
        <v>305.194339078364</v>
      </c>
      <c r="GR9" s="1" t="n">
        <f aca="false">SUM(GR11:GR110)</f>
        <v>42229.6445611012</v>
      </c>
      <c r="GS9" s="1" t="n">
        <f aca="false">(1/16)*SUM(GS11:GS26)</f>
        <v>9.53956660691924</v>
      </c>
      <c r="GT9" s="1" t="n">
        <f aca="false">(1/16/GS9)*SUM(GT11:GT26)</f>
        <v>0.0869825457589199</v>
      </c>
      <c r="GY9" s="1" t="n">
        <f aca="false">SUM(GY11:GY110)</f>
        <v>305.194339078364</v>
      </c>
      <c r="GZ9" s="1" t="n">
        <f aca="false">SUM(GZ11:GZ110)</f>
        <v>42276.6363945728</v>
      </c>
      <c r="HA9" s="1" t="n">
        <f aca="false">(1/16)*SUM(HA11:HA26)</f>
        <v>11.0310089669409</v>
      </c>
      <c r="HB9" s="1" t="n">
        <f aca="false">(1/16/HA9)*SUM(HB11:HB26)</f>
        <v>0.381266916607667</v>
      </c>
      <c r="HG9" s="1" t="n">
        <f aca="false">SUM(HG11:HG110)</f>
        <v>305.194339078364</v>
      </c>
      <c r="HH9" s="1" t="n">
        <f aca="false">SUM(HH11:HH110)</f>
        <v>42130.7186293801</v>
      </c>
      <c r="HI9" s="1" t="n">
        <f aca="false">(1/16)*SUM(HI11:HI26)</f>
        <v>10.9684678723809</v>
      </c>
      <c r="HJ9" s="1" t="n">
        <f aca="false">(1/16/HI9)*SUM(HJ11:HJ26)</f>
        <v>0.206280346711132</v>
      </c>
      <c r="HO9" s="1" t="n">
        <f aca="false">SUM(HO11:HO110)</f>
        <v>265.214464182923</v>
      </c>
      <c r="HP9" s="1" t="n">
        <f aca="false">SUM(HP11:HP110)</f>
        <v>27336.5692513934</v>
      </c>
      <c r="HQ9" s="1" t="n">
        <f aca="false">(1/16)*SUM(HQ11:HQ26)</f>
        <v>11.5016930033595</v>
      </c>
      <c r="HR9" s="1" t="n">
        <f aca="false">(1/16/HQ9)*SUM(HR11:HR26)</f>
        <v>0.344532199465216</v>
      </c>
      <c r="HW9" s="1" t="n">
        <f aca="false">SUM(HW11:HW110)</f>
        <v>193.681024799805</v>
      </c>
      <c r="HX9" s="1" t="n">
        <f aca="false">SUM(HX11:HX110)</f>
        <v>8818.27064739757</v>
      </c>
      <c r="HY9" s="1" t="n">
        <f aca="false">(1/16)*SUM(HY11:HY26)</f>
        <v>12.7840675312495</v>
      </c>
      <c r="HZ9" s="1" t="n">
        <f aca="false">(1/16/HY9)*SUM(HZ11:HZ26)</f>
        <v>0.406600062560816</v>
      </c>
      <c r="IF9" s="1" t="n">
        <f aca="false">SUM(IF11:IF110)</f>
        <v>155.134414504189</v>
      </c>
      <c r="IG9" s="1" t="n">
        <f aca="false">SUM(IG11:IG110)</f>
        <v>3154.5919259699</v>
      </c>
      <c r="IH9" s="1" t="n">
        <f aca="false">(1/16)*SUM(IH11:IH26)</f>
        <v>13.9164302294572</v>
      </c>
      <c r="II9" s="1" t="n">
        <f aca="false">(1/16/IH9)*SUM(II11:II26)</f>
        <v>0.157770279099397</v>
      </c>
      <c r="IO9" s="1" t="n">
        <f aca="false">SUM(IO11:IO110)</f>
        <v>147.818041249482</v>
      </c>
      <c r="IP9" s="1" t="n">
        <f aca="false">SUM(IP11:IP110)</f>
        <v>2354.61017773327</v>
      </c>
      <c r="IQ9" s="1" t="n">
        <f aca="false">(1/16)*SUM(IQ11:IQ26)</f>
        <v>16.6544068999227</v>
      </c>
      <c r="IR9" s="1" t="n">
        <f aca="false">(1/16/IQ9)*SUM(IR11:IR26)</f>
        <v>0.225255045045266</v>
      </c>
      <c r="IX9" s="1" t="n">
        <f aca="false">SUM(IX11:IX110)</f>
        <v>135.736005564993</v>
      </c>
      <c r="IY9" s="1" t="n">
        <f aca="false">SUM(IY11:IY110)</f>
        <v>1380.46744609477</v>
      </c>
      <c r="IZ9" s="1" t="n">
        <f aca="false">(1/16)*SUM(IZ11:IZ26)</f>
        <v>25.1347636152412</v>
      </c>
      <c r="JA9" s="1" t="n">
        <f aca="false">(1/16/IZ9)*SUM(JA11:JA26)</f>
        <v>0.571187729227144</v>
      </c>
      <c r="JG9" s="1" t="n">
        <f aca="false">SUM(JG11:JG110)</f>
        <v>149.932501739371</v>
      </c>
      <c r="JH9" s="1" t="n">
        <f aca="false">SUM(JH11:JH110)</f>
        <v>2520.51199599863</v>
      </c>
      <c r="JI9" s="1" t="n">
        <f aca="false">(1/16)*SUM(JI11:JI26)</f>
        <v>22.3162920623364</v>
      </c>
      <c r="JJ9" s="1" t="n">
        <f aca="false">(1/16/JI9)*SUM(JJ11:JJ26)</f>
        <v>0.752215508186204</v>
      </c>
      <c r="JQ9" s="1" t="n">
        <f aca="false">SUM(JQ11:JQ110)</f>
        <v>114.344871757891</v>
      </c>
      <c r="JR9" s="1" t="n">
        <f aca="false">SUM(JR11:JR110)</f>
        <v>326.608651935392</v>
      </c>
      <c r="JS9" s="1" t="n">
        <f aca="false">(1/16)*SUM(JS11:JS26)</f>
        <v>39.8521862185867</v>
      </c>
      <c r="JT9" s="1" t="n">
        <f aca="false">(1/16/JS9)*SUM(JT11:JT26)</f>
        <v>0.689799555258598</v>
      </c>
      <c r="JW9" s="1" t="n">
        <v>10</v>
      </c>
      <c r="JX9" s="1" t="n">
        <v>6.1</v>
      </c>
      <c r="JY9" s="1" t="n">
        <v>4</v>
      </c>
      <c r="JZ9" s="1" t="n">
        <f aca="false">(JX9+JX8)/JX$4*($JW9-$JW8)/2+JZ8</f>
        <v>20.75</v>
      </c>
      <c r="KA9" s="1" t="n">
        <f aca="false">KA8+JY9/JY$4*(JW9-JW8)</f>
        <v>10</v>
      </c>
      <c r="KB9" s="1" t="n">
        <v>0.12</v>
      </c>
    </row>
    <row r="10" customFormat="false" ht="16" hidden="false" customHeight="false" outlineLevel="0" collapsed="false">
      <c r="A10" s="1" t="n">
        <v>1</v>
      </c>
      <c r="B10" s="1" t="n">
        <v>1</v>
      </c>
      <c r="C10" s="1" t="n">
        <f aca="false">B10-A10</f>
        <v>0</v>
      </c>
      <c r="D10" s="1" t="n">
        <v>1</v>
      </c>
      <c r="E10" s="1" t="n">
        <v>1</v>
      </c>
      <c r="F10" s="1" t="n">
        <f aca="false">E10-D10</f>
        <v>0</v>
      </c>
      <c r="G10" s="1" t="n">
        <v>2</v>
      </c>
      <c r="H10" s="1" t="n">
        <v>2</v>
      </c>
      <c r="I10" s="1" t="n">
        <f aca="false">H10-G10</f>
        <v>0</v>
      </c>
      <c r="J10" s="1" t="n">
        <v>3</v>
      </c>
      <c r="K10" s="1" t="n">
        <v>3</v>
      </c>
      <c r="L10" s="1" t="n">
        <f aca="false">K10-J10</f>
        <v>0</v>
      </c>
      <c r="M10" s="1" t="n">
        <v>3</v>
      </c>
      <c r="N10" s="1" t="n">
        <v>3</v>
      </c>
      <c r="O10" s="1" t="n">
        <f aca="false">N10-M10</f>
        <v>0</v>
      </c>
      <c r="P10" s="1" t="n">
        <v>2</v>
      </c>
      <c r="Q10" s="1" t="n">
        <v>4</v>
      </c>
      <c r="R10" s="1" t="n">
        <f aca="false">Q10-P10</f>
        <v>2</v>
      </c>
      <c r="S10" s="1" t="n">
        <v>1</v>
      </c>
      <c r="T10" s="1" t="n">
        <v>1</v>
      </c>
      <c r="U10" s="1" t="n">
        <f aca="false">T10-S10</f>
        <v>0</v>
      </c>
      <c r="V10" s="1" t="n">
        <v>3</v>
      </c>
      <c r="W10" s="1" t="n">
        <v>8</v>
      </c>
      <c r="X10" s="1" t="n">
        <f aca="false">W10-V10</f>
        <v>5</v>
      </c>
      <c r="Y10" s="1" t="n">
        <v>5</v>
      </c>
      <c r="Z10" s="1" t="n">
        <v>10</v>
      </c>
      <c r="AA10" s="1" t="n">
        <f aca="false">Z10-Y10</f>
        <v>5</v>
      </c>
      <c r="AB10" s="1" t="n">
        <v>4</v>
      </c>
      <c r="AC10" s="1" t="n">
        <v>7</v>
      </c>
      <c r="AD10" s="1" t="n">
        <f aca="false">AC10-AB10</f>
        <v>3</v>
      </c>
      <c r="AE10" s="1" t="n">
        <v>1</v>
      </c>
      <c r="AF10" s="1" t="n">
        <v>3</v>
      </c>
      <c r="AG10" s="1" t="n">
        <f aca="false">AF10-AE10</f>
        <v>2</v>
      </c>
      <c r="AN10" s="1" t="str">
        <f aca="false">A1</f>
        <v>CTRL D0 B</v>
      </c>
      <c r="AO10" s="1" t="str">
        <f aca="false">B1</f>
        <v>CTRL D0 T</v>
      </c>
      <c r="AP10" s="1" t="str">
        <f aca="false">C1</f>
        <v>CTRL D0 S</v>
      </c>
      <c r="AQ10" s="1" t="str">
        <f aca="false">D1</f>
        <v>CTRL D2 B</v>
      </c>
      <c r="AR10" s="1" t="str">
        <f aca="false">E1</f>
        <v>CTRL D2 T</v>
      </c>
      <c r="AS10" s="1" t="str">
        <f aca="false">F1</f>
        <v>CTRL D2 S</v>
      </c>
      <c r="AT10" s="1" t="str">
        <f aca="false">G1</f>
        <v>EXP D2 B</v>
      </c>
      <c r="AU10" s="1" t="str">
        <f aca="false">H1</f>
        <v>EXP D2 T</v>
      </c>
      <c r="AV10" s="1" t="str">
        <f aca="false">I1</f>
        <v>EXP D2 S</v>
      </c>
      <c r="AW10" s="1" t="str">
        <f aca="false">J1</f>
        <v>CTRL D4 B</v>
      </c>
      <c r="AX10" s="1" t="str">
        <f aca="false">K1</f>
        <v>CTRL D4 T</v>
      </c>
      <c r="AY10" s="1" t="str">
        <f aca="false">L1</f>
        <v>CTRL D4 S</v>
      </c>
      <c r="AZ10" s="1" t="str">
        <f aca="false">M1</f>
        <v>EXP D4 B</v>
      </c>
      <c r="BA10" s="1" t="str">
        <f aca="false">N1</f>
        <v>EXP D4 T</v>
      </c>
      <c r="BB10" s="1" t="str">
        <f aca="false">O1</f>
        <v>EXP D4 S</v>
      </c>
      <c r="BC10" s="1" t="str">
        <f aca="false">P1</f>
        <v>CTRL D8 B</v>
      </c>
      <c r="BD10" s="1" t="str">
        <f aca="false">Q1</f>
        <v>CTRL D8 T</v>
      </c>
      <c r="BE10" s="1" t="str">
        <f aca="false">R1</f>
        <v>CTRL D8 S</v>
      </c>
      <c r="BF10" s="1" t="str">
        <f aca="false">S1</f>
        <v>EXP D8 B</v>
      </c>
      <c r="BG10" s="1" t="str">
        <f aca="false">T1</f>
        <v>EXP D8 T</v>
      </c>
      <c r="BH10" s="1" t="str">
        <f aca="false">U1</f>
        <v>EXP D8 S</v>
      </c>
      <c r="BI10" s="1" t="str">
        <f aca="false">V1</f>
        <v>CTRL D10 B</v>
      </c>
      <c r="BJ10" s="1" t="str">
        <f aca="false">W1</f>
        <v>CTRL D10 T</v>
      </c>
      <c r="BK10" s="1" t="str">
        <f aca="false">X1</f>
        <v>CTRL D10 S</v>
      </c>
      <c r="BL10" s="1" t="str">
        <f aca="false">Y1</f>
        <v>EXP D10 B</v>
      </c>
      <c r="BM10" s="1" t="str">
        <f aca="false">Z1</f>
        <v>EXP D10 T</v>
      </c>
      <c r="BN10" s="1" t="str">
        <f aca="false">AA1</f>
        <v>EXP D10 S</v>
      </c>
      <c r="BO10" s="1" t="str">
        <f aca="false">AB1</f>
        <v>CTRL D14 B</v>
      </c>
      <c r="BP10" s="1" t="str">
        <f aca="false">AC1</f>
        <v>CTRL D14 T</v>
      </c>
      <c r="BQ10" s="1" t="str">
        <f aca="false">AD1</f>
        <v>CTRL D14 S</v>
      </c>
      <c r="BR10" s="1" t="str">
        <f aca="false">AE1</f>
        <v>EXP D14 B</v>
      </c>
      <c r="BS10" s="1" t="str">
        <f aca="false">AF1</f>
        <v>EXP D14 T</v>
      </c>
      <c r="BT10" s="1" t="str">
        <f aca="false">AG1</f>
        <v>EXP D14 S</v>
      </c>
      <c r="BX10" s="1" t="str">
        <f aca="false">AN10</f>
        <v>CTRL D0 B</v>
      </c>
      <c r="BY10" s="1" t="str">
        <f aca="false">AO10</f>
        <v>CTRL D0 T</v>
      </c>
      <c r="BZ10" s="1" t="str">
        <f aca="false">AQ10</f>
        <v>CTRL D2 B</v>
      </c>
      <c r="CA10" s="1" t="str">
        <f aca="false">AR10</f>
        <v>CTRL D2 T</v>
      </c>
      <c r="CB10" s="1" t="s">
        <v>65</v>
      </c>
      <c r="CD10" s="1" t="str">
        <f aca="false">AT10</f>
        <v>EXP D2 B</v>
      </c>
      <c r="CE10" s="1" t="str">
        <f aca="false">AU10</f>
        <v>EXP D2 T</v>
      </c>
      <c r="CF10" s="1" t="s">
        <v>65</v>
      </c>
      <c r="CI10" s="1" t="str">
        <f aca="false">AW10</f>
        <v>CTRL D4 B</v>
      </c>
      <c r="CJ10" s="1" t="str">
        <f aca="false">AX10</f>
        <v>CTRL D4 T</v>
      </c>
      <c r="CK10" s="1" t="s">
        <v>65</v>
      </c>
      <c r="CM10" s="1" t="str">
        <f aca="false">AZ10</f>
        <v>EXP D4 B</v>
      </c>
      <c r="CN10" s="1" t="str">
        <f aca="false">BA10</f>
        <v>EXP D4 T</v>
      </c>
      <c r="CO10" s="1" t="s">
        <v>65</v>
      </c>
      <c r="CR10" s="1" t="str">
        <f aca="false">BC10</f>
        <v>CTRL D8 B</v>
      </c>
      <c r="CS10" s="1" t="str">
        <f aca="false">BD10</f>
        <v>CTRL D8 T</v>
      </c>
      <c r="CT10" s="1" t="s">
        <v>65</v>
      </c>
      <c r="CV10" s="1" t="str">
        <f aca="false">BF10</f>
        <v>EXP D8 B</v>
      </c>
      <c r="CW10" s="1" t="str">
        <f aca="false">BG10</f>
        <v>EXP D8 T</v>
      </c>
      <c r="CX10" s="1" t="s">
        <v>65</v>
      </c>
      <c r="DA10" s="1" t="str">
        <f aca="false">BI10</f>
        <v>CTRL D10 B</v>
      </c>
      <c r="DB10" s="1" t="str">
        <f aca="false">BJ10</f>
        <v>CTRL D10 T</v>
      </c>
      <c r="DC10" s="1" t="s">
        <v>65</v>
      </c>
      <c r="DE10" s="1" t="str">
        <f aca="false">BL10</f>
        <v>EXP D10 B</v>
      </c>
      <c r="DF10" s="1" t="str">
        <f aca="false">BM10</f>
        <v>EXP D10 T</v>
      </c>
      <c r="DG10" s="1" t="s">
        <v>65</v>
      </c>
      <c r="DJ10" s="1" t="str">
        <f aca="false">BO10</f>
        <v>CTRL D14 B</v>
      </c>
      <c r="DK10" s="1" t="str">
        <f aca="false">BP10</f>
        <v>CTRL D14 T</v>
      </c>
      <c r="DL10" s="1" t="s">
        <v>65</v>
      </c>
      <c r="DN10" s="1" t="str">
        <f aca="false">BR10</f>
        <v>EXP D14 B</v>
      </c>
      <c r="DO10" s="1" t="str">
        <f aca="false">BS10</f>
        <v>EXP D14 T</v>
      </c>
      <c r="DP10" s="1" t="s">
        <v>65</v>
      </c>
      <c r="DT10" s="1" t="str">
        <f aca="false">CD10</f>
        <v>EXP D2 B</v>
      </c>
      <c r="DU10" s="1" t="s">
        <v>65</v>
      </c>
      <c r="DV10" s="1" t="n">
        <f aca="false">SQRT(SUM(DV11:DV110))</f>
        <v>63.5977213766918</v>
      </c>
      <c r="DY10" s="1" t="str">
        <f aca="false">CM10</f>
        <v>EXP D4 B</v>
      </c>
      <c r="DZ10" s="1" t="s">
        <v>65</v>
      </c>
      <c r="EA10" s="1" t="n">
        <f aca="false">SQRT(SUM(EA11:EA110))</f>
        <v>59.3341620896226</v>
      </c>
      <c r="ED10" s="1" t="str">
        <f aca="false">CV10</f>
        <v>EXP D8 B</v>
      </c>
      <c r="EE10" s="1" t="s">
        <v>65</v>
      </c>
      <c r="EF10" s="1" t="n">
        <f aca="false">SQRT(SUM(EF11:EF110))</f>
        <v>43.201396415356</v>
      </c>
      <c r="EI10" s="1" t="str">
        <f aca="false">DE10</f>
        <v>EXP D10 B</v>
      </c>
      <c r="EJ10" s="1" t="s">
        <v>65</v>
      </c>
      <c r="EK10" s="1" t="n">
        <f aca="false">SQRT(SUM(EK11:EK110))</f>
        <v>23.3120304864245</v>
      </c>
      <c r="EN10" s="1" t="str">
        <f aca="false">DN10</f>
        <v>EXP D14 B</v>
      </c>
      <c r="EO10" s="1" t="s">
        <v>65</v>
      </c>
      <c r="EP10" s="1" t="n">
        <f aca="false">SQRT(SUM(EP11:EP110))</f>
        <v>23.67860097376</v>
      </c>
      <c r="ES10" s="1" t="str">
        <f aca="false">BZ10</f>
        <v>CTRL D2 B</v>
      </c>
      <c r="ET10" s="1" t="s">
        <v>65</v>
      </c>
      <c r="EU10" s="1" t="n">
        <f aca="false">SQRT(SUM(EU11:EU110))</f>
        <v>83.2793656361432</v>
      </c>
      <c r="EX10" s="1" t="str">
        <f aca="false">CI10</f>
        <v>CTRL D4 B</v>
      </c>
      <c r="EY10" s="1" t="s">
        <v>65</v>
      </c>
      <c r="EZ10" s="1" t="n">
        <f aca="false">SQRT(SUM(EZ11:EZ110))</f>
        <v>145.571905908736</v>
      </c>
      <c r="FC10" s="1" t="str">
        <f aca="false">CR10</f>
        <v>CTRL D8 B</v>
      </c>
      <c r="FD10" s="1" t="s">
        <v>65</v>
      </c>
      <c r="FE10" s="1" t="n">
        <f aca="false">SQRT(SUM(FE11:FE110))</f>
        <v>78.3053753173073</v>
      </c>
      <c r="FH10" s="1" t="str">
        <f aca="false">DA10</f>
        <v>CTRL D10 B</v>
      </c>
      <c r="FI10" s="1" t="s">
        <v>65</v>
      </c>
      <c r="FJ10" s="1" t="n">
        <f aca="false">SQRT(SUM(FJ11:FJ110))</f>
        <v>86.3580849564102</v>
      </c>
      <c r="FM10" s="1" t="str">
        <f aca="false">DJ10</f>
        <v>CTRL D14 B</v>
      </c>
      <c r="FN10" s="1" t="s">
        <v>65</v>
      </c>
      <c r="FO10" s="1" t="n">
        <f aca="false">SQRT(SUM(FO11:FO110))</f>
        <v>70.657104385676</v>
      </c>
      <c r="FR10" s="1" t="str">
        <f aca="false">AN10</f>
        <v>CTRL D0 B</v>
      </c>
      <c r="FS10" s="1" t="str">
        <f aca="false">AO10</f>
        <v>CTRL D0 T</v>
      </c>
      <c r="FT10" s="1" t="str">
        <f aca="false">AQ10</f>
        <v>CTRL D2 B</v>
      </c>
      <c r="FU10" s="1" t="str">
        <f aca="false">AR10</f>
        <v>CTRL D2 T</v>
      </c>
      <c r="FV10" s="1" t="str">
        <f aca="false">AT10</f>
        <v>EXP D2 B</v>
      </c>
      <c r="FW10" s="1" t="str">
        <f aca="false">AU10</f>
        <v>EXP D2 T</v>
      </c>
      <c r="FX10" s="1" t="str">
        <f aca="false">AW10</f>
        <v>CTRL D4 B</v>
      </c>
      <c r="FY10" s="1" t="str">
        <f aca="false">AX10</f>
        <v>CTRL D4 T</v>
      </c>
      <c r="FZ10" s="1" t="str">
        <f aca="false">AZ10</f>
        <v>EXP D4 B</v>
      </c>
      <c r="GA10" s="1" t="str">
        <f aca="false">BA10</f>
        <v>EXP D4 T</v>
      </c>
      <c r="GB10" s="1" t="str">
        <f aca="false">BC10</f>
        <v>CTRL D8 B</v>
      </c>
      <c r="GC10" s="1" t="str">
        <f aca="false">BD10</f>
        <v>CTRL D8 T</v>
      </c>
      <c r="GD10" s="1" t="str">
        <f aca="false">BF10</f>
        <v>EXP D8 B</v>
      </c>
      <c r="GE10" s="1" t="str">
        <f aca="false">BG10</f>
        <v>EXP D8 T</v>
      </c>
      <c r="GF10" s="1" t="str">
        <f aca="false">BI10</f>
        <v>CTRL D10 B</v>
      </c>
      <c r="GG10" s="1" t="str">
        <f aca="false">BJ10</f>
        <v>CTRL D10 T</v>
      </c>
      <c r="GH10" s="1" t="str">
        <f aca="false">BL10</f>
        <v>EXP D10 B</v>
      </c>
      <c r="GI10" s="1" t="str">
        <f aca="false">BM10</f>
        <v>EXP D10 T</v>
      </c>
      <c r="GJ10" s="1" t="str">
        <f aca="false">BO10</f>
        <v>CTRL D14 B</v>
      </c>
      <c r="GK10" s="1" t="str">
        <f aca="false">BP10</f>
        <v>CTRL D14 T</v>
      </c>
      <c r="GL10" s="1" t="str">
        <f aca="false">BR10</f>
        <v>EXP D14 B</v>
      </c>
      <c r="GM10" s="1" t="str">
        <f aca="false">BS10</f>
        <v>EXP D14 T</v>
      </c>
      <c r="GP10" s="1" t="str">
        <f aca="false">FT10</f>
        <v>CTRL D2 B</v>
      </c>
      <c r="GQ10" s="1" t="s">
        <v>65</v>
      </c>
      <c r="GR10" s="1" t="s">
        <v>66</v>
      </c>
      <c r="GS10" s="1" t="s">
        <v>67</v>
      </c>
      <c r="GT10" s="1" t="s">
        <v>68</v>
      </c>
      <c r="GX10" s="1" t="str">
        <f aca="false">FX10</f>
        <v>CTRL D4 B</v>
      </c>
      <c r="GY10" s="1" t="s">
        <v>65</v>
      </c>
      <c r="GZ10" s="1" t="s">
        <v>66</v>
      </c>
      <c r="HA10" s="1" t="s">
        <v>67</v>
      </c>
      <c r="HB10" s="1" t="s">
        <v>68</v>
      </c>
      <c r="HF10" s="1" t="str">
        <f aca="false">GB10</f>
        <v>CTRL D8 B</v>
      </c>
      <c r="HG10" s="1" t="s">
        <v>65</v>
      </c>
      <c r="HH10" s="1" t="s">
        <v>66</v>
      </c>
      <c r="HI10" s="1" t="s">
        <v>67</v>
      </c>
      <c r="HJ10" s="1" t="s">
        <v>68</v>
      </c>
      <c r="HN10" s="1" t="str">
        <f aca="false">GF10</f>
        <v>CTRL D10 B</v>
      </c>
      <c r="HO10" s="1" t="s">
        <v>65</v>
      </c>
      <c r="HP10" s="1" t="s">
        <v>66</v>
      </c>
      <c r="HQ10" s="1" t="s">
        <v>67</v>
      </c>
      <c r="HR10" s="1" t="s">
        <v>68</v>
      </c>
      <c r="HV10" s="1" t="str">
        <f aca="false">GJ10</f>
        <v>CTRL D14 B</v>
      </c>
      <c r="HW10" s="1" t="s">
        <v>65</v>
      </c>
      <c r="HX10" s="1" t="s">
        <v>66</v>
      </c>
      <c r="HY10" s="1" t="s">
        <v>67</v>
      </c>
      <c r="HZ10" s="1" t="s">
        <v>68</v>
      </c>
      <c r="IB10" s="1" t="s">
        <v>69</v>
      </c>
      <c r="IE10" s="1" t="str">
        <f aca="false">FZ10</f>
        <v>EXP D4 B</v>
      </c>
      <c r="IF10" s="1" t="s">
        <v>65</v>
      </c>
      <c r="IG10" s="1" t="s">
        <v>66</v>
      </c>
      <c r="IH10" s="1" t="s">
        <v>67</v>
      </c>
      <c r="II10" s="1" t="s">
        <v>68</v>
      </c>
      <c r="IK10" s="1" t="s">
        <v>69</v>
      </c>
      <c r="IN10" s="1" t="str">
        <f aca="false">GD10</f>
        <v>EXP D8 B</v>
      </c>
      <c r="IO10" s="1" t="s">
        <v>65</v>
      </c>
      <c r="IP10" s="1" t="s">
        <v>66</v>
      </c>
      <c r="IQ10" s="1" t="s">
        <v>67</v>
      </c>
      <c r="IR10" s="1" t="s">
        <v>68</v>
      </c>
      <c r="IT10" s="1" t="s">
        <v>69</v>
      </c>
      <c r="IW10" s="1" t="str">
        <f aca="false">GH10</f>
        <v>EXP D10 B</v>
      </c>
      <c r="IX10" s="1" t="s">
        <v>65</v>
      </c>
      <c r="IY10" s="1" t="s">
        <v>66</v>
      </c>
      <c r="IZ10" s="1" t="s">
        <v>67</v>
      </c>
      <c r="JA10" s="1" t="s">
        <v>68</v>
      </c>
      <c r="JC10" s="1" t="s">
        <v>69</v>
      </c>
      <c r="JF10" s="1" t="str">
        <f aca="false">GL10</f>
        <v>EXP D14 B</v>
      </c>
      <c r="JG10" s="1" t="s">
        <v>65</v>
      </c>
      <c r="JH10" s="1" t="s">
        <v>66</v>
      </c>
      <c r="JI10" s="1" t="s">
        <v>67</v>
      </c>
      <c r="JJ10" s="1" t="s">
        <v>68</v>
      </c>
      <c r="JL10" s="1" t="s">
        <v>69</v>
      </c>
      <c r="JP10" s="1" t="str">
        <f aca="false">GM10</f>
        <v>EXP D14 T</v>
      </c>
      <c r="JQ10" s="1" t="s">
        <v>65</v>
      </c>
      <c r="JR10" s="1" t="s">
        <v>66</v>
      </c>
      <c r="JS10" s="1" t="s">
        <v>67</v>
      </c>
      <c r="JT10" s="1" t="s">
        <v>68</v>
      </c>
      <c r="JW10" s="1" t="n">
        <v>14</v>
      </c>
      <c r="JX10" s="1" t="n">
        <v>5</v>
      </c>
      <c r="JY10" s="1" t="n">
        <v>4</v>
      </c>
      <c r="JZ10" s="1" t="n">
        <f aca="false">(JX10+JX9)/JX$4*($JW10-$JW9)/2+JZ9</f>
        <v>27.6875</v>
      </c>
      <c r="KA10" s="1" t="n">
        <f aca="false">KA9+JY10/JY$4*(JW10-JW9)</f>
        <v>14</v>
      </c>
      <c r="KB10" s="1" t="n">
        <v>0.05</v>
      </c>
    </row>
    <row r="11" customFormat="false" ht="16" hidden="false" customHeight="false" outlineLevel="0" collapsed="false">
      <c r="A11" s="1" t="n">
        <v>2</v>
      </c>
      <c r="B11" s="1" t="n">
        <v>2</v>
      </c>
      <c r="C11" s="1" t="n">
        <f aca="false">B11-A11</f>
        <v>0</v>
      </c>
      <c r="D11" s="1" t="n">
        <v>1</v>
      </c>
      <c r="E11" s="1" t="n">
        <v>1</v>
      </c>
      <c r="F11" s="1" t="n">
        <f aca="false">E11-D11</f>
        <v>0</v>
      </c>
      <c r="G11" s="1" t="n">
        <v>2</v>
      </c>
      <c r="H11" s="1" t="n">
        <v>2</v>
      </c>
      <c r="I11" s="1" t="n">
        <f aca="false">H11-G11</f>
        <v>0</v>
      </c>
      <c r="J11" s="1" t="n">
        <v>2</v>
      </c>
      <c r="K11" s="1" t="n">
        <v>4</v>
      </c>
      <c r="L11" s="1" t="n">
        <f aca="false">K11-J11</f>
        <v>2</v>
      </c>
      <c r="M11" s="1" t="n">
        <v>3</v>
      </c>
      <c r="N11" s="1" t="n">
        <v>3</v>
      </c>
      <c r="O11" s="1" t="n">
        <f aca="false">N11-M11</f>
        <v>0</v>
      </c>
      <c r="P11" s="1" t="n">
        <v>2</v>
      </c>
      <c r="Q11" s="1" t="n">
        <v>3</v>
      </c>
      <c r="R11" s="1" t="n">
        <f aca="false">Q11-P11</f>
        <v>1</v>
      </c>
      <c r="S11" s="1" t="n">
        <v>6</v>
      </c>
      <c r="T11" s="1" t="n">
        <v>12</v>
      </c>
      <c r="U11" s="1" t="n">
        <f aca="false">T11-S11</f>
        <v>6</v>
      </c>
      <c r="V11" s="1" t="n">
        <v>4</v>
      </c>
      <c r="W11" s="1" t="n">
        <v>6</v>
      </c>
      <c r="X11" s="1" t="n">
        <f aca="false">W11-V11</f>
        <v>2</v>
      </c>
      <c r="Y11" s="1" t="n">
        <v>4</v>
      </c>
      <c r="Z11" s="1" t="n">
        <v>7</v>
      </c>
      <c r="AA11" s="1" t="n">
        <f aca="false">Z11-Y11</f>
        <v>3</v>
      </c>
      <c r="AB11" s="1" t="n">
        <v>4</v>
      </c>
      <c r="AC11" s="1" t="n">
        <v>6</v>
      </c>
      <c r="AD11" s="1" t="n">
        <f aca="false">AC11-AB11</f>
        <v>2</v>
      </c>
      <c r="AE11" s="1" t="n">
        <v>2</v>
      </c>
      <c r="AF11" s="1" t="n">
        <v>6</v>
      </c>
      <c r="AG11" s="1" t="n">
        <f aca="false">AF11-AE11</f>
        <v>4</v>
      </c>
      <c r="AI11" s="1" t="s">
        <v>70</v>
      </c>
      <c r="AM11" s="1" t="n">
        <v>0</v>
      </c>
      <c r="AN11" s="1" t="n">
        <f aca="false" t="array" ref="AN11:AN110">FREQUENCY(A2:A1000,$AM11:$AM110)</f>
        <v>0</v>
      </c>
      <c r="AO11" s="1" t="n">
        <f aca="false" t="array" ref="AO11:AO110">FREQUENCY(B2:B1000,$AM11:$AM110)</f>
        <v>0</v>
      </c>
      <c r="AP11" s="1" t="n">
        <f aca="false" t="array" ref="AP11:AP110">FREQUENCY(C2:C1000,$AM11:$AM110)</f>
        <v>115</v>
      </c>
      <c r="AQ11" s="1" t="n">
        <f aca="false" t="array" ref="AQ11:AQ110">FREQUENCY(D2:D1000,$AM11:$AM110)</f>
        <v>0</v>
      </c>
      <c r="AR11" s="1" t="n">
        <f aca="false" t="array" ref="AR11:AR110">FREQUENCY(E2:E1000,$AM11:$AM110)</f>
        <v>0</v>
      </c>
      <c r="AS11" s="1" t="n">
        <f aca="false" t="array" ref="AS11:AS110">FREQUENCY(F2:F1000,$AM11:$AM110)</f>
        <v>165</v>
      </c>
      <c r="AT11" s="1" t="n">
        <f aca="false" t="array" ref="AT11:AT110">FREQUENCY(G2:G1000,$AM11:$AM110)</f>
        <v>1</v>
      </c>
      <c r="AU11" s="1" t="n">
        <f aca="false" t="array" ref="AU11:AU110">FREQUENCY(H2:H1000,$AM11:$AM110)</f>
        <v>0</v>
      </c>
      <c r="AV11" s="1" t="n">
        <f aca="false" t="array" ref="AV11:AV110">FREQUENCY(I2:I1000,$AM11:$AM110)</f>
        <v>204</v>
      </c>
      <c r="AW11" s="1" t="n">
        <f aca="false" t="array" ref="AW11:AW110">FREQUENCY(J2:J1000,$AM11:$AM110)</f>
        <v>0</v>
      </c>
      <c r="AX11" s="1" t="n">
        <f aca="false" t="array" ref="AX11:AX110">FREQUENCY(K2:K1000,$AM11:$AM110)</f>
        <v>0</v>
      </c>
      <c r="AY11" s="1" t="n">
        <f aca="false" t="array" ref="AY11:AY110">FREQUENCY(L2:L1000,$AM11:$AM110)</f>
        <v>97</v>
      </c>
      <c r="AZ11" s="1" t="n">
        <f aca="false" t="array" ref="AZ11:AZ110">FREQUENCY(M2:M1000,$AM11:$AM110)</f>
        <v>0</v>
      </c>
      <c r="BA11" s="1" t="n">
        <f aca="false" t="array" ref="BA11:BA110">FREQUENCY(N2:N1000,$AM11:$AM110)</f>
        <v>0</v>
      </c>
      <c r="BB11" s="1" t="n">
        <f aca="false" t="array" ref="BB11:BB110">FREQUENCY(O2:O1000,$AM11:$AM110)</f>
        <v>129</v>
      </c>
      <c r="BC11" s="1" t="n">
        <f aca="false" t="array" ref="BC11:BC110">FREQUENCY(P2:P1000,$AM11:$AM110)</f>
        <v>0</v>
      </c>
      <c r="BD11" s="1" t="n">
        <f aca="false" t="array" ref="BD11:BD110">FREQUENCY(Q2:Q1000,$AM11:$AM110)</f>
        <v>0</v>
      </c>
      <c r="BE11" s="1" t="n">
        <f aca="false" t="array" ref="BE11:BE110">FREQUENCY(R2:R1000,$AM11:$AM110)</f>
        <v>80</v>
      </c>
      <c r="BF11" s="1" t="n">
        <f aca="false" t="array" ref="BF11:BF110">FREQUENCY(S2:S1000,$AM11:$AM110)</f>
        <v>1</v>
      </c>
      <c r="BG11" s="1" t="n">
        <f aca="false" t="array" ref="BG11:BG110">FREQUENCY(T2:T1000,$AM11:$AM110)</f>
        <v>0</v>
      </c>
      <c r="BH11" s="1" t="n">
        <f aca="false" t="array" ref="BH11:BH110">FREQUENCY(U2:U1000,$AM11:$AM110)</f>
        <v>69</v>
      </c>
      <c r="BI11" s="1" t="n">
        <f aca="false" t="array" ref="BI11:BI110">FREQUENCY(V2:V1000,$AM11:$AM110)</f>
        <v>0</v>
      </c>
      <c r="BJ11" s="1" t="n">
        <f aca="false" t="array" ref="BJ11:BJ110">FREQUENCY(W2:W1000,$AM11:$AM110)</f>
        <v>0</v>
      </c>
      <c r="BK11" s="1" t="n">
        <f aca="false" t="array" ref="BK11:BK110">FREQUENCY(X2:X1000,$AM11:$AM110)</f>
        <v>52</v>
      </c>
      <c r="BL11" s="1" t="n">
        <f aca="false" t="array" ref="BL11:BL110">FREQUENCY(Y2:Y1000,$AM11:$AM110)</f>
        <v>0</v>
      </c>
      <c r="BM11" s="1" t="n">
        <f aca="false" t="array" ref="BM11:BM110">FREQUENCY(Z2:Z1000,$AM11:$AM110)</f>
        <v>0</v>
      </c>
      <c r="BN11" s="1" t="n">
        <f aca="false" t="array" ref="BN11:BN110">FREQUENCY(AA2:AA1000,$AM11:$AM110)</f>
        <v>30</v>
      </c>
      <c r="BO11" s="1" t="n">
        <f aca="false" t="array" ref="BO11:BO110">FREQUENCY(AB2:AB1000,$AM11:$AM110)</f>
        <v>0</v>
      </c>
      <c r="BP11" s="1" t="n">
        <f aca="false" t="array" ref="BP11:BP110">FREQUENCY(AC2:AC1000,$AM11:$AM110)</f>
        <v>0</v>
      </c>
      <c r="BQ11" s="1" t="n">
        <f aca="false" t="array" ref="BQ11:BQ110">FREQUENCY(AD2:AD1000,$AM11:$AM110)</f>
        <v>50</v>
      </c>
      <c r="BR11" s="1" t="n">
        <f aca="false" t="array" ref="BR11:BR110">FREQUENCY(AE2:AE1000,$AM11:$AM110)</f>
        <v>0</v>
      </c>
      <c r="BS11" s="1" t="n">
        <f aca="false" t="array" ref="BS11:BS110">FREQUENCY(AF2:AF1000,$AM11:$AM110)</f>
        <v>0</v>
      </c>
      <c r="BT11" s="1" t="n">
        <f aca="false" t="array" ref="BT11:BT110">FREQUENCY(AG2:AG1000,$AM11:$AM110)</f>
        <v>36</v>
      </c>
      <c r="BW11" s="1" t="n">
        <f aca="false">$AM11</f>
        <v>0</v>
      </c>
      <c r="BX11" s="1" t="n">
        <f aca="false">MAX(100-AN11/AN$9*100,0)</f>
        <v>100</v>
      </c>
      <c r="BY11" s="1" t="n">
        <f aca="false">MAX(100-AO11/AO$9*100,0)</f>
        <v>100</v>
      </c>
      <c r="BZ11" s="1" t="n">
        <f aca="false">MAX(100-AQ11/AQ$9*100,0)</f>
        <v>100</v>
      </c>
      <c r="CA11" s="1" t="n">
        <f aca="false">MAX(100-AR11/AR$9*100,0)</f>
        <v>100</v>
      </c>
      <c r="CB11" s="1" t="n">
        <f aca="false">CB$7*EXP(-$AM11/CB$8)</f>
        <v>209</v>
      </c>
      <c r="CC11" s="1" t="n">
        <f aca="false">(BZ11-CB11)^2</f>
        <v>11881</v>
      </c>
      <c r="CD11" s="1" t="n">
        <f aca="false">MAX(100-AT11/AT$9*100,0)</f>
        <v>99.5670995670996</v>
      </c>
      <c r="CE11" s="1" t="n">
        <f aca="false">MAX(100-AU11/AU$9*100,0)</f>
        <v>100</v>
      </c>
      <c r="CF11" s="1" t="n">
        <f aca="false">CF$7*EXP(-$AM11/CF$8)</f>
        <v>209</v>
      </c>
      <c r="CG11" s="1" t="n">
        <f aca="false">(CD11-CF11)^2</f>
        <v>11975.5596971571</v>
      </c>
      <c r="CH11" s="1" t="n">
        <f aca="false">$AM11</f>
        <v>0</v>
      </c>
      <c r="CI11" s="1" t="n">
        <f aca="false">MAX(100-AW11/AW$9*100,0)</f>
        <v>100</v>
      </c>
      <c r="CJ11" s="1" t="n">
        <f aca="false">MAX(100-AX11/AX$9*100,0)</f>
        <v>100</v>
      </c>
      <c r="CK11" s="1" t="n">
        <f aca="false">CK$7*EXP(-$AM11/CK$8)</f>
        <v>178</v>
      </c>
      <c r="CL11" s="1" t="n">
        <f aca="false">(CI11-CK11)^2</f>
        <v>6084</v>
      </c>
      <c r="CM11" s="1" t="n">
        <f aca="false">MAX(100-AZ11/AZ$9*100,0)</f>
        <v>100</v>
      </c>
      <c r="CN11" s="1" t="n">
        <f aca="false">MAX(100-BA11/BA$9*100,0)</f>
        <v>100</v>
      </c>
      <c r="CO11" s="1" t="n">
        <f aca="false">CO$7*EXP(-$AM11/CO$8)</f>
        <v>133</v>
      </c>
      <c r="CP11" s="1" t="n">
        <f aca="false">(CM11-CO11)^2</f>
        <v>1089</v>
      </c>
      <c r="CQ11" s="1" t="n">
        <f aca="false">$AM11</f>
        <v>0</v>
      </c>
      <c r="CR11" s="1" t="n">
        <f aca="false">MAX(100-BC11/BC$9*100,0)</f>
        <v>100</v>
      </c>
      <c r="CS11" s="1" t="n">
        <f aca="false">MAX(100-BD11/BD$9*100,0)</f>
        <v>100</v>
      </c>
      <c r="CT11" s="1" t="n">
        <f aca="false">CT$7*EXP(-$AM11/CT$8)</f>
        <v>147</v>
      </c>
      <c r="CU11" s="1" t="n">
        <f aca="false">(CR11-CT11)^2</f>
        <v>2209</v>
      </c>
      <c r="CV11" s="1" t="n">
        <f aca="false">MAX(100-BF11/BF$9*100,0)</f>
        <v>99.4974874371859</v>
      </c>
      <c r="CW11" s="1" t="n">
        <f aca="false">MAX(100-BG11/BG$9*100,0)</f>
        <v>100</v>
      </c>
      <c r="CX11" s="1" t="n">
        <f aca="false">CX$7*EXP(-$AM11/CX$8)</f>
        <v>134.8</v>
      </c>
      <c r="CY11" s="1" t="n">
        <f aca="false">(CV11-CX11)^2</f>
        <v>1246.26739324765</v>
      </c>
      <c r="CZ11" s="1" t="n">
        <f aca="false">$AM11</f>
        <v>0</v>
      </c>
      <c r="DA11" s="1" t="n">
        <f aca="false">MAX(100-BI11/BI$9*100,0)</f>
        <v>100</v>
      </c>
      <c r="DB11" s="1" t="n">
        <f aca="false">MAX(100-BJ11/BJ$9*100,0)</f>
        <v>100</v>
      </c>
      <c r="DC11" s="1" t="n">
        <f aca="false">DC$7*EXP(-$AM11/DC$8)</f>
        <v>160</v>
      </c>
      <c r="DD11" s="1" t="n">
        <f aca="false">(DA11-DC11)^2</f>
        <v>3600</v>
      </c>
      <c r="DE11" s="1" t="n">
        <f aca="false">MAX(100-BL11/BL$9*100,0)</f>
        <v>100</v>
      </c>
      <c r="DF11" s="1" t="n">
        <f aca="false">MAX(100-BM11/BM$9*100,0)</f>
        <v>100</v>
      </c>
      <c r="DG11" s="1" t="n">
        <f aca="false">DG$7*EXP(-$AM11/DG$8)</f>
        <v>120.5</v>
      </c>
      <c r="DH11" s="1" t="n">
        <f aca="false">(DE11-DG11)^2</f>
        <v>420.25</v>
      </c>
      <c r="DI11" s="1" t="n">
        <f aca="false">$AM11</f>
        <v>0</v>
      </c>
      <c r="DJ11" s="1" t="n">
        <f aca="false">MAX(100-BO11/BO$9*100,0)</f>
        <v>100</v>
      </c>
      <c r="DK11" s="1" t="n">
        <f aca="false">MAX(100-BP11/BP$9*100,0)</f>
        <v>100</v>
      </c>
      <c r="DL11" s="1" t="n">
        <f aca="false">DL$7*EXP(-$AM11/DL$8)</f>
        <v>150</v>
      </c>
      <c r="DM11" s="1" t="n">
        <f aca="false">(DJ11-DL11)^2</f>
        <v>2500</v>
      </c>
      <c r="DN11" s="1" t="n">
        <f aca="false">MAX(100-BR11/BR$9*100,0)</f>
        <v>100</v>
      </c>
      <c r="DO11" s="1" t="n">
        <f aca="false">MAX(100-BS11/BS$9*100,0)</f>
        <v>100</v>
      </c>
      <c r="DP11" s="1" t="n">
        <f aca="false">DP$7*EXP(-$AM11/DP$8)</f>
        <v>122</v>
      </c>
      <c r="DQ11" s="1" t="n">
        <f aca="false">(DN11-DP11)^2</f>
        <v>484</v>
      </c>
      <c r="DS11" s="1" t="n">
        <f aca="false">$AM11</f>
        <v>0</v>
      </c>
      <c r="DT11" s="1" t="n">
        <f aca="false">CA11</f>
        <v>100</v>
      </c>
      <c r="DU11" s="1" t="n">
        <f aca="false">DU$7*EXP(-DS11/DU$8)</f>
        <v>163</v>
      </c>
      <c r="DV11" s="1" t="n">
        <f aca="false">(DT11-DU11)^2</f>
        <v>3969</v>
      </c>
      <c r="DX11" s="1" t="n">
        <f aca="false">$AM11</f>
        <v>0</v>
      </c>
      <c r="DY11" s="1" t="n">
        <f aca="false">CM11</f>
        <v>100</v>
      </c>
      <c r="DZ11" s="1" t="n">
        <f aca="false">DZ$7*EXP(-DX11/DZ$8)</f>
        <v>158</v>
      </c>
      <c r="EA11" s="1" t="n">
        <f aca="false">(DY11-DZ11)^2</f>
        <v>3364</v>
      </c>
      <c r="EC11" s="1" t="n">
        <f aca="false">$AM11</f>
        <v>0</v>
      </c>
      <c r="ED11" s="1" t="n">
        <f aca="false">CV11</f>
        <v>99.4974874371859</v>
      </c>
      <c r="EE11" s="1" t="n">
        <f aca="false">EE$7*EXP(-EC11/EE$8)</f>
        <v>142</v>
      </c>
      <c r="EF11" s="1" t="n">
        <f aca="false">(ED11-EE11)^2</f>
        <v>1806.46357415217</v>
      </c>
      <c r="EH11" s="1" t="n">
        <f aca="false">$AM11</f>
        <v>0</v>
      </c>
      <c r="EI11" s="1" t="n">
        <f aca="false">DE11</f>
        <v>100</v>
      </c>
      <c r="EJ11" s="1" t="n">
        <f aca="false">EJ$7*EXP(-EH11/EJ$8)</f>
        <v>120</v>
      </c>
      <c r="EK11" s="1" t="n">
        <f aca="false">(EI11-EJ11)^2</f>
        <v>400</v>
      </c>
      <c r="EM11" s="1" t="n">
        <f aca="false">AM11</f>
        <v>0</v>
      </c>
      <c r="EN11" s="1" t="n">
        <f aca="false">DN11</f>
        <v>100</v>
      </c>
      <c r="EO11" s="1" t="n">
        <f aca="false">EO$7*EXP(-EM11/EO$8)</f>
        <v>120</v>
      </c>
      <c r="EP11" s="1" t="n">
        <f aca="false">(EN11-EO11)^2</f>
        <v>400</v>
      </c>
      <c r="ER11" s="1" t="n">
        <f aca="false">$AM11</f>
        <v>0</v>
      </c>
      <c r="ES11" s="1" t="n">
        <f aca="false">BZ11</f>
        <v>100</v>
      </c>
      <c r="ET11" s="1" t="n">
        <f aca="false">ET$7*EXP(-ER11/ET$8)</f>
        <v>183</v>
      </c>
      <c r="EU11" s="1" t="n">
        <f aca="false">(ES11-ET11)^2</f>
        <v>6889</v>
      </c>
      <c r="EW11" s="1" t="n">
        <f aca="false">$AM11</f>
        <v>0</v>
      </c>
      <c r="EX11" s="1" t="n">
        <f aca="false">CI11</f>
        <v>100</v>
      </c>
      <c r="EY11" s="1" t="n">
        <f aca="false">EY$7*EXP(-EW11/EY$8)</f>
        <v>245</v>
      </c>
      <c r="EZ11" s="1" t="n">
        <f aca="false">(EX11-EY11)^2</f>
        <v>21025</v>
      </c>
      <c r="FB11" s="1" t="n">
        <f aca="false">$AM11</f>
        <v>0</v>
      </c>
      <c r="FC11" s="1" t="n">
        <f aca="false">CR11</f>
        <v>100</v>
      </c>
      <c r="FD11" s="1" t="n">
        <f aca="false">FD$7*EXP(-FB11/FD$8)</f>
        <v>178</v>
      </c>
      <c r="FE11" s="1" t="n">
        <f aca="false">(FC11-FD11)^2</f>
        <v>6084</v>
      </c>
      <c r="FG11" s="1" t="n">
        <f aca="false">$AM11</f>
        <v>0</v>
      </c>
      <c r="FH11" s="1" t="n">
        <f aca="false">DA11</f>
        <v>100</v>
      </c>
      <c r="FI11" s="1" t="n">
        <f aca="false">FI$7*EXP(-FG11/FI$8)</f>
        <v>186</v>
      </c>
      <c r="FJ11" s="1" t="n">
        <f aca="false">(FH11-FI11)^2</f>
        <v>7396</v>
      </c>
      <c r="FL11" s="1" t="n">
        <f aca="false">EM11</f>
        <v>0</v>
      </c>
      <c r="FM11" s="1" t="n">
        <f aca="false">DJ11</f>
        <v>100</v>
      </c>
      <c r="FN11" s="1" t="n">
        <f aca="false">FN$7*EXP(-FL11/FN$8)</f>
        <v>170</v>
      </c>
      <c r="FO11" s="1" t="n">
        <f aca="false">(FM11-FN11)^2</f>
        <v>4900</v>
      </c>
      <c r="FQ11" s="1" t="n">
        <f aca="false">AM11</f>
        <v>0</v>
      </c>
      <c r="FR11" s="1" t="n">
        <f aca="false">AN11/AN$9*100</f>
        <v>0</v>
      </c>
      <c r="FS11" s="1" t="n">
        <f aca="false">AO11/AO$9*100</f>
        <v>0</v>
      </c>
      <c r="FT11" s="1" t="n">
        <f aca="false">AQ11/AQ$9*100</f>
        <v>0</v>
      </c>
      <c r="FU11" s="1" t="n">
        <f aca="false">AR11/AR$9*100</f>
        <v>0</v>
      </c>
      <c r="FV11" s="1" t="n">
        <f aca="false">AT11/AT$9*100</f>
        <v>0.432900432900433</v>
      </c>
      <c r="FW11" s="1" t="n">
        <f aca="false">AU11/AU$9*100</f>
        <v>0</v>
      </c>
      <c r="FX11" s="1" t="n">
        <f aca="false">AW11/AW$9*100</f>
        <v>0</v>
      </c>
      <c r="FY11" s="1" t="n">
        <f aca="false">AX11/AX$9*100</f>
        <v>0</v>
      </c>
      <c r="FZ11" s="1" t="n">
        <f aca="false">AZ11/AZ$9*100</f>
        <v>0</v>
      </c>
      <c r="GA11" s="1" t="n">
        <f aca="false">BA11/BA$9*100</f>
        <v>0</v>
      </c>
      <c r="GB11" s="1" t="n">
        <f aca="false">BC11/BC$9*100</f>
        <v>0</v>
      </c>
      <c r="GC11" s="1" t="n">
        <f aca="false">BD11/BD$9*100</f>
        <v>0</v>
      </c>
      <c r="GD11" s="1" t="n">
        <f aca="false">BF11/BF$9*100</f>
        <v>0.50251256281407</v>
      </c>
      <c r="GE11" s="1" t="n">
        <f aca="false">BG11/BG$9*100</f>
        <v>0</v>
      </c>
      <c r="GF11" s="1" t="n">
        <f aca="false">BI11/BI$9*100</f>
        <v>0</v>
      </c>
      <c r="GG11" s="1" t="n">
        <f aca="false">BJ11/BJ$9*100</f>
        <v>0</v>
      </c>
      <c r="GH11" s="1" t="n">
        <f aca="false">BL11/BL$9*100</f>
        <v>0</v>
      </c>
      <c r="GI11" s="1" t="n">
        <f aca="false">BM11/BM$9*100</f>
        <v>0</v>
      </c>
      <c r="GJ11" s="1" t="n">
        <f aca="false">BO11/BO$9*100</f>
        <v>0</v>
      </c>
      <c r="GK11" s="1" t="n">
        <f aca="false">BP11/BP$9*100</f>
        <v>0</v>
      </c>
      <c r="GL11" s="1" t="n">
        <f aca="false">BR11/BR$9*100</f>
        <v>0</v>
      </c>
      <c r="GM11" s="1" t="n">
        <f aca="false">BS11/BS$9*100</f>
        <v>0</v>
      </c>
      <c r="GO11" s="1" t="n">
        <f aca="false">$AM11</f>
        <v>0</v>
      </c>
      <c r="GP11" s="1" t="n">
        <f aca="false">FT11</f>
        <v>0</v>
      </c>
      <c r="GQ11" s="1" t="n">
        <f aca="false">GQ$6*(1+GQ$5*(-1)^$FQ11)*EXP(-$FQ11/GQ$4)</f>
        <v>205.194339078364</v>
      </c>
      <c r="GR11" s="1" t="n">
        <f aca="false">(GP11-GQ11)^2</f>
        <v>42104.7167898066</v>
      </c>
      <c r="GS11" s="1" t="n">
        <f aca="false">EXP($FQ11/$JG$4)*GP11</f>
        <v>0</v>
      </c>
      <c r="GT11" s="1" t="n">
        <f aca="false">EXP($FQ11/$JG$4)*(-1)^$FQ11*GP11</f>
        <v>0</v>
      </c>
      <c r="GU11" s="1" t="n">
        <f aca="false">(-1)^GO11*GP11</f>
        <v>0</v>
      </c>
      <c r="GW11" s="1" t="n">
        <f aca="false">$AM11</f>
        <v>0</v>
      </c>
      <c r="GX11" s="1" t="n">
        <f aca="false">FX11</f>
        <v>0</v>
      </c>
      <c r="GY11" s="1" t="n">
        <f aca="false">GY$6*(1+GY$5*(-1)^$FQ11)*EXP(-$FQ11/GY$4)</f>
        <v>205.194339078364</v>
      </c>
      <c r="GZ11" s="1" t="n">
        <f aca="false">(GX11-GY11)^2</f>
        <v>42104.7167898066</v>
      </c>
      <c r="HA11" s="1" t="n">
        <f aca="false">EXP($FQ11/$JG$4)*GX11</f>
        <v>0</v>
      </c>
      <c r="HB11" s="1" t="n">
        <f aca="false">EXP($FQ11/$JG$4)*(-1)^$FQ11*GX11</f>
        <v>0</v>
      </c>
      <c r="HC11" s="1" t="n">
        <f aca="false">(-1)^GW11*GX11</f>
        <v>0</v>
      </c>
      <c r="HE11" s="1" t="n">
        <f aca="false">$AM11</f>
        <v>0</v>
      </c>
      <c r="HF11" s="1" t="n">
        <f aca="false">GB11</f>
        <v>0</v>
      </c>
      <c r="HG11" s="1" t="n">
        <f aca="false">HG$6*(1+HG$5*(-1)^$FQ11)*EXP(-$FQ11/HG$4)</f>
        <v>205.194339078364</v>
      </c>
      <c r="HH11" s="1" t="n">
        <f aca="false">(HF11-HG11)^2</f>
        <v>42104.7167898066</v>
      </c>
      <c r="HI11" s="1" t="n">
        <f aca="false">EXP($FQ11/$JG$4)*HF11</f>
        <v>0</v>
      </c>
      <c r="HJ11" s="1" t="n">
        <f aca="false">EXP($FQ11/$JG$4)*(-1)^$FQ11*HF11</f>
        <v>0</v>
      </c>
      <c r="HK11" s="1" t="n">
        <f aca="false">(-1)^HE11*HF11</f>
        <v>0</v>
      </c>
      <c r="HM11" s="1" t="n">
        <f aca="false">$AM11</f>
        <v>0</v>
      </c>
      <c r="HN11" s="1" t="n">
        <f aca="false">GF11</f>
        <v>0</v>
      </c>
      <c r="HO11" s="1" t="n">
        <f aca="false">HO$6*(1+HO$5*(-1)^$FQ11)*EXP(-$FQ11/HO$4)</f>
        <v>165.214464182923</v>
      </c>
      <c r="HP11" s="1" t="n">
        <f aca="false">(HN11-HO11)^2</f>
        <v>27295.8191752503</v>
      </c>
      <c r="HQ11" s="1" t="n">
        <f aca="false">EXP($FQ11/$JG$4)*HN11</f>
        <v>0</v>
      </c>
      <c r="HR11" s="1" t="n">
        <f aca="false">EXP($FQ11/$JG$4)*(-1)^$FQ11*HN11</f>
        <v>0</v>
      </c>
      <c r="HS11" s="1" t="n">
        <f aca="false">(-1)^HM11*HN11</f>
        <v>0</v>
      </c>
      <c r="HU11" s="1" t="n">
        <f aca="false">$AM11</f>
        <v>0</v>
      </c>
      <c r="HV11" s="1" t="n">
        <f aca="false">GJ11</f>
        <v>0</v>
      </c>
      <c r="HW11" s="1" t="n">
        <f aca="false">HW$6*(1+HW$5*(-1)^$FQ11)*EXP(-$FQ11/HW$4)</f>
        <v>93.6810247998056</v>
      </c>
      <c r="HX11" s="1" t="n">
        <f aca="false">(HV11-HW11)^2</f>
        <v>8776.13440754179</v>
      </c>
      <c r="HY11" s="1" t="n">
        <f aca="false">EXP($FQ11/$JG$4)*HV11</f>
        <v>0</v>
      </c>
      <c r="HZ11" s="1" t="n">
        <f aca="false">EXP($FQ11/$JG$4)*(-1)^$FQ11*HV11</f>
        <v>0</v>
      </c>
      <c r="IA11" s="1" t="n">
        <f aca="false">(-1)^HU11*HV11</f>
        <v>0</v>
      </c>
      <c r="IB11" s="1" t="n">
        <v>13.139509</v>
      </c>
      <c r="ID11" s="1" t="n">
        <f aca="false">$AM11</f>
        <v>0</v>
      </c>
      <c r="IE11" s="1" t="n">
        <f aca="false">FZ11</f>
        <v>0</v>
      </c>
      <c r="IF11" s="1" t="n">
        <f aca="false">IF$6*(1+IF$5*(-1)^$FQ11)*EXP(-$FQ11/IF$4)</f>
        <v>55.1344145041893</v>
      </c>
      <c r="IG11" s="1" t="n">
        <f aca="false">(IE11-IF11)^2</f>
        <v>3039.80366271976</v>
      </c>
      <c r="IH11" s="1" t="n">
        <f aca="false">EXP($FQ11/$JG$4)*IE11</f>
        <v>0</v>
      </c>
      <c r="II11" s="1" t="n">
        <f aca="false">EXP($FQ11/$JG$4)*(-1)^$FQ11*IE11</f>
        <v>0</v>
      </c>
      <c r="IJ11" s="1" t="n">
        <f aca="false">(-1)^ID11*IE11</f>
        <v>0</v>
      </c>
      <c r="IK11" s="1" t="n">
        <v>16.264621</v>
      </c>
      <c r="IM11" s="1" t="n">
        <f aca="false">$AM11</f>
        <v>0</v>
      </c>
      <c r="IN11" s="1" t="n">
        <f aca="false">GD11</f>
        <v>0.50251256281407</v>
      </c>
      <c r="IO11" s="1" t="n">
        <f aca="false">IO$6*(1+IO$5*(-1)^$FQ11)*EXP(-$FQ11/IO$4)</f>
        <v>47.8180412495401</v>
      </c>
      <c r="IP11" s="1" t="n">
        <f aca="false">(IN11-IO11)^2</f>
        <v>2238.75925490439</v>
      </c>
      <c r="IQ11" s="1" t="n">
        <f aca="false">EXP($FQ11/$JG$4)*IN11</f>
        <v>0.50251256281407</v>
      </c>
      <c r="IR11" s="1" t="n">
        <f aca="false">EXP($FQ11/$JG$4)*(-1)^$FQ11*IN11</f>
        <v>0.50251256281407</v>
      </c>
      <c r="IS11" s="1" t="n">
        <f aca="false">(-1)^IM11*IN11</f>
        <v>0.50251256281407</v>
      </c>
      <c r="IT11" s="1" t="n">
        <v>10.971789</v>
      </c>
      <c r="IV11" s="1" t="n">
        <f aca="false">$AM11</f>
        <v>0</v>
      </c>
      <c r="IW11" s="1" t="n">
        <f aca="false">GH11</f>
        <v>0</v>
      </c>
      <c r="IX11" s="1" t="n">
        <f aca="false">IX$6*(1+IX$5*(-1)^$FQ11)*EXP(-$FQ11/IX$4)</f>
        <v>35.7360061687718</v>
      </c>
      <c r="IY11" s="1" t="n">
        <f aca="false">(IW11-IX11)^2</f>
        <v>1277.0621368945</v>
      </c>
      <c r="IZ11" s="1" t="n">
        <f aca="false">EXP($FQ11/$JG$4)*IW11</f>
        <v>0</v>
      </c>
      <c r="JA11" s="1" t="n">
        <f aca="false">EXP($FQ11/$JG$4)*(-1)^$FQ11*IW11</f>
        <v>0</v>
      </c>
      <c r="JB11" s="1" t="n">
        <f aca="false">(-1)^IV11*IW11</f>
        <v>0</v>
      </c>
      <c r="JC11" s="1" t="n">
        <v>2.305836</v>
      </c>
      <c r="JE11" s="1" t="n">
        <f aca="false">$AM11</f>
        <v>0</v>
      </c>
      <c r="JF11" s="1" t="n">
        <f aca="false">GL11</f>
        <v>0</v>
      </c>
      <c r="JG11" s="1" t="n">
        <f aca="false">JG$6*(1+JG$5*(-1)^$FQ11)*EXP(-$FQ11/JG$4)</f>
        <v>49.9325017500574</v>
      </c>
      <c r="JH11" s="1" t="n">
        <f aca="false">(JF11-JG11)^2</f>
        <v>2493.25473101949</v>
      </c>
      <c r="JI11" s="1" t="n">
        <f aca="false">EXP($FQ11/$JG$4)*JF11</f>
        <v>0</v>
      </c>
      <c r="JJ11" s="1" t="n">
        <f aca="false">EXP($FQ11/$JG$4)*(-1)^$FQ11*JF11</f>
        <v>0</v>
      </c>
      <c r="JK11" s="1" t="n">
        <f aca="false">(-1)^JE11*JF11</f>
        <v>0</v>
      </c>
      <c r="JL11" s="1" t="n">
        <v>1.403096</v>
      </c>
      <c r="JO11" s="1" t="n">
        <f aca="false">$AM11</f>
        <v>0</v>
      </c>
      <c r="JP11" s="1" t="n">
        <f aca="false">GM11</f>
        <v>0</v>
      </c>
      <c r="JQ11" s="1" t="n">
        <f aca="false">JQ$6*(1+JQ$5*(-1)^$FQ11)*EXP(-$FQ11/JQ$4)</f>
        <v>14.3832430611963</v>
      </c>
      <c r="JR11" s="1" t="n">
        <f aca="false">(JP11-JQ11)^2</f>
        <v>206.877680957452</v>
      </c>
      <c r="JS11" s="1" t="n">
        <f aca="false">EXP($FQ11/$JG$4)*JP11</f>
        <v>0</v>
      </c>
      <c r="JT11" s="1" t="n">
        <f aca="false">EXP($FQ11/$JG$4)*(-1)^$FQ11*JP11</f>
        <v>0</v>
      </c>
      <c r="JU11" s="1" t="n">
        <f aca="false">(-1)^JO11*JP11</f>
        <v>0</v>
      </c>
    </row>
    <row r="12" customFormat="false" ht="16" hidden="false" customHeight="false" outlineLevel="0" collapsed="false">
      <c r="A12" s="1" t="n">
        <v>2</v>
      </c>
      <c r="B12" s="1" t="n">
        <v>2</v>
      </c>
      <c r="C12" s="1" t="n">
        <f aca="false">B12-A12</f>
        <v>0</v>
      </c>
      <c r="D12" s="1" t="n">
        <v>2</v>
      </c>
      <c r="E12" s="1" t="n">
        <v>2</v>
      </c>
      <c r="F12" s="1" t="n">
        <f aca="false">E12-D12</f>
        <v>0</v>
      </c>
      <c r="G12" s="1" t="n">
        <v>1</v>
      </c>
      <c r="H12" s="1" t="n">
        <v>1</v>
      </c>
      <c r="I12" s="1" t="n">
        <f aca="false">H12-G12</f>
        <v>0</v>
      </c>
      <c r="J12" s="1" t="n">
        <v>2</v>
      </c>
      <c r="K12" s="1" t="n">
        <v>2</v>
      </c>
      <c r="L12" s="1" t="n">
        <f aca="false">K12-J12</f>
        <v>0</v>
      </c>
      <c r="M12" s="1" t="n">
        <v>3</v>
      </c>
      <c r="N12" s="1" t="n">
        <v>5</v>
      </c>
      <c r="O12" s="1" t="n">
        <f aca="false">N12-M12</f>
        <v>2</v>
      </c>
      <c r="P12" s="1" t="n">
        <v>1</v>
      </c>
      <c r="Q12" s="1" t="n">
        <v>1</v>
      </c>
      <c r="R12" s="1" t="n">
        <f aca="false">Q12-P12</f>
        <v>0</v>
      </c>
      <c r="S12" s="1" t="n">
        <v>2</v>
      </c>
      <c r="T12" s="1" t="n">
        <v>2</v>
      </c>
      <c r="U12" s="1" t="n">
        <f aca="false">T12-S12</f>
        <v>0</v>
      </c>
      <c r="V12" s="1" t="n">
        <v>3</v>
      </c>
      <c r="W12" s="1" t="n">
        <v>5</v>
      </c>
      <c r="X12" s="1" t="n">
        <f aca="false">W12-V12</f>
        <v>2</v>
      </c>
      <c r="Y12" s="1" t="n">
        <v>6</v>
      </c>
      <c r="Z12" s="1" t="n">
        <v>8</v>
      </c>
      <c r="AA12" s="1" t="n">
        <f aca="false">Z12-Y12</f>
        <v>2</v>
      </c>
      <c r="AB12" s="1" t="n">
        <v>4</v>
      </c>
      <c r="AC12" s="1" t="n">
        <v>10</v>
      </c>
      <c r="AD12" s="1" t="n">
        <f aca="false">AC12-AB12</f>
        <v>6</v>
      </c>
      <c r="AE12" s="1" t="n">
        <v>7</v>
      </c>
      <c r="AF12" s="1" t="n">
        <v>14</v>
      </c>
      <c r="AG12" s="1" t="n">
        <f aca="false">AF12-AE12</f>
        <v>7</v>
      </c>
      <c r="AI12" s="1" t="s">
        <v>41</v>
      </c>
      <c r="AJ12" s="1" t="n">
        <f aca="false">COUNTIFS(H$2:H$1000,2,G$2:G$1000,2)</f>
        <v>93</v>
      </c>
      <c r="AM12" s="1" t="n">
        <v>1</v>
      </c>
      <c r="AN12" s="1" t="n">
        <v>56</v>
      </c>
      <c r="AO12" s="1" t="n">
        <v>56</v>
      </c>
      <c r="AP12" s="1" t="n">
        <v>0</v>
      </c>
      <c r="AQ12" s="1" t="n">
        <v>71</v>
      </c>
      <c r="AR12" s="1" t="n">
        <v>64</v>
      </c>
      <c r="AS12" s="1" t="n">
        <v>5</v>
      </c>
      <c r="AT12" s="1" t="n">
        <v>90</v>
      </c>
      <c r="AU12" s="1" t="n">
        <v>79</v>
      </c>
      <c r="AV12" s="1" t="n">
        <v>26</v>
      </c>
      <c r="AW12" s="1" t="n">
        <v>32</v>
      </c>
      <c r="AX12" s="1" t="n">
        <v>21</v>
      </c>
      <c r="AY12" s="1" t="n">
        <v>16</v>
      </c>
      <c r="AZ12" s="1" t="n">
        <v>38</v>
      </c>
      <c r="BA12" s="1" t="n">
        <v>18</v>
      </c>
      <c r="BB12" s="1" t="n">
        <v>28</v>
      </c>
      <c r="BC12" s="1" t="n">
        <v>51</v>
      </c>
      <c r="BD12" s="1" t="n">
        <v>24</v>
      </c>
      <c r="BE12" s="1" t="n">
        <v>29</v>
      </c>
      <c r="BF12" s="1" t="n">
        <v>24</v>
      </c>
      <c r="BG12" s="1" t="n">
        <v>10</v>
      </c>
      <c r="BH12" s="1" t="n">
        <v>7</v>
      </c>
      <c r="BI12" s="1" t="n">
        <v>27</v>
      </c>
      <c r="BJ12" s="1" t="n">
        <v>11</v>
      </c>
      <c r="BK12" s="1" t="n">
        <v>28</v>
      </c>
      <c r="BL12" s="1" t="n">
        <v>11</v>
      </c>
      <c r="BM12" s="1" t="n">
        <v>3</v>
      </c>
      <c r="BN12" s="1" t="n">
        <v>4</v>
      </c>
      <c r="BO12" s="1" t="n">
        <v>37</v>
      </c>
      <c r="BP12" s="1" t="n">
        <v>10</v>
      </c>
      <c r="BQ12" s="1" t="n">
        <v>12</v>
      </c>
      <c r="BR12" s="1" t="n">
        <v>13</v>
      </c>
      <c r="BS12" s="1" t="n">
        <v>3</v>
      </c>
      <c r="BT12" s="1" t="n">
        <v>2</v>
      </c>
      <c r="BW12" s="1" t="n">
        <f aca="false">$AM12</f>
        <v>1</v>
      </c>
      <c r="BX12" s="1" t="n">
        <f aca="false">MAX(BX11-AN12/AN$9*100,0)</f>
        <v>51.304347826087</v>
      </c>
      <c r="BY12" s="1" t="n">
        <f aca="false">MAX(BY11-AO12/AO$9*100,0)</f>
        <v>51.304347826087</v>
      </c>
      <c r="BZ12" s="1" t="n">
        <f aca="false">MAX(BZ11-AQ12/AQ$9*100,0)</f>
        <v>59.4285714285714</v>
      </c>
      <c r="CA12" s="1" t="n">
        <f aca="false">MAX(CA11-AR12/AR$9*100,0)</f>
        <v>63.4285714285714</v>
      </c>
      <c r="CB12" s="1" t="n">
        <f aca="false">CB$7*EXP(-$AM12/CB$8)</f>
        <v>57.0331657145221</v>
      </c>
      <c r="CC12" s="1" t="n">
        <f aca="false">(BZ12-CB12)^2</f>
        <v>5.73796853490019</v>
      </c>
      <c r="CD12" s="1" t="n">
        <f aca="false">MAX(CD11-AT12/AT$9*100,0)</f>
        <v>60.6060606060606</v>
      </c>
      <c r="CE12" s="1" t="n">
        <f aca="false">MAX(CE11-AU12/AU$9*100,0)</f>
        <v>65.8008658008658</v>
      </c>
      <c r="CF12" s="1" t="n">
        <f aca="false">CF$7*EXP(-$AM12/CF$8)</f>
        <v>58.9394984136066</v>
      </c>
      <c r="CG12" s="1" t="n">
        <f aca="false">(CD12-CF12)^2</f>
        <v>2.77742954131707</v>
      </c>
      <c r="CH12" s="1" t="n">
        <f aca="false">$AM12</f>
        <v>1</v>
      </c>
      <c r="CI12" s="1" t="n">
        <f aca="false">MAX(CI11-AW12/AW$9*100,0)</f>
        <v>76.4705882352941</v>
      </c>
      <c r="CJ12" s="1" t="n">
        <f aca="false">MAX(CJ11-AX12/AX$9*100,0)</f>
        <v>84.5588235294118</v>
      </c>
      <c r="CK12" s="1" t="n">
        <f aca="false">CK$7*EXP(-$AM12/CK$8)</f>
        <v>75.7230568213186</v>
      </c>
      <c r="CL12" s="1" t="n">
        <f aca="false">(CI12-CK12)^2</f>
        <v>0.558803214880244</v>
      </c>
      <c r="CM12" s="1" t="n">
        <f aca="false">MAX(CM11-AZ12/AZ$9*100,0)</f>
        <v>80.7106598984772</v>
      </c>
      <c r="CN12" s="1" t="n">
        <f aca="false">MAX(CN11-BA12/BA$9*100,0)</f>
        <v>90.8629441624366</v>
      </c>
      <c r="CO12" s="1" t="n">
        <f aca="false">CO$7*EXP(-$AM12/CO$8)</f>
        <v>82.2349091516979</v>
      </c>
      <c r="CP12" s="1" t="n">
        <f aca="false">(CM12-CO12)^2</f>
        <v>2.323335785944</v>
      </c>
      <c r="CQ12" s="1" t="n">
        <f aca="false">$AM12</f>
        <v>1</v>
      </c>
      <c r="CR12" s="1" t="n">
        <f aca="false">MAX(CR11-BC12/BC$9*100,0)</f>
        <v>67.9245283018868</v>
      </c>
      <c r="CS12" s="1" t="n">
        <f aca="false">MAX(CS11-BD12/BD$9*100,0)</f>
        <v>84.9056603773585</v>
      </c>
      <c r="CT12" s="1" t="n">
        <f aca="false">CT$7*EXP(-$AM12/CT$8)</f>
        <v>66.888764743426</v>
      </c>
      <c r="CU12" s="1" t="n">
        <f aca="false">(CR12-CT12)^2</f>
        <v>1.07280614903538</v>
      </c>
      <c r="CV12" s="1" t="n">
        <f aca="false">MAX(CV11-BF12/BF$9*100,0)</f>
        <v>87.4371859296482</v>
      </c>
      <c r="CW12" s="1" t="n">
        <f aca="false">MAX(CW11-BG12/BG$9*100,0)</f>
        <v>94.9748743718593</v>
      </c>
      <c r="CX12" s="1" t="n">
        <f aca="false">CX$7*EXP(-$AM12/CX$8)</f>
        <v>89.1721755815357</v>
      </c>
      <c r="CY12" s="1" t="n">
        <f aca="false">(CV12-CX12)^2</f>
        <v>3.01018909215657</v>
      </c>
      <c r="CZ12" s="1" t="n">
        <f aca="false">$AM12</f>
        <v>1</v>
      </c>
      <c r="DA12" s="1" t="n">
        <f aca="false">MAX(DA11-BI12/BI$9*100,0)</f>
        <v>81.5068493150685</v>
      </c>
      <c r="DB12" s="1" t="n">
        <f aca="false">MAX(DB11-BJ12/BJ$9*100,0)</f>
        <v>92.4657534246575</v>
      </c>
      <c r="DC12" s="1" t="n">
        <f aca="false">DC$7*EXP(-$AM12/DC$8)</f>
        <v>77.1110667540346</v>
      </c>
      <c r="DD12" s="1" t="n">
        <f aca="false">(DA12-DC12)^2</f>
        <v>19.3229043238897</v>
      </c>
      <c r="DE12" s="1" t="n">
        <f aca="false">MAX(DE11-BL12/BL$9*100,0)</f>
        <v>92.9936305732484</v>
      </c>
      <c r="DF12" s="1" t="n">
        <f aca="false">MAX(DF11-BM12/BM$9*100,0)</f>
        <v>98.0891719745223</v>
      </c>
      <c r="DG12" s="1" t="n">
        <f aca="false">DG$7*EXP(-$AM12/DG$8)</f>
        <v>93.8454943601043</v>
      </c>
      <c r="DH12" s="1" t="n">
        <f aca="false">(DE12-DG12)^2</f>
        <v>0.725671911356452</v>
      </c>
      <c r="DI12" s="1" t="n">
        <f aca="false">$AM12</f>
        <v>1</v>
      </c>
      <c r="DJ12" s="1" t="n">
        <f aca="false">MAX(DJ11-BO12/BO$9*100,0)</f>
        <v>81.025641025641</v>
      </c>
      <c r="DK12" s="1" t="n">
        <f aca="false">MAX(DK11-BP12/BP$9*100,0)</f>
        <v>94.8717948717949</v>
      </c>
      <c r="DL12" s="1" t="n">
        <f aca="false">DL$7*EXP(-$AM12/DL$8)</f>
        <v>81.2181189115788</v>
      </c>
      <c r="DM12" s="1" t="n">
        <f aca="false">(DJ12-DL12)^2</f>
        <v>0.0370477365750758</v>
      </c>
      <c r="DN12" s="1" t="n">
        <f aca="false">MAX(DN11-BR12/BR$9*100,0)</f>
        <v>93.4673366834171</v>
      </c>
      <c r="DO12" s="1" t="n">
        <f aca="false">MAX(DO11-BS12/BS$9*100,0)</f>
        <v>98.4924623115578</v>
      </c>
      <c r="DP12" s="1" t="n">
        <f aca="false">DP$7*EXP(-$AM12/DP$8)</f>
        <v>91.9031151311694</v>
      </c>
      <c r="DQ12" s="1" t="n">
        <f aca="false">(DN12-DP12)^2</f>
        <v>2.44678906451616</v>
      </c>
      <c r="DS12" s="1" t="n">
        <f aca="false">$AM12</f>
        <v>1</v>
      </c>
      <c r="DT12" s="1" t="n">
        <f aca="false">CA12</f>
        <v>63.4285714285714</v>
      </c>
      <c r="DU12" s="1" t="n">
        <f aca="false">DU$7*EXP(-DS12/DU$8)</f>
        <v>58.1381669110058</v>
      </c>
      <c r="DV12" s="1" t="n">
        <f aca="false">(DT12-DU12)^2</f>
        <v>27.9883799594789</v>
      </c>
      <c r="DX12" s="1" t="n">
        <f aca="false">$AM12</f>
        <v>1</v>
      </c>
      <c r="DY12" s="1" t="n">
        <f aca="false">CM12</f>
        <v>80.7106598984772</v>
      </c>
      <c r="DZ12" s="1" t="n">
        <f aca="false">DZ$7*EXP(-DX12/DZ$8)</f>
        <v>90.0889287961451</v>
      </c>
      <c r="EA12" s="1" t="n">
        <f aca="false">(DY12-DZ12)^2</f>
        <v>87.9519275169658</v>
      </c>
      <c r="EC12" s="1" t="n">
        <f aca="false">$AM12</f>
        <v>1</v>
      </c>
      <c r="ED12" s="1" t="n">
        <f aca="false">CV12</f>
        <v>87.4371859296482</v>
      </c>
      <c r="EE12" s="1" t="n">
        <f aca="false">EE$7*EXP(-EC12/EE$8)</f>
        <v>91.7571887068593</v>
      </c>
      <c r="EF12" s="1" t="n">
        <f aca="false">(ED12-EE12)^2</f>
        <v>18.6624239951113</v>
      </c>
      <c r="EH12" s="1" t="n">
        <f aca="false">$AM12</f>
        <v>1</v>
      </c>
      <c r="EI12" s="1" t="n">
        <f aca="false">DE12</f>
        <v>92.9936305732484</v>
      </c>
      <c r="EJ12" s="1" t="n">
        <f aca="false">EJ$7*EXP(-EH12/EJ$8)</f>
        <v>93.4560939685686</v>
      </c>
      <c r="EK12" s="1" t="n">
        <f aca="false">(EI12-EJ12)^2</f>
        <v>0.213872392011074</v>
      </c>
      <c r="EM12" s="1" t="n">
        <f aca="false">AM12</f>
        <v>1</v>
      </c>
      <c r="EN12" s="1" t="n">
        <f aca="false">DN12</f>
        <v>93.4673366834171</v>
      </c>
      <c r="EO12" s="1" t="n">
        <f aca="false">EO$7*EXP(-EM12/EO$8)</f>
        <v>91.2423487874402</v>
      </c>
      <c r="EP12" s="1" t="n">
        <f aca="false">(EN12-EO12)^2</f>
        <v>4.95057113724363</v>
      </c>
      <c r="ER12" s="1" t="n">
        <f aca="false">$AM12</f>
        <v>1</v>
      </c>
      <c r="ES12" s="1" t="n">
        <f aca="false">BZ12</f>
        <v>59.4285714285714</v>
      </c>
      <c r="ET12" s="1" t="n">
        <f aca="false">ET$7*EXP(-ER12/ET$8)</f>
        <v>55.6459869251245</v>
      </c>
      <c r="EU12" s="1" t="n">
        <f aca="false">(ES12-ET12)^2</f>
        <v>14.3079455257169</v>
      </c>
      <c r="EW12" s="1" t="n">
        <f aca="false">$AM12</f>
        <v>1</v>
      </c>
      <c r="EX12" s="1" t="n">
        <f aca="false">CI12</f>
        <v>76.4705882352941</v>
      </c>
      <c r="EY12" s="1" t="n">
        <f aca="false">EY$7*EXP(-EW12/EY$8)</f>
        <v>81.6430839032748</v>
      </c>
      <c r="EZ12" s="1" t="n">
        <f aca="false">(EX12-EY12)^2</f>
        <v>26.7547114352789</v>
      </c>
      <c r="FB12" s="1" t="n">
        <f aca="false">$AM12</f>
        <v>1</v>
      </c>
      <c r="FC12" s="1" t="n">
        <f aca="false">CR12</f>
        <v>67.9245283018868</v>
      </c>
      <c r="FD12" s="1" t="n">
        <f aca="false">FD$7*EXP(-FB12/FD$8)</f>
        <v>68.6761926155841</v>
      </c>
      <c r="FE12" s="1" t="n">
        <f aca="false">(FC12-FD12)^2</f>
        <v>0.56499924048604</v>
      </c>
      <c r="FG12" s="1" t="n">
        <f aca="false">$AM12</f>
        <v>1</v>
      </c>
      <c r="FH12" s="1" t="n">
        <f aca="false">DA12</f>
        <v>81.5068493150685</v>
      </c>
      <c r="FI12" s="1" t="n">
        <f aca="false">FI$7*EXP(-FG12/FI$8)</f>
        <v>81.3939049728374</v>
      </c>
      <c r="FJ12" s="1" t="n">
        <f aca="false">(FH12-FI12)^2</f>
        <v>0.0127564244420132</v>
      </c>
      <c r="FL12" s="1" t="n">
        <f aca="false">EM12</f>
        <v>1</v>
      </c>
      <c r="FM12" s="1" t="n">
        <f aca="false">DJ12</f>
        <v>81.025641025641</v>
      </c>
      <c r="FN12" s="1" t="n">
        <f aca="false">FN$7*EXP(-FL12/FN$8)</f>
        <v>87.2809102355406</v>
      </c>
      <c r="FO12" s="1" t="n">
        <f aca="false">(FM12-FN12)^2</f>
        <v>39.1283928883177</v>
      </c>
      <c r="FQ12" s="1" t="n">
        <f aca="false">AM12</f>
        <v>1</v>
      </c>
      <c r="FR12" s="1" t="n">
        <f aca="false">AN12/AN$9*100</f>
        <v>48.6956521739131</v>
      </c>
      <c r="FS12" s="1" t="n">
        <f aca="false">AO12/AO$9*100</f>
        <v>48.6956521739131</v>
      </c>
      <c r="FT12" s="1" t="n">
        <f aca="false">AQ12/AQ$9*100</f>
        <v>40.5714285714286</v>
      </c>
      <c r="FU12" s="1" t="n">
        <f aca="false">AR12/AR$9*100</f>
        <v>36.5714285714286</v>
      </c>
      <c r="FV12" s="1" t="n">
        <f aca="false">AT12/AT$9*100</f>
        <v>38.961038961039</v>
      </c>
      <c r="FW12" s="1" t="n">
        <f aca="false">AU12/AU$9*100</f>
        <v>34.1991341991342</v>
      </c>
      <c r="FX12" s="1" t="n">
        <f aca="false">AW12/AW$9*100</f>
        <v>23.5294117647059</v>
      </c>
      <c r="FY12" s="1" t="n">
        <f aca="false">AX12/AX$9*100</f>
        <v>15.4411764705882</v>
      </c>
      <c r="FZ12" s="1" t="n">
        <f aca="false">AZ12/AZ$9*100</f>
        <v>19.2893401015228</v>
      </c>
      <c r="GA12" s="1" t="n">
        <f aca="false">BA12/BA$9*100</f>
        <v>9.13705583756345</v>
      </c>
      <c r="GB12" s="1" t="n">
        <f aca="false">BC12/BC$9*100</f>
        <v>32.0754716981132</v>
      </c>
      <c r="GC12" s="1" t="n">
        <f aca="false">BD12/BD$9*100</f>
        <v>15.0943396226415</v>
      </c>
      <c r="GD12" s="1" t="n">
        <f aca="false">BF12/BF$9*100</f>
        <v>12.0603015075377</v>
      </c>
      <c r="GE12" s="1" t="n">
        <f aca="false">BG12/BG$9*100</f>
        <v>5.0251256281407</v>
      </c>
      <c r="GF12" s="1" t="n">
        <f aca="false">BI12/BI$9*100</f>
        <v>18.4931506849315</v>
      </c>
      <c r="GG12" s="1" t="n">
        <f aca="false">BJ12/BJ$9*100</f>
        <v>7.53424657534247</v>
      </c>
      <c r="GH12" s="1" t="n">
        <f aca="false">BL12/BL$9*100</f>
        <v>7.00636942675159</v>
      </c>
      <c r="GI12" s="1" t="n">
        <f aca="false">BM12/BM$9*100</f>
        <v>1.91082802547771</v>
      </c>
      <c r="GJ12" s="1" t="n">
        <f aca="false">BO12/BO$9*100</f>
        <v>18.974358974359</v>
      </c>
      <c r="GK12" s="1" t="n">
        <f aca="false">BP12/BP$9*100</f>
        <v>5.12820512820513</v>
      </c>
      <c r="GL12" s="1" t="n">
        <f aca="false">BR12/BR$9*100</f>
        <v>6.53266331658292</v>
      </c>
      <c r="GM12" s="1" t="n">
        <f aca="false">BS12/BS$9*100</f>
        <v>1.50753768844221</v>
      </c>
      <c r="GO12" s="1" t="n">
        <f aca="false">$AM12</f>
        <v>1</v>
      </c>
      <c r="GP12" s="1" t="n">
        <f aca="false">FT12</f>
        <v>40.5714285714286</v>
      </c>
      <c r="GQ12" s="1" t="n">
        <f aca="false">GQ$6*(1+GQ$5*(-1)^$FQ12)*EXP(-$FQ12/GQ$4)</f>
        <v>32.9259498061934</v>
      </c>
      <c r="GR12" s="1" t="n">
        <f aca="false">(GP12-GQ12)^2</f>
        <v>58.4533455496619</v>
      </c>
      <c r="GS12" s="1" t="n">
        <f aca="false">EXP($FQ12/$JG$4)*GP12</f>
        <v>51.2496582097883</v>
      </c>
      <c r="GT12" s="1" t="n">
        <f aca="false">EXP($FQ12/$JG$4)*(-1)^$FQ12*GP12</f>
        <v>-51.2496582097883</v>
      </c>
      <c r="GU12" s="1" t="n">
        <f aca="false">(-1)^GO12*GP12</f>
        <v>-40.5714285714286</v>
      </c>
      <c r="GW12" s="1" t="n">
        <f aca="false">$AM12</f>
        <v>1</v>
      </c>
      <c r="GX12" s="1" t="n">
        <f aca="false">FX12</f>
        <v>23.5294117647059</v>
      </c>
      <c r="GY12" s="1" t="n">
        <f aca="false">GY$6*(1+GY$5*(-1)^$FQ12)*EXP(-$FQ12/GY$4)</f>
        <v>32.9259498061934</v>
      </c>
      <c r="GZ12" s="1" t="n">
        <f aca="false">(GX12-GY12)^2</f>
        <v>88.2949271651221</v>
      </c>
      <c r="HA12" s="1" t="n">
        <f aca="false">EXP($FQ12/$JG$4)*GX12</f>
        <v>29.7222541398938</v>
      </c>
      <c r="HB12" s="1" t="n">
        <f aca="false">EXP($FQ12/$JG$4)*(-1)^$FQ12*GX12</f>
        <v>-29.7222541398938</v>
      </c>
      <c r="HC12" s="1" t="n">
        <f aca="false">(-1)^GW12*GX12</f>
        <v>-23.5294117647059</v>
      </c>
      <c r="HE12" s="1" t="n">
        <f aca="false">$AM12</f>
        <v>1</v>
      </c>
      <c r="HF12" s="1" t="n">
        <f aca="false">GB12</f>
        <v>32.0754716981132</v>
      </c>
      <c r="HG12" s="1" t="n">
        <f aca="false">HG$6*(1+HG$5*(-1)^$FQ12)*EXP(-$FQ12/HG$4)</f>
        <v>32.9259498061934</v>
      </c>
      <c r="HH12" s="1" t="n">
        <f aca="false">(HF12-HG12)^2</f>
        <v>0.72331301232367</v>
      </c>
      <c r="HI12" s="1" t="n">
        <f aca="false">EXP($FQ12/$JG$4)*HF12</f>
        <v>40.5176011624024</v>
      </c>
      <c r="HJ12" s="1" t="n">
        <f aca="false">EXP($FQ12/$JG$4)*(-1)^$FQ12*HF12</f>
        <v>-40.5176011624024</v>
      </c>
      <c r="HK12" s="1" t="n">
        <f aca="false">(-1)^HE12*HF12</f>
        <v>-32.0754716981132</v>
      </c>
      <c r="HM12" s="1" t="n">
        <f aca="false">$AM12</f>
        <v>1</v>
      </c>
      <c r="HN12" s="1" t="n">
        <f aca="false">GF12</f>
        <v>18.4931506849315</v>
      </c>
      <c r="HO12" s="1" t="n">
        <f aca="false">HO$6*(1+HO$5*(-1)^$FQ12)*EXP(-$FQ12/HO$4)</f>
        <v>19.9273772657736</v>
      </c>
      <c r="HP12" s="1" t="n">
        <f aca="false">(HN12-HO12)^2</f>
        <v>2.057005885194</v>
      </c>
      <c r="HQ12" s="1" t="n">
        <f aca="false">EXP($FQ12/$JG$4)*HN12</f>
        <v>23.3604702914576</v>
      </c>
      <c r="HR12" s="1" t="n">
        <f aca="false">EXP($FQ12/$JG$4)*(-1)^$FQ12*HN12</f>
        <v>-23.3604702914576</v>
      </c>
      <c r="HS12" s="1" t="n">
        <f aca="false">(-1)^HM12*HN12</f>
        <v>-18.4931506849315</v>
      </c>
      <c r="HU12" s="1" t="n">
        <f aca="false">$AM12</f>
        <v>1</v>
      </c>
      <c r="HV12" s="1" t="n">
        <f aca="false">GJ12</f>
        <v>18.974358974359</v>
      </c>
      <c r="HW12" s="1" t="n">
        <f aca="false">HW$6*(1+HW$5*(-1)^$FQ12)*EXP(-$FQ12/HW$4)</f>
        <v>20.0615589490008</v>
      </c>
      <c r="HX12" s="1" t="n">
        <f aca="false">(HV12-HW12)^2</f>
        <v>1.18200378486119</v>
      </c>
      <c r="HY12" s="1" t="n">
        <f aca="false">EXP($FQ12/$JG$4)*HV12</f>
        <v>23.9683305820425</v>
      </c>
      <c r="HZ12" s="1" t="n">
        <f aca="false">EXP($FQ12/$JG$4)*(-1)^$FQ12*HV12</f>
        <v>-23.9683305820425</v>
      </c>
      <c r="IA12" s="1" t="n">
        <f aca="false">(-1)^HU12*HV12</f>
        <v>-18.974358974359</v>
      </c>
      <c r="IB12" s="1" t="n">
        <v>46.099695</v>
      </c>
      <c r="ID12" s="1" t="n">
        <f aca="false">$AM12</f>
        <v>1</v>
      </c>
      <c r="IE12" s="1" t="n">
        <f aca="false">FZ12</f>
        <v>19.2893401015228</v>
      </c>
      <c r="IF12" s="1" t="n">
        <f aca="false">IF$6*(1+IF$5*(-1)^$FQ12)*EXP(-$FQ12/IF$4)</f>
        <v>20.3513358424512</v>
      </c>
      <c r="IG12" s="1" t="n">
        <f aca="false">(IE12-IF12)^2</f>
        <v>1.12783495374997</v>
      </c>
      <c r="IH12" s="1" t="n">
        <f aca="false">EXP($FQ12/$JG$4)*IE12</f>
        <v>24.366213419253</v>
      </c>
      <c r="II12" s="1" t="n">
        <f aca="false">EXP($FQ12/$JG$4)*(-1)^$FQ12*IE12</f>
        <v>-24.366213419253</v>
      </c>
      <c r="IJ12" s="1" t="n">
        <f aca="false">(-1)^ID12*IE12</f>
        <v>-19.2893401015228</v>
      </c>
      <c r="IK12" s="1" t="n">
        <v>32.733654</v>
      </c>
      <c r="IM12" s="1" t="n">
        <f aca="false">$AM12</f>
        <v>1</v>
      </c>
      <c r="IN12" s="1" t="n">
        <f aca="false">GD12</f>
        <v>12.0603015075377</v>
      </c>
      <c r="IO12" s="1" t="n">
        <f aca="false">IO$6*(1+IO$5*(-1)^$FQ12)*EXP(-$FQ12/IO$4)</f>
        <v>16.5244733466942</v>
      </c>
      <c r="IP12" s="1" t="n">
        <f aca="false">(IN12-IO12)^2</f>
        <v>19.928830209518</v>
      </c>
      <c r="IQ12" s="1" t="n">
        <f aca="false">EXP($FQ12/$JG$4)*IN12</f>
        <v>15.2345222224581</v>
      </c>
      <c r="IR12" s="1" t="n">
        <f aca="false">EXP($FQ12/$JG$4)*(-1)^$FQ12*IN12</f>
        <v>-15.2345222224581</v>
      </c>
      <c r="IS12" s="1" t="n">
        <f aca="false">(-1)^IM12*IN12</f>
        <v>-12.0603015075377</v>
      </c>
      <c r="IT12" s="1" t="n">
        <v>31.128394</v>
      </c>
      <c r="IV12" s="1" t="n">
        <f aca="false">$AM12</f>
        <v>1</v>
      </c>
      <c r="IW12" s="1" t="n">
        <f aca="false">GH12</f>
        <v>7.00636942675159</v>
      </c>
      <c r="IX12" s="1" t="n">
        <f aca="false">IX$6*(1+IX$5*(-1)^$FQ12)*EXP(-$FQ12/IX$4)</f>
        <v>7.60281770201747</v>
      </c>
      <c r="IY12" s="1" t="n">
        <f aca="false">(IW12-IX12)^2</f>
        <v>0.35575054506764</v>
      </c>
      <c r="IZ12" s="1" t="n">
        <f aca="false">EXP($FQ12/$JG$4)*IW12</f>
        <v>8.85041643974544</v>
      </c>
      <c r="JA12" s="1" t="n">
        <f aca="false">EXP($FQ12/$JG$4)*(-1)^$FQ12*IW12</f>
        <v>-8.85041643974544</v>
      </c>
      <c r="JB12" s="1" t="n">
        <f aca="false">(-1)^IV12*IW12</f>
        <v>-7.00636942675159</v>
      </c>
      <c r="JC12" s="1" t="n">
        <v>25.105008</v>
      </c>
      <c r="JE12" s="1" t="n">
        <f aca="false">$AM12</f>
        <v>1</v>
      </c>
      <c r="JF12" s="1" t="n">
        <f aca="false">GL12</f>
        <v>6.53266331658292</v>
      </c>
      <c r="JG12" s="1" t="n">
        <f aca="false">JG$6*(1+JG$5*(-1)^$FQ12)*EXP(-$FQ12/JG$4)</f>
        <v>6.03752646374355</v>
      </c>
      <c r="JH12" s="1" t="n">
        <f aca="false">(JF12-JG12)^2</f>
        <v>0.245160503039671</v>
      </c>
      <c r="JI12" s="1" t="n">
        <f aca="false">EXP($FQ12/$JG$4)*JF12</f>
        <v>8.25203287049814</v>
      </c>
      <c r="JJ12" s="1" t="n">
        <f aca="false">EXP($FQ12/$JG$4)*(-1)^$FQ12*JF12</f>
        <v>-8.25203287049814</v>
      </c>
      <c r="JK12" s="1" t="n">
        <f aca="false">(-1)^JE12*JF12</f>
        <v>-6.53266331658292</v>
      </c>
      <c r="JL12" s="1" t="n">
        <v>29.19511</v>
      </c>
      <c r="JO12" s="1" t="n">
        <f aca="false">$AM12</f>
        <v>1</v>
      </c>
      <c r="JP12" s="1" t="n">
        <f aca="false">GM12</f>
        <v>1.50753768844221</v>
      </c>
      <c r="JQ12" s="1" t="n">
        <f aca="false">JQ$6*(1+JQ$5*(-1)^$FQ12)*EXP(-$FQ12/JQ$4)</f>
        <v>2.52902986358905</v>
      </c>
      <c r="JR12" s="1" t="n">
        <f aca="false">(JP12-JQ12)^2</f>
        <v>1.04344626388622</v>
      </c>
      <c r="JS12" s="1" t="n">
        <f aca="false">EXP($FQ12/$JG$4)*JP12</f>
        <v>1.90431527780726</v>
      </c>
      <c r="JT12" s="1" t="n">
        <f aca="false">EXP($FQ12/$JG$4)*(-1)^$FQ12*JP12</f>
        <v>-1.90431527780726</v>
      </c>
      <c r="JU12" s="1" t="n">
        <f aca="false">(-1)^JO12*JP12</f>
        <v>-1.50753768844221</v>
      </c>
    </row>
    <row r="13" customFormat="false" ht="16" hidden="false" customHeight="false" outlineLevel="0" collapsed="false">
      <c r="A13" s="1" t="n">
        <v>1</v>
      </c>
      <c r="B13" s="1" t="n">
        <v>1</v>
      </c>
      <c r="C13" s="1" t="n">
        <f aca="false">B13-A13</f>
        <v>0</v>
      </c>
      <c r="D13" s="1" t="n">
        <v>1</v>
      </c>
      <c r="E13" s="1" t="n">
        <v>1</v>
      </c>
      <c r="F13" s="1" t="n">
        <f aca="false">E13-D13</f>
        <v>0</v>
      </c>
      <c r="G13" s="1" t="n">
        <v>1</v>
      </c>
      <c r="H13" s="1" t="n">
        <v>1</v>
      </c>
      <c r="I13" s="1" t="n">
        <f aca="false">H13-G13</f>
        <v>0</v>
      </c>
      <c r="J13" s="1" t="n">
        <v>3</v>
      </c>
      <c r="K13" s="1" t="n">
        <v>5</v>
      </c>
      <c r="L13" s="1" t="n">
        <f aca="false">K13-J13</f>
        <v>2</v>
      </c>
      <c r="M13" s="1" t="n">
        <v>1</v>
      </c>
      <c r="N13" s="1" t="n">
        <v>1</v>
      </c>
      <c r="O13" s="1" t="n">
        <f aca="false">N13-M13</f>
        <v>0</v>
      </c>
      <c r="P13" s="1" t="n">
        <v>2</v>
      </c>
      <c r="Q13" s="1" t="n">
        <v>2</v>
      </c>
      <c r="R13" s="1" t="n">
        <f aca="false">Q13-P13</f>
        <v>0</v>
      </c>
      <c r="S13" s="1" t="n">
        <v>2</v>
      </c>
      <c r="T13" s="1" t="n">
        <v>2</v>
      </c>
      <c r="U13" s="1" t="n">
        <f aca="false">T13-S13</f>
        <v>0</v>
      </c>
      <c r="V13" s="1" t="n">
        <v>4</v>
      </c>
      <c r="W13" s="1" t="n">
        <v>8</v>
      </c>
      <c r="X13" s="1" t="n">
        <f aca="false">W13-V13</f>
        <v>4</v>
      </c>
      <c r="Y13" s="1" t="n">
        <v>4</v>
      </c>
      <c r="Z13" s="1" t="n">
        <v>8</v>
      </c>
      <c r="AA13" s="1" t="n">
        <f aca="false">Z13-Y13</f>
        <v>4</v>
      </c>
      <c r="AB13" s="1" t="n">
        <v>2</v>
      </c>
      <c r="AC13" s="1" t="n">
        <v>2</v>
      </c>
      <c r="AD13" s="1" t="n">
        <f aca="false">AC13-AB13</f>
        <v>0</v>
      </c>
      <c r="AE13" s="1" t="n">
        <v>6</v>
      </c>
      <c r="AF13" s="1" t="n">
        <v>10</v>
      </c>
      <c r="AG13" s="1" t="n">
        <f aca="false">AF13-AE13</f>
        <v>4</v>
      </c>
      <c r="AI13" s="1" t="s">
        <v>48</v>
      </c>
      <c r="AJ13" s="1" t="n">
        <f aca="false">COUNTIFS(H$2:H$1000,2,G$2:G$1000,1)</f>
        <v>11</v>
      </c>
      <c r="AM13" s="1" t="n">
        <v>2</v>
      </c>
      <c r="AN13" s="1" t="n">
        <v>57</v>
      </c>
      <c r="AO13" s="1" t="n">
        <v>57</v>
      </c>
      <c r="AP13" s="1" t="n">
        <v>0</v>
      </c>
      <c r="AQ13" s="1" t="n">
        <v>83</v>
      </c>
      <c r="AR13" s="1" t="n">
        <v>84</v>
      </c>
      <c r="AS13" s="1" t="n">
        <v>5</v>
      </c>
      <c r="AT13" s="1" t="n">
        <v>105</v>
      </c>
      <c r="AU13" s="1" t="n">
        <v>104</v>
      </c>
      <c r="AV13" s="1" t="n">
        <v>1</v>
      </c>
      <c r="AW13" s="1" t="n">
        <v>64</v>
      </c>
      <c r="AX13" s="1" t="n">
        <v>55</v>
      </c>
      <c r="AY13" s="1" t="n">
        <v>21</v>
      </c>
      <c r="AZ13" s="1" t="n">
        <v>52</v>
      </c>
      <c r="BA13" s="1" t="n">
        <v>47</v>
      </c>
      <c r="BB13" s="1" t="n">
        <v>30</v>
      </c>
      <c r="BC13" s="1" t="n">
        <v>66</v>
      </c>
      <c r="BD13" s="1" t="n">
        <v>51</v>
      </c>
      <c r="BE13" s="1" t="n">
        <v>42</v>
      </c>
      <c r="BF13" s="1" t="n">
        <v>53</v>
      </c>
      <c r="BG13" s="1" t="n">
        <v>27</v>
      </c>
      <c r="BH13" s="1" t="n">
        <v>43</v>
      </c>
      <c r="BI13" s="1" t="n">
        <v>73</v>
      </c>
      <c r="BJ13" s="1" t="n">
        <v>39</v>
      </c>
      <c r="BK13" s="1" t="n">
        <v>40</v>
      </c>
      <c r="BL13" s="1" t="n">
        <v>35</v>
      </c>
      <c r="BM13" s="1" t="n">
        <v>8</v>
      </c>
      <c r="BN13" s="1" t="n">
        <v>21</v>
      </c>
      <c r="BO13" s="1" t="n">
        <v>76</v>
      </c>
      <c r="BP13" s="1" t="n">
        <v>23</v>
      </c>
      <c r="BQ13" s="1" t="n">
        <v>71</v>
      </c>
      <c r="BR13" s="1" t="n">
        <v>59</v>
      </c>
      <c r="BS13" s="1" t="n">
        <v>17</v>
      </c>
      <c r="BT13" s="1" t="n">
        <v>30</v>
      </c>
      <c r="BW13" s="1" t="n">
        <f aca="false">$AM13</f>
        <v>2</v>
      </c>
      <c r="BX13" s="1" t="n">
        <f aca="false">MAX(BX12-AN13/AN$9*100,0)</f>
        <v>1.7391304347826</v>
      </c>
      <c r="BY13" s="1" t="n">
        <f aca="false">MAX(BY12-AO13/AO$9*100,0)</f>
        <v>1.7391304347826</v>
      </c>
      <c r="BZ13" s="1" t="n">
        <f aca="false">MAX(BZ12-AQ13/AQ$9*100,0)</f>
        <v>12</v>
      </c>
      <c r="CA13" s="1" t="n">
        <f aca="false">MAX(CA12-AR13/AR$9*100,0)</f>
        <v>15.4285714285714</v>
      </c>
      <c r="CB13" s="1" t="n">
        <f aca="false">CB$7*EXP(-$AM13/CB$8)</f>
        <v>15.5635501981825</v>
      </c>
      <c r="CC13" s="1" t="n">
        <f aca="false">(BZ13-CB13)^2</f>
        <v>12.6988900149665</v>
      </c>
      <c r="CD13" s="1" t="n">
        <f aca="false">MAX(CD12-AT13/AT$9*100,0)</f>
        <v>15.1515151515151</v>
      </c>
      <c r="CE13" s="1" t="n">
        <f aca="false">MAX(CE12-AU13/AU$9*100,0)</f>
        <v>20.7792207792208</v>
      </c>
      <c r="CF13" s="1" t="n">
        <f aca="false">CF$7*EXP(-$AM13/CF$8)</f>
        <v>16.6213611160169</v>
      </c>
      <c r="CG13" s="1" t="n">
        <f aca="false">(CD13-CF13)^2</f>
        <v>2.1604471593621</v>
      </c>
      <c r="CH13" s="1" t="n">
        <f aca="false">$AM13</f>
        <v>2</v>
      </c>
      <c r="CI13" s="1" t="n">
        <f aca="false">MAX(CI12-AW13/AW$9*100,0)</f>
        <v>29.4117647058824</v>
      </c>
      <c r="CJ13" s="1" t="n">
        <f aca="false">MAX(CJ12-AX13/AX$9*100,0)</f>
        <v>44.1176470588235</v>
      </c>
      <c r="CK13" s="1" t="n">
        <f aca="false">CK$7*EXP(-$AM13/CK$8)</f>
        <v>32.2133782829474</v>
      </c>
      <c r="CL13" s="1" t="n">
        <f aca="false">(CI13-CK13)^2</f>
        <v>7.84903863519521</v>
      </c>
      <c r="CM13" s="1" t="n">
        <f aca="false">MAX(CM12-AZ13/AZ$9*100,0)</f>
        <v>54.3147208121827</v>
      </c>
      <c r="CN13" s="1" t="n">
        <f aca="false">MAX(CN12-BA13/BA$9*100,0)</f>
        <v>67.005076142132</v>
      </c>
      <c r="CO13" s="1" t="n">
        <f aca="false">CO$7*EXP(-$AM13/CO$8)</f>
        <v>50.8464682946467</v>
      </c>
      <c r="CP13" s="1" t="n">
        <f aca="false">(CM13-CO13)^2</f>
        <v>12.0287755253951</v>
      </c>
      <c r="CQ13" s="1" t="n">
        <f aca="false">$AM13</f>
        <v>2</v>
      </c>
      <c r="CR13" s="1" t="n">
        <f aca="false">MAX(CR12-BC13/BC$9*100,0)</f>
        <v>26.4150943396226</v>
      </c>
      <c r="CS13" s="1" t="n">
        <f aca="false">MAX(CS12-BD13/BD$9*100,0)</f>
        <v>52.8301886792453</v>
      </c>
      <c r="CT13" s="1" t="n">
        <f aca="false">CT$7*EXP(-$AM13/CT$8)</f>
        <v>30.4361010129346</v>
      </c>
      <c r="CU13" s="1" t="n">
        <f aca="false">(CR13-CT13)^2</f>
        <v>16.1684946668193</v>
      </c>
      <c r="CV13" s="1" t="n">
        <f aca="false">MAX(CV12-BF13/BF$9*100,0)</f>
        <v>60.8040201005025</v>
      </c>
      <c r="CW13" s="1" t="n">
        <f aca="false">MAX(CW12-BG13/BG$9*100,0)</f>
        <v>81.4070351758794</v>
      </c>
      <c r="CX13" s="1" t="n">
        <f aca="false">CX$7*EXP(-$AM13/CX$8)</f>
        <v>58.9887010233252</v>
      </c>
      <c r="CY13" s="1" t="n">
        <f aca="false">(CV13-CX13)^2</f>
        <v>3.2953833519639</v>
      </c>
      <c r="CZ13" s="1" t="n">
        <f aca="false">$AM13</f>
        <v>2</v>
      </c>
      <c r="DA13" s="1" t="n">
        <f aca="false">MAX(DA12-BI13/BI$9*100,0)</f>
        <v>31.5068493150685</v>
      </c>
      <c r="DB13" s="1" t="n">
        <f aca="false">MAX(DB12-BJ13/BJ$9*100,0)</f>
        <v>65.7534246575343</v>
      </c>
      <c r="DC13" s="1" t="n">
        <f aca="false">DC$7*EXP(-$AM13/DC$8)</f>
        <v>37.1632288496574</v>
      </c>
      <c r="DD13" s="1" t="n">
        <f aca="false">(DA13-DC13)^2</f>
        <v>31.9946294393162</v>
      </c>
      <c r="DE13" s="1" t="n">
        <f aca="false">MAX(DE12-BL13/BL$9*100,0)</f>
        <v>70.7006369426752</v>
      </c>
      <c r="DF13" s="1" t="n">
        <f aca="false">MAX(DF12-BM13/BM$9*100,0)</f>
        <v>92.9936305732484</v>
      </c>
      <c r="DG13" s="1" t="n">
        <f aca="false">DG$7*EXP(-$AM13/DG$8)</f>
        <v>73.0869444953723</v>
      </c>
      <c r="DH13" s="1" t="n">
        <f aca="false">(DE13-DG13)^2</f>
        <v>5.69446373605938</v>
      </c>
      <c r="DI13" s="1" t="n">
        <f aca="false">$AM13</f>
        <v>2</v>
      </c>
      <c r="DJ13" s="1" t="n">
        <f aca="false">MAX(DJ12-BO13/BO$9*100,0)</f>
        <v>42.051282051282</v>
      </c>
      <c r="DK13" s="1" t="n">
        <f aca="false">MAX(DK12-BP13/BP$9*100,0)</f>
        <v>83.0769230769231</v>
      </c>
      <c r="DL13" s="1" t="n">
        <f aca="false">DL$7*EXP(-$AM13/DL$8)</f>
        <v>43.9758855969024</v>
      </c>
      <c r="DM13" s="1" t="n">
        <f aca="false">(DJ13-DL13)^2</f>
        <v>3.70409880781445</v>
      </c>
      <c r="DN13" s="1" t="n">
        <f aca="false">MAX(DN12-BR13/BR$9*100,0)</f>
        <v>63.8190954773869</v>
      </c>
      <c r="DO13" s="1" t="n">
        <f aca="false">MAX(DO12-BS13/BS$9*100,0)</f>
        <v>89.9497487437186</v>
      </c>
      <c r="DP13" s="1" t="n">
        <f aca="false">DP$7*EXP(-$AM13/DP$8)</f>
        <v>69.2310046787948</v>
      </c>
      <c r="DQ13" s="1" t="n">
        <f aca="false">(DN13-DP13)^2</f>
        <v>29.2887612042831</v>
      </c>
      <c r="DS13" s="1" t="n">
        <f aca="false">$AM13</f>
        <v>2</v>
      </c>
      <c r="DT13" s="1" t="n">
        <f aca="false">CA13</f>
        <v>15.4285714285714</v>
      </c>
      <c r="DU13" s="1" t="n">
        <f aca="false">DU$7*EXP(-DS13/DU$8)</f>
        <v>20.7364812992146</v>
      </c>
      <c r="DV13" s="1" t="n">
        <f aca="false">(DT13-DU13)^2</f>
        <v>28.1739071948712</v>
      </c>
      <c r="DX13" s="1" t="n">
        <f aca="false">$AM13</f>
        <v>2</v>
      </c>
      <c r="DY13" s="1" t="n">
        <f aca="false">CM13</f>
        <v>54.3147208121827</v>
      </c>
      <c r="DZ13" s="1" t="n">
        <f aca="false">DZ$7*EXP(-DX13/DZ$8)</f>
        <v>51.3671841242842</v>
      </c>
      <c r="EA13" s="1" t="n">
        <f aca="false">(DY13-DZ13)^2</f>
        <v>8.6879725265079</v>
      </c>
      <c r="EC13" s="1" t="n">
        <f aca="false">$AM13</f>
        <v>2</v>
      </c>
      <c r="ED13" s="1" t="n">
        <f aca="false">CV13</f>
        <v>60.8040201005025</v>
      </c>
      <c r="EE13" s="1" t="n">
        <f aca="false">EE$7*EXP(-EC13/EE$8)</f>
        <v>59.2914202773675</v>
      </c>
      <c r="EF13" s="1" t="n">
        <f aca="false">(ED13-EE13)^2</f>
        <v>2.28795822494807</v>
      </c>
      <c r="EH13" s="1" t="n">
        <f aca="false">$AM13</f>
        <v>2</v>
      </c>
      <c r="EI13" s="1" t="n">
        <f aca="false">DE13</f>
        <v>70.7006369426752</v>
      </c>
      <c r="EJ13" s="1" t="n">
        <f aca="false">EJ$7*EXP(-EH13/EJ$8)</f>
        <v>72.783679165516</v>
      </c>
      <c r="EK13" s="1" t="n">
        <f aca="false">(EI13-EJ13)^2</f>
        <v>4.33906490213773</v>
      </c>
      <c r="EM13" s="1" t="n">
        <f aca="false">AM13</f>
        <v>2</v>
      </c>
      <c r="EN13" s="1" t="n">
        <f aca="false">DN13</f>
        <v>63.8190954773869</v>
      </c>
      <c r="EO13" s="1" t="n">
        <f aca="false">EO$7*EXP(-EM13/EO$8)</f>
        <v>69.3763851020741</v>
      </c>
      <c r="EP13" s="1" t="n">
        <f aca="false">(EN13-EO13)^2</f>
        <v>30.8834679726555</v>
      </c>
      <c r="ER13" s="1" t="n">
        <f aca="false">$AM13</f>
        <v>2</v>
      </c>
      <c r="ES13" s="1" t="n">
        <f aca="false">BZ13</f>
        <v>12</v>
      </c>
      <c r="ET13" s="1" t="n">
        <f aca="false">ET$7*EXP(-ER13/ET$8)</f>
        <v>16.9206331195144</v>
      </c>
      <c r="EU13" s="1" t="n">
        <f aca="false">(ES13-ET13)^2</f>
        <v>24.212630296862</v>
      </c>
      <c r="EW13" s="1" t="n">
        <f aca="false">$AM13</f>
        <v>2</v>
      </c>
      <c r="EX13" s="1" t="n">
        <f aca="false">CI13</f>
        <v>29.4117647058824</v>
      </c>
      <c r="EY13" s="1" t="n">
        <f aca="false">EY$7*EXP(-EW13/EY$8)</f>
        <v>27.2065026499477</v>
      </c>
      <c r="EZ13" s="1" t="n">
        <f aca="false">(EX13-EY13)^2</f>
        <v>4.86318073534514</v>
      </c>
      <c r="FB13" s="1" t="n">
        <f aca="false">$AM13</f>
        <v>2</v>
      </c>
      <c r="FC13" s="1" t="n">
        <f aca="false">CR13</f>
        <v>26.4150943396226</v>
      </c>
      <c r="FD13" s="1" t="n">
        <f aca="false">FD$7*EXP(-FB13/FD$8)</f>
        <v>26.4967383829933</v>
      </c>
      <c r="FE13" s="1" t="n">
        <f aca="false">(FC13-FD13)^2</f>
        <v>0.00666574981791003</v>
      </c>
      <c r="FG13" s="1" t="n">
        <f aca="false">$AM13</f>
        <v>2</v>
      </c>
      <c r="FH13" s="1" t="n">
        <f aca="false">DA13</f>
        <v>31.5068493150685</v>
      </c>
      <c r="FI13" s="1" t="n">
        <f aca="false">FI$7*EXP(-FG13/FI$8)</f>
        <v>35.6181062727273</v>
      </c>
      <c r="FJ13" s="1" t="n">
        <f aca="false">(FH13-FI13)^2</f>
        <v>16.902433771898</v>
      </c>
      <c r="FL13" s="1" t="n">
        <f aca="false">EM13</f>
        <v>2</v>
      </c>
      <c r="FM13" s="1" t="n">
        <f aca="false">DJ13</f>
        <v>42.051282051282</v>
      </c>
      <c r="FN13" s="1" t="n">
        <f aca="false">FN$7*EXP(-FL13/FN$8)</f>
        <v>44.8115134796736</v>
      </c>
      <c r="FO13" s="1" t="n">
        <f aca="false">(FM13-FN13)^2</f>
        <v>7.61887753828049</v>
      </c>
      <c r="FQ13" s="1" t="n">
        <f aca="false">AM13</f>
        <v>2</v>
      </c>
      <c r="FR13" s="1" t="n">
        <f aca="false">AN13/AN$9*100</f>
        <v>49.5652173913044</v>
      </c>
      <c r="FS13" s="1" t="n">
        <f aca="false">AO13/AO$9*100</f>
        <v>49.5652173913044</v>
      </c>
      <c r="FT13" s="1" t="n">
        <f aca="false">AQ13/AQ$9*100</f>
        <v>47.4285714285714</v>
      </c>
      <c r="FU13" s="1" t="n">
        <f aca="false">AR13/AR$9*100</f>
        <v>48</v>
      </c>
      <c r="FV13" s="1" t="n">
        <f aca="false">AT13/AT$9*100</f>
        <v>45.4545454545455</v>
      </c>
      <c r="FW13" s="1" t="n">
        <f aca="false">AU13/AU$9*100</f>
        <v>45.021645021645</v>
      </c>
      <c r="FX13" s="1" t="n">
        <f aca="false">AW13/AW$9*100</f>
        <v>47.0588235294118</v>
      </c>
      <c r="FY13" s="1" t="n">
        <f aca="false">AX13/AX$9*100</f>
        <v>40.4411764705882</v>
      </c>
      <c r="FZ13" s="1" t="n">
        <f aca="false">AZ13/AZ$9*100</f>
        <v>26.3959390862944</v>
      </c>
      <c r="GA13" s="1" t="n">
        <f aca="false">BA13/BA$9*100</f>
        <v>23.8578680203046</v>
      </c>
      <c r="GB13" s="1" t="n">
        <f aca="false">BC13/BC$9*100</f>
        <v>41.5094339622642</v>
      </c>
      <c r="GC13" s="1" t="n">
        <f aca="false">BD13/BD$9*100</f>
        <v>32.0754716981132</v>
      </c>
      <c r="GD13" s="1" t="n">
        <f aca="false">BF13/BF$9*100</f>
        <v>26.6331658291457</v>
      </c>
      <c r="GE13" s="1" t="n">
        <f aca="false">BG13/BG$9*100</f>
        <v>13.5678391959799</v>
      </c>
      <c r="GF13" s="1" t="n">
        <f aca="false">BI13/BI$9*100</f>
        <v>50</v>
      </c>
      <c r="GG13" s="1" t="n">
        <f aca="false">BJ13/BJ$9*100</f>
        <v>26.7123287671233</v>
      </c>
      <c r="GH13" s="1" t="n">
        <f aca="false">BL13/BL$9*100</f>
        <v>22.2929936305733</v>
      </c>
      <c r="GI13" s="1" t="n">
        <f aca="false">BM13/BM$9*100</f>
        <v>5.09554140127389</v>
      </c>
      <c r="GJ13" s="1" t="n">
        <f aca="false">BO13/BO$9*100</f>
        <v>38.974358974359</v>
      </c>
      <c r="GK13" s="1" t="n">
        <f aca="false">BP13/BP$9*100</f>
        <v>11.7948717948718</v>
      </c>
      <c r="GL13" s="1" t="n">
        <f aca="false">BR13/BR$9*100</f>
        <v>29.6482412060302</v>
      </c>
      <c r="GM13" s="1" t="n">
        <f aca="false">BS13/BS$9*100</f>
        <v>8.5427135678392</v>
      </c>
      <c r="GO13" s="1" t="n">
        <f aca="false">$AM13</f>
        <v>2</v>
      </c>
      <c r="GP13" s="1" t="n">
        <f aca="false">FT13</f>
        <v>47.4285714285714</v>
      </c>
      <c r="GQ13" s="1" t="n">
        <f aca="false">GQ$6*(1+GQ$5*(-1)^$FQ13)*EXP(-$FQ13/GQ$4)</f>
        <v>45.0965618837812</v>
      </c>
      <c r="GR13" s="1" t="n">
        <f aca="false">(GP13-GQ13)^2</f>
        <v>5.43826851699274</v>
      </c>
      <c r="GS13" s="1" t="n">
        <f aca="false">EXP($FQ13/$JG$4)*GP13</f>
        <v>75.6800465238191</v>
      </c>
      <c r="GT13" s="1" t="n">
        <f aca="false">EXP($FQ13/$JG$4)*(-1)^$FQ13*GP13</f>
        <v>75.6800465238191</v>
      </c>
      <c r="GU13" s="1" t="n">
        <f aca="false">(-1)^GO13*GP13</f>
        <v>47.4285714285714</v>
      </c>
      <c r="GW13" s="1" t="n">
        <f aca="false">$AM13</f>
        <v>2</v>
      </c>
      <c r="GX13" s="1" t="n">
        <f aca="false">FX13</f>
        <v>47.0588235294118</v>
      </c>
      <c r="GY13" s="1" t="n">
        <f aca="false">GY$6*(1+GY$5*(-1)^$FQ13)*EXP(-$FQ13/GY$4)</f>
        <v>45.0965618837812</v>
      </c>
      <c r="GZ13" s="1" t="n">
        <f aca="false">(GX13-GY13)^2</f>
        <v>3.85047076591276</v>
      </c>
      <c r="HA13" s="1" t="n">
        <f aca="false">EXP($FQ13/$JG$4)*GX13</f>
        <v>75.0900532482967</v>
      </c>
      <c r="HB13" s="1" t="n">
        <f aca="false">EXP($FQ13/$JG$4)*(-1)^$FQ13*GX13</f>
        <v>75.0900532482967</v>
      </c>
      <c r="HC13" s="1" t="n">
        <f aca="false">(-1)^GW13*GX13</f>
        <v>47.0588235294118</v>
      </c>
      <c r="HE13" s="1" t="n">
        <f aca="false">$AM13</f>
        <v>2</v>
      </c>
      <c r="HF13" s="1" t="n">
        <f aca="false">GB13</f>
        <v>41.5094339622642</v>
      </c>
      <c r="HG13" s="1" t="n">
        <f aca="false">HG$6*(1+HG$5*(-1)^$FQ13)*EXP(-$FQ13/HG$4)</f>
        <v>45.0965618837812</v>
      </c>
      <c r="HH13" s="1" t="n">
        <f aca="false">(HF13-HG13)^2</f>
        <v>12.8674867253272</v>
      </c>
      <c r="HI13" s="1" t="n">
        <f aca="false">EXP($FQ13/$JG$4)*HF13</f>
        <v>66.2350941388278</v>
      </c>
      <c r="HJ13" s="1" t="n">
        <f aca="false">EXP($FQ13/$JG$4)*(-1)^$FQ13*HF13</f>
        <v>66.2350941388278</v>
      </c>
      <c r="HK13" s="1" t="n">
        <f aca="false">(-1)^HE13*HF13</f>
        <v>41.5094339622642</v>
      </c>
      <c r="HM13" s="1" t="n">
        <f aca="false">$AM13</f>
        <v>2</v>
      </c>
      <c r="HN13" s="1" t="n">
        <f aca="false">GF13</f>
        <v>50</v>
      </c>
      <c r="HO13" s="1" t="n">
        <f aca="false">HO$6*(1+HO$5*(-1)^$FQ13)*EXP(-$FQ13/HO$4)</f>
        <v>49.8809727497825</v>
      </c>
      <c r="HP13" s="1" t="n">
        <f aca="false">(HN13-HO13)^2</f>
        <v>0.0141674862943392</v>
      </c>
      <c r="HQ13" s="1" t="n">
        <f aca="false">EXP($FQ13/$JG$4)*HN13</f>
        <v>79.7831815763153</v>
      </c>
      <c r="HR13" s="1" t="n">
        <f aca="false">EXP($FQ13/$JG$4)*(-1)^$FQ13*HN13</f>
        <v>79.7831815763153</v>
      </c>
      <c r="HS13" s="1" t="n">
        <f aca="false">(-1)^HM13*HN13</f>
        <v>50</v>
      </c>
      <c r="HU13" s="1" t="n">
        <f aca="false">$AM13</f>
        <v>2</v>
      </c>
      <c r="HV13" s="1" t="n">
        <f aca="false">GJ13</f>
        <v>38.974358974359</v>
      </c>
      <c r="HW13" s="1" t="n">
        <f aca="false">HW$6*(1+HW$5*(-1)^$FQ13)*EXP(-$FQ13/HW$4)</f>
        <v>38.6651975137833</v>
      </c>
      <c r="HX13" s="1" t="n">
        <f aca="false">(HV13-HW13)^2</f>
        <v>0.0955808087052879</v>
      </c>
      <c r="HY13" s="1" t="n">
        <f aca="false">EXP($FQ13/$JG$4)*HV13</f>
        <v>62.1899671774355</v>
      </c>
      <c r="HZ13" s="1" t="n">
        <f aca="false">EXP($FQ13/$JG$4)*(-1)^$FQ13*HV13</f>
        <v>62.1899671774355</v>
      </c>
      <c r="IA13" s="1" t="n">
        <f aca="false">(-1)^HU13*HV13</f>
        <v>38.974358974359</v>
      </c>
      <c r="IB13" s="1" t="n">
        <v>13.960867</v>
      </c>
      <c r="ID13" s="1" t="n">
        <f aca="false">$AM13</f>
        <v>2</v>
      </c>
      <c r="IE13" s="1" t="n">
        <f aca="false">FZ13</f>
        <v>26.3959390862944</v>
      </c>
      <c r="IF13" s="1" t="n">
        <f aca="false">IF$6*(1+IF$5*(-1)^$FQ13)*EXP(-$FQ13/IF$4)</f>
        <v>28.3069522542896</v>
      </c>
      <c r="IG13" s="1" t="n">
        <f aca="false">(IE13-IF13)^2</f>
        <v>3.65197132825098</v>
      </c>
      <c r="IH13" s="1" t="n">
        <f aca="false">EXP($FQ13/$JG$4)*IE13</f>
        <v>42.1190400199837</v>
      </c>
      <c r="II13" s="1" t="n">
        <f aca="false">EXP($FQ13/$JG$4)*(-1)^$FQ13*IE13</f>
        <v>42.1190400199837</v>
      </c>
      <c r="IJ13" s="1" t="n">
        <f aca="false">(-1)^ID13*IE13</f>
        <v>26.3959390862944</v>
      </c>
      <c r="IK13" s="1" t="n">
        <v>18.186517</v>
      </c>
      <c r="IM13" s="1" t="n">
        <f aca="false">$AM13</f>
        <v>2</v>
      </c>
      <c r="IN13" s="1" t="n">
        <f aca="false">GD13</f>
        <v>26.6331658291457</v>
      </c>
      <c r="IO13" s="1" t="n">
        <f aca="false">IO$6*(1+IO$5*(-1)^$FQ13)*EXP(-$FQ13/IO$4)</f>
        <v>27.0037144525299</v>
      </c>
      <c r="IP13" s="1" t="n">
        <f aca="false">(IN13-IO13)^2</f>
        <v>0.137306282291904</v>
      </c>
      <c r="IQ13" s="1" t="n">
        <f aca="false">EXP($FQ13/$JG$4)*IN13</f>
        <v>42.497574105977</v>
      </c>
      <c r="IR13" s="1" t="n">
        <f aca="false">EXP($FQ13/$JG$4)*(-1)^$FQ13*IN13</f>
        <v>42.497574105977</v>
      </c>
      <c r="IS13" s="1" t="n">
        <f aca="false">(-1)^IM13*IN13</f>
        <v>26.6331658291457</v>
      </c>
      <c r="IT13" s="1" t="n">
        <v>16.151638</v>
      </c>
      <c r="IV13" s="1" t="n">
        <f aca="false">$AM13</f>
        <v>2</v>
      </c>
      <c r="IW13" s="1" t="n">
        <f aca="false">GH13</f>
        <v>22.2929936305733</v>
      </c>
      <c r="IX13" s="1" t="n">
        <f aca="false">IX$6*(1+IX$5*(-1)^$FQ13)*EXP(-$FQ13/IX$4)</f>
        <v>24.325942465644</v>
      </c>
      <c r="IY13" s="1" t="n">
        <f aca="false">(IW13-IX13)^2</f>
        <v>4.13288096601553</v>
      </c>
      <c r="IZ13" s="1" t="n">
        <f aca="false">EXP($FQ13/$JG$4)*IW13</f>
        <v>35.5721191741533</v>
      </c>
      <c r="JA13" s="1" t="n">
        <f aca="false">EXP($FQ13/$JG$4)*(-1)^$FQ13*IW13</f>
        <v>35.5721191741533</v>
      </c>
      <c r="JB13" s="1" t="n">
        <f aca="false">(-1)^IV13*IW13</f>
        <v>22.2929936305733</v>
      </c>
      <c r="JC13" s="1" t="n">
        <v>5.346802</v>
      </c>
      <c r="JE13" s="1" t="n">
        <f aca="false">$AM13</f>
        <v>2</v>
      </c>
      <c r="JF13" s="1" t="n">
        <f aca="false">GL13</f>
        <v>29.6482412060302</v>
      </c>
      <c r="JG13" s="1" t="n">
        <f aca="false">JG$6*(1+JG$5*(-1)^$FQ13)*EXP(-$FQ13/JG$4)</f>
        <v>31.2926238108813</v>
      </c>
      <c r="JH13" s="1" t="n">
        <f aca="false">(JF13-JG13)^2</f>
        <v>2.70399415113705</v>
      </c>
      <c r="JI13" s="1" t="n">
        <f aca="false">EXP($FQ13/$JG$4)*JF13</f>
        <v>47.3086202311819</v>
      </c>
      <c r="JJ13" s="1" t="n">
        <f aca="false">EXP($FQ13/$JG$4)*(-1)^$FQ13*JF13</f>
        <v>47.3086202311819</v>
      </c>
      <c r="JK13" s="1" t="n">
        <f aca="false">(-1)^JE13*JF13</f>
        <v>29.6482412060302</v>
      </c>
      <c r="JL13" s="1" t="n">
        <v>3.455387</v>
      </c>
      <c r="JO13" s="1" t="n">
        <f aca="false">$AM13</f>
        <v>2</v>
      </c>
      <c r="JP13" s="1" t="n">
        <f aca="false">GM13</f>
        <v>8.5427135678392</v>
      </c>
      <c r="JQ13" s="1" t="n">
        <f aca="false">JQ$6*(1+JQ$5*(-1)^$FQ13)*EXP(-$FQ13/JQ$4)</f>
        <v>12.2565912397898</v>
      </c>
      <c r="JR13" s="1" t="n">
        <f aca="false">(JP13-JQ13)^2</f>
        <v>13.7928873622133</v>
      </c>
      <c r="JS13" s="1" t="n">
        <f aca="false">EXP($FQ13/$JG$4)*JP13</f>
        <v>13.6312973547473</v>
      </c>
      <c r="JT13" s="1" t="n">
        <f aca="false">EXP($FQ13/$JG$4)*(-1)^$FQ13*JP13</f>
        <v>13.6312973547473</v>
      </c>
      <c r="JU13" s="1" t="n">
        <f aca="false">(-1)^JO13*JP13</f>
        <v>8.5427135678392</v>
      </c>
    </row>
    <row r="14" customFormat="false" ht="16" hidden="false" customHeight="false" outlineLevel="0" collapsed="false">
      <c r="A14" s="1" t="n">
        <v>1</v>
      </c>
      <c r="B14" s="1" t="n">
        <v>1</v>
      </c>
      <c r="C14" s="1" t="n">
        <f aca="false">B14-A14</f>
        <v>0</v>
      </c>
      <c r="D14" s="1" t="n">
        <v>1</v>
      </c>
      <c r="E14" s="1" t="n">
        <v>1</v>
      </c>
      <c r="F14" s="1" t="n">
        <f aca="false">E14-D14</f>
        <v>0</v>
      </c>
      <c r="G14" s="1" t="n">
        <v>1</v>
      </c>
      <c r="H14" s="1" t="n">
        <v>1</v>
      </c>
      <c r="I14" s="1" t="n">
        <f aca="false">H14-G14</f>
        <v>0</v>
      </c>
      <c r="J14" s="1" t="n">
        <v>4</v>
      </c>
      <c r="K14" s="1" t="n">
        <v>4</v>
      </c>
      <c r="L14" s="1" t="n">
        <f aca="false">K14-J14</f>
        <v>0</v>
      </c>
      <c r="M14" s="1" t="n">
        <v>1</v>
      </c>
      <c r="N14" s="1" t="n">
        <v>1</v>
      </c>
      <c r="O14" s="1" t="n">
        <f aca="false">N14-M14</f>
        <v>0</v>
      </c>
      <c r="P14" s="1" t="n">
        <v>1</v>
      </c>
      <c r="Q14" s="1" t="n">
        <v>2</v>
      </c>
      <c r="R14" s="1" t="n">
        <f aca="false">Q14-P14</f>
        <v>1</v>
      </c>
      <c r="S14" s="1" t="n">
        <v>3</v>
      </c>
      <c r="T14" s="1" t="n">
        <v>7</v>
      </c>
      <c r="U14" s="1" t="n">
        <f aca="false">T14-S14</f>
        <v>4</v>
      </c>
      <c r="V14" s="1" t="n">
        <v>2</v>
      </c>
      <c r="W14" s="1" t="n">
        <v>4</v>
      </c>
      <c r="X14" s="1" t="n">
        <f aca="false">W14-V14</f>
        <v>2</v>
      </c>
      <c r="Y14" s="1" t="n">
        <v>6</v>
      </c>
      <c r="Z14" s="1" t="n">
        <v>10</v>
      </c>
      <c r="AA14" s="1" t="n">
        <f aca="false">Z14-Y14</f>
        <v>4</v>
      </c>
      <c r="AB14" s="1" t="n">
        <v>4</v>
      </c>
      <c r="AC14" s="1" t="n">
        <v>8</v>
      </c>
      <c r="AD14" s="1" t="n">
        <f aca="false">AC14-AB14</f>
        <v>4</v>
      </c>
      <c r="AE14" s="1" t="n">
        <v>8</v>
      </c>
      <c r="AF14" s="1" t="n">
        <v>18</v>
      </c>
      <c r="AG14" s="1" t="n">
        <f aca="false">AF14-AE14</f>
        <v>10</v>
      </c>
      <c r="AI14" s="1" t="s">
        <v>52</v>
      </c>
      <c r="AJ14" s="1" t="n">
        <f aca="false">COUNTIFS(H$2:H$1000,2,G$2:G$1000,0)</f>
        <v>0</v>
      </c>
      <c r="AM14" s="1" t="n">
        <v>3</v>
      </c>
      <c r="AN14" s="1" t="n">
        <v>1</v>
      </c>
      <c r="AO14" s="1" t="n">
        <v>1</v>
      </c>
      <c r="AP14" s="1" t="n">
        <v>0</v>
      </c>
      <c r="AQ14" s="1" t="n">
        <v>16</v>
      </c>
      <c r="AR14" s="1" t="n">
        <v>20</v>
      </c>
      <c r="AS14" s="1" t="n">
        <v>0</v>
      </c>
      <c r="AT14" s="1" t="n">
        <v>27</v>
      </c>
      <c r="AU14" s="1" t="n">
        <v>38</v>
      </c>
      <c r="AV14" s="1" t="n">
        <v>0</v>
      </c>
      <c r="AW14" s="1" t="n">
        <v>12</v>
      </c>
      <c r="AX14" s="1" t="n">
        <v>18</v>
      </c>
      <c r="AY14" s="1" t="n">
        <v>2</v>
      </c>
      <c r="AZ14" s="1" t="n">
        <v>35</v>
      </c>
      <c r="BA14" s="1" t="n">
        <v>37</v>
      </c>
      <c r="BB14" s="1" t="n">
        <v>6</v>
      </c>
      <c r="BC14" s="1" t="n">
        <v>15</v>
      </c>
      <c r="BD14" s="1" t="n">
        <v>24</v>
      </c>
      <c r="BE14" s="1" t="n">
        <v>6</v>
      </c>
      <c r="BF14" s="1" t="n">
        <v>34</v>
      </c>
      <c r="BG14" s="1" t="n">
        <v>14</v>
      </c>
      <c r="BH14" s="1" t="n">
        <v>24</v>
      </c>
      <c r="BI14" s="1" t="n">
        <v>14</v>
      </c>
      <c r="BJ14" s="1" t="n">
        <v>23</v>
      </c>
      <c r="BK14" s="1" t="n">
        <v>13</v>
      </c>
      <c r="BL14" s="1" t="n">
        <v>12</v>
      </c>
      <c r="BM14" s="1" t="n">
        <v>7</v>
      </c>
      <c r="BN14" s="1" t="n">
        <v>15</v>
      </c>
      <c r="BO14" s="1" t="n">
        <v>25</v>
      </c>
      <c r="BP14" s="1" t="n">
        <v>35</v>
      </c>
      <c r="BQ14" s="1" t="n">
        <v>26</v>
      </c>
      <c r="BR14" s="1" t="n">
        <v>9</v>
      </c>
      <c r="BS14" s="1" t="n">
        <v>5</v>
      </c>
      <c r="BT14" s="1" t="n">
        <v>9</v>
      </c>
      <c r="BW14" s="1" t="n">
        <f aca="false">$AM14</f>
        <v>3</v>
      </c>
      <c r="BX14" s="1" t="n">
        <f aca="false">MAX(BX13-AN14/AN$9*100,0)</f>
        <v>0.869565217391298</v>
      </c>
      <c r="BY14" s="1" t="n">
        <f aca="false">MAX(BY13-AO14/AO$9*100,0)</f>
        <v>0.869565217391298</v>
      </c>
      <c r="BZ14" s="1" t="n">
        <f aca="false">MAX(BZ13-AQ14/AQ$9*100,0)</f>
        <v>2.85714285714286</v>
      </c>
      <c r="CA14" s="1" t="n">
        <f aca="false">MAX(CA13-AR14/AR$9*100,0)</f>
        <v>4</v>
      </c>
      <c r="CB14" s="1" t="n">
        <f aca="false">CB$7*EXP(-$AM14/CB$8)</f>
        <v>4.24707434238864</v>
      </c>
      <c r="CC14" s="1" t="n">
        <f aca="false">(BZ14-CB14)^2</f>
        <v>1.93190953367755</v>
      </c>
      <c r="CD14" s="1" t="n">
        <f aca="false">MAX(CD13-AT14/AT$9*100,0)</f>
        <v>3.46320346320345</v>
      </c>
      <c r="CE14" s="1" t="n">
        <f aca="false">MAX(CE13-AU14/AU$9*100,0)</f>
        <v>4.32900432900433</v>
      </c>
      <c r="CF14" s="1" t="n">
        <f aca="false">CF$7*EXP(-$AM14/CF$8)</f>
        <v>4.68734300061943</v>
      </c>
      <c r="CG14" s="1" t="n">
        <f aca="false">(CD14-CF14)^2</f>
        <v>1.498517607065</v>
      </c>
      <c r="CH14" s="1" t="n">
        <f aca="false">$AM14</f>
        <v>3</v>
      </c>
      <c r="CI14" s="1" t="n">
        <f aca="false">MAX(CI13-AW14/AW$9*100,0)</f>
        <v>20.5882352941177</v>
      </c>
      <c r="CJ14" s="1" t="n">
        <f aca="false">MAX(CJ13-AX14/AX$9*100,0)</f>
        <v>30.8823529411765</v>
      </c>
      <c r="CK14" s="1" t="n">
        <f aca="false">CK$7*EXP(-$AM14/CK$8)</f>
        <v>13.7039071580127</v>
      </c>
      <c r="CL14" s="1" t="n">
        <f aca="false">(CI14-CK14)^2</f>
        <v>47.3939738855662</v>
      </c>
      <c r="CM14" s="1" t="n">
        <f aca="false">MAX(CM13-AZ14/AZ$9*100,0)</f>
        <v>36.5482233502538</v>
      </c>
      <c r="CN14" s="1" t="n">
        <f aca="false">MAX(CN13-BA14/BA$9*100,0)</f>
        <v>48.2233502538071</v>
      </c>
      <c r="CO14" s="1" t="n">
        <f aca="false">CO$7*EXP(-$AM14/CO$8)</f>
        <v>31.4387571495862</v>
      </c>
      <c r="CP14" s="1" t="n">
        <f aca="false">(CM14-CO14)^2</f>
        <v>26.1066448557647</v>
      </c>
      <c r="CQ14" s="1" t="n">
        <f aca="false">$AM14</f>
        <v>3</v>
      </c>
      <c r="CR14" s="1" t="n">
        <f aca="false">MAX(CR13-BC14/BC$9*100,0)</f>
        <v>16.9811320754717</v>
      </c>
      <c r="CS14" s="1" t="n">
        <f aca="false">MAX(CS13-BD14/BD$9*100,0)</f>
        <v>37.7358490566038</v>
      </c>
      <c r="CT14" s="1" t="n">
        <f aca="false">CT$7*EXP(-$AM14/CT$8)</f>
        <v>13.8492054446349</v>
      </c>
      <c r="CU14" s="1" t="n">
        <f aca="false">(CR14-CT14)^2</f>
        <v>9.80896442094474</v>
      </c>
      <c r="CV14" s="1" t="n">
        <f aca="false">MAX(CV13-BF14/BF$9*100,0)</f>
        <v>43.7185929648241</v>
      </c>
      <c r="CW14" s="1" t="n">
        <f aca="false">MAX(CW13-BG14/BG$9*100,0)</f>
        <v>74.3718592964824</v>
      </c>
      <c r="CX14" s="1" t="n">
        <f aca="false">CX$7*EXP(-$AM14/CX$8)</f>
        <v>39.0218902446489</v>
      </c>
      <c r="CY14" s="1" t="n">
        <f aca="false">(CV14-CX14)^2</f>
        <v>22.0590164417014</v>
      </c>
      <c r="CZ14" s="1" t="n">
        <f aca="false">$AM14</f>
        <v>3</v>
      </c>
      <c r="DA14" s="1" t="n">
        <f aca="false">MAX(DA13-BI14/BI$9*100,0)</f>
        <v>21.9178082191781</v>
      </c>
      <c r="DB14" s="1" t="n">
        <f aca="false">MAX(DB13-BJ14/BJ$9*100,0)</f>
        <v>50</v>
      </c>
      <c r="DC14" s="1" t="n">
        <f aca="false">DC$7*EXP(-$AM14/DC$8)</f>
        <v>17.9106013788837</v>
      </c>
      <c r="DD14" s="1" t="n">
        <f aca="false">(DA14-DC14)^2</f>
        <v>16.0577066609021</v>
      </c>
      <c r="DE14" s="1" t="n">
        <f aca="false">MAX(DE13-BL14/BL$9*100,0)</f>
        <v>63.0573248407643</v>
      </c>
      <c r="DF14" s="1" t="n">
        <f aca="false">MAX(DF13-BM14/BM$9*100,0)</f>
        <v>88.5350318471338</v>
      </c>
      <c r="DG14" s="1" t="n">
        <f aca="false">DG$7*EXP(-$AM14/DG$8)</f>
        <v>56.9201696052923</v>
      </c>
      <c r="DH14" s="1" t="n">
        <f aca="false">(DE14-DG14)^2</f>
        <v>37.6646743842817</v>
      </c>
      <c r="DI14" s="1" t="n">
        <f aca="false">$AM14</f>
        <v>3</v>
      </c>
      <c r="DJ14" s="1" t="n">
        <f aca="false">MAX(DJ13-BO14/BO$9*100,0)</f>
        <v>29.2307692307692</v>
      </c>
      <c r="DK14" s="1" t="n">
        <f aca="false">MAX(DK13-BP14/BP$9*100,0)</f>
        <v>65.1282051282051</v>
      </c>
      <c r="DL14" s="1" t="n">
        <f aca="false">DL$7*EXP(-$AM14/DL$8)</f>
        <v>23.8109247043414</v>
      </c>
      <c r="DM14" s="1" t="n">
        <f aca="false">(DJ14-DL14)^2</f>
        <v>29.3747146906497</v>
      </c>
      <c r="DN14" s="1" t="n">
        <f aca="false">MAX(DN13-BR14/BR$9*100,0)</f>
        <v>59.2964824120603</v>
      </c>
      <c r="DO14" s="1" t="n">
        <f aca="false">MAX(DO13-BS14/BS$9*100,0)</f>
        <v>87.4371859296482</v>
      </c>
      <c r="DP14" s="1" t="n">
        <f aca="false">DP$7*EXP(-$AM14/DP$8)</f>
        <v>52.152008144605</v>
      </c>
      <c r="DQ14" s="1" t="n">
        <f aca="false">(DN14-DP14)^2</f>
        <v>51.0435125583311</v>
      </c>
      <c r="DS14" s="1" t="n">
        <f aca="false">$AM14</f>
        <v>3</v>
      </c>
      <c r="DT14" s="1" t="n">
        <f aca="false">CA14</f>
        <v>4</v>
      </c>
      <c r="DU14" s="1" t="n">
        <f aca="false">DU$7*EXP(-DS14/DU$8)</f>
        <v>7.39620252098582</v>
      </c>
      <c r="DV14" s="1" t="n">
        <f aca="false">(DT14-DU14)^2</f>
        <v>11.5341915635504</v>
      </c>
      <c r="DX14" s="1" t="n">
        <f aca="false">$AM14</f>
        <v>3</v>
      </c>
      <c r="DY14" s="1" t="n">
        <f aca="false">CM14</f>
        <v>36.5482233502538</v>
      </c>
      <c r="DZ14" s="1" t="n">
        <f aca="false">DZ$7*EXP(-DX14/DZ$8)</f>
        <v>29.2886999558932</v>
      </c>
      <c r="EA14" s="1" t="n">
        <f aca="false">(DY14-DZ14)^2</f>
        <v>52.7006799132689</v>
      </c>
      <c r="EC14" s="1" t="n">
        <f aca="false">$AM14</f>
        <v>3</v>
      </c>
      <c r="ED14" s="1" t="n">
        <f aca="false">CV14</f>
        <v>43.7185929648241</v>
      </c>
      <c r="EE14" s="1" t="n">
        <f aca="false">EE$7*EXP(-EC14/EE$8)</f>
        <v>38.3127749231557</v>
      </c>
      <c r="EF14" s="1" t="n">
        <f aca="false">(ED14-EE14)^2</f>
        <v>29.2228686996279</v>
      </c>
      <c r="EH14" s="1" t="n">
        <f aca="false">$AM14</f>
        <v>3</v>
      </c>
      <c r="EI14" s="1" t="n">
        <f aca="false">DE14</f>
        <v>63.0573248407643</v>
      </c>
      <c r="EJ14" s="1" t="n">
        <f aca="false">EJ$7*EXP(-EH14/EJ$8)</f>
        <v>56.6839863289218</v>
      </c>
      <c r="EK14" s="1" t="n">
        <f aca="false">(EI14-EJ14)^2</f>
        <v>40.6194437865352</v>
      </c>
      <c r="EM14" s="1" t="n">
        <f aca="false">AM14</f>
        <v>3</v>
      </c>
      <c r="EN14" s="1" t="n">
        <f aca="false">DN14</f>
        <v>59.2964824120603</v>
      </c>
      <c r="EO14" s="1" t="n">
        <f aca="false">EO$7*EXP(-EM14/EO$8)</f>
        <v>52.7505360591268</v>
      </c>
      <c r="EP14" s="1" t="n">
        <f aca="false">(EN14-EO14)^2</f>
        <v>42.8494136554835</v>
      </c>
      <c r="ER14" s="1" t="n">
        <f aca="false">$AM14</f>
        <v>3</v>
      </c>
      <c r="ES14" s="1" t="n">
        <f aca="false">BZ14</f>
        <v>2.85714285714286</v>
      </c>
      <c r="ET14" s="1" t="n">
        <f aca="false">ET$7*EXP(-ER14/ET$8)</f>
        <v>5.14516573406188</v>
      </c>
      <c r="EU14" s="1" t="n">
        <f aca="false">(ES14-ET14)^2</f>
        <v>5.2350486853048</v>
      </c>
      <c r="EW14" s="1" t="n">
        <f aca="false">$AM14</f>
        <v>3</v>
      </c>
      <c r="EX14" s="1" t="n">
        <f aca="false">CI14</f>
        <v>20.5882352941177</v>
      </c>
      <c r="EY14" s="1" t="n">
        <f aca="false">EY$7*EXP(-EW14/EY$8)</f>
        <v>9.06621542271162</v>
      </c>
      <c r="EZ14" s="1" t="n">
        <f aca="false">(EX14-EY14)^2</f>
        <v>132.756941917075</v>
      </c>
      <c r="FB14" s="1" t="n">
        <f aca="false">$AM14</f>
        <v>3</v>
      </c>
      <c r="FC14" s="1" t="n">
        <f aca="false">CR14</f>
        <v>16.9811320754717</v>
      </c>
      <c r="FD14" s="1" t="n">
        <f aca="false">FD$7*EXP(-FB14/FD$8)</f>
        <v>10.2230062296359</v>
      </c>
      <c r="FE14" s="1" t="n">
        <f aca="false">(FC14-FD14)^2</f>
        <v>45.6722649481538</v>
      </c>
      <c r="FG14" s="1" t="n">
        <f aca="false">$AM14</f>
        <v>3</v>
      </c>
      <c r="FH14" s="1" t="n">
        <f aca="false">DA14</f>
        <v>21.9178082191781</v>
      </c>
      <c r="FI14" s="1" t="n">
        <f aca="false">FI$7*EXP(-FG14/FI$8)</f>
        <v>15.5865417057784</v>
      </c>
      <c r="FJ14" s="1" t="n">
        <f aca="false">(FH14-FI14)^2</f>
        <v>40.0849356636962</v>
      </c>
      <c r="FL14" s="1" t="n">
        <f aca="false">EM14</f>
        <v>3</v>
      </c>
      <c r="FM14" s="1" t="n">
        <f aca="false">DJ14</f>
        <v>29.2307692307692</v>
      </c>
      <c r="FN14" s="1" t="n">
        <f aca="false">FN$7*EXP(-FL14/FN$8)</f>
        <v>23.0069981502242</v>
      </c>
      <c r="FO14" s="1" t="n">
        <f aca="false">(FM14-FN14)^2</f>
        <v>38.7353264630286</v>
      </c>
      <c r="FQ14" s="1" t="n">
        <f aca="false">AM14</f>
        <v>3</v>
      </c>
      <c r="FR14" s="1" t="n">
        <f aca="false">AN14/AN$9*100</f>
        <v>0.869565217391304</v>
      </c>
      <c r="FS14" s="1" t="n">
        <f aca="false">AO14/AO$9*100</f>
        <v>0.869565217391304</v>
      </c>
      <c r="FT14" s="1" t="n">
        <f aca="false">AQ14/AQ$9*100</f>
        <v>9.14285714285714</v>
      </c>
      <c r="FU14" s="1" t="n">
        <f aca="false">AR14/AR$9*100</f>
        <v>11.4285714285714</v>
      </c>
      <c r="FV14" s="1" t="n">
        <f aca="false">AT14/AT$9*100</f>
        <v>11.6883116883117</v>
      </c>
      <c r="FW14" s="1" t="n">
        <f aca="false">AU14/AU$9*100</f>
        <v>16.4502164502165</v>
      </c>
      <c r="FX14" s="1" t="n">
        <f aca="false">AW14/AW$9*100</f>
        <v>8.82352941176471</v>
      </c>
      <c r="FY14" s="1" t="n">
        <f aca="false">AX14/AX$9*100</f>
        <v>13.2352941176471</v>
      </c>
      <c r="FZ14" s="1" t="n">
        <f aca="false">AZ14/AZ$9*100</f>
        <v>17.7664974619289</v>
      </c>
      <c r="GA14" s="1" t="n">
        <f aca="false">BA14/BA$9*100</f>
        <v>18.7817258883249</v>
      </c>
      <c r="GB14" s="1" t="n">
        <f aca="false">BC14/BC$9*100</f>
        <v>9.43396226415094</v>
      </c>
      <c r="GC14" s="1" t="n">
        <f aca="false">BD14/BD$9*100</f>
        <v>15.0943396226415</v>
      </c>
      <c r="GD14" s="1" t="n">
        <f aca="false">BF14/BF$9*100</f>
        <v>17.0854271356784</v>
      </c>
      <c r="GE14" s="1" t="n">
        <f aca="false">BG14/BG$9*100</f>
        <v>7.03517587939699</v>
      </c>
      <c r="GF14" s="1" t="n">
        <f aca="false">BI14/BI$9*100</f>
        <v>9.58904109589041</v>
      </c>
      <c r="GG14" s="1" t="n">
        <f aca="false">BJ14/BJ$9*100</f>
        <v>15.7534246575342</v>
      </c>
      <c r="GH14" s="1" t="n">
        <f aca="false">BL14/BL$9*100</f>
        <v>7.64331210191083</v>
      </c>
      <c r="GI14" s="1" t="n">
        <f aca="false">BM14/BM$9*100</f>
        <v>4.45859872611465</v>
      </c>
      <c r="GJ14" s="1" t="n">
        <f aca="false">BO14/BO$9*100</f>
        <v>12.8205128205128</v>
      </c>
      <c r="GK14" s="1" t="n">
        <f aca="false">BP14/BP$9*100</f>
        <v>17.948717948718</v>
      </c>
      <c r="GL14" s="1" t="n">
        <f aca="false">BR14/BR$9*100</f>
        <v>4.52261306532663</v>
      </c>
      <c r="GM14" s="1" t="n">
        <f aca="false">BS14/BS$9*100</f>
        <v>2.51256281407035</v>
      </c>
      <c r="GO14" s="1" t="n">
        <f aca="false">$AM14</f>
        <v>3</v>
      </c>
      <c r="GP14" s="1" t="n">
        <f aca="false">FT14</f>
        <v>9.14285714285714</v>
      </c>
      <c r="GQ14" s="1" t="n">
        <f aca="false">GQ$6*(1+GQ$5*(-1)^$FQ14)*EXP(-$FQ14/GQ$4)</f>
        <v>7.23629676962097</v>
      </c>
      <c r="GR14" s="1" t="n">
        <f aca="false">(GP14-GQ14)^2</f>
        <v>3.63497245679445</v>
      </c>
      <c r="GS14" s="1" t="n">
        <f aca="false">EXP($FQ14/$JG$4)*GP14</f>
        <v>18.4286683343127</v>
      </c>
      <c r="GT14" s="1" t="n">
        <f aca="false">EXP($FQ14/$JG$4)*(-1)^$FQ14*GP14</f>
        <v>-18.4286683343127</v>
      </c>
      <c r="GU14" s="1" t="n">
        <f aca="false">(-1)^GO14*GP14</f>
        <v>-9.14285714285714</v>
      </c>
      <c r="GW14" s="1" t="n">
        <f aca="false">$AM14</f>
        <v>3</v>
      </c>
      <c r="GX14" s="1" t="n">
        <f aca="false">FX14</f>
        <v>8.82352941176471</v>
      </c>
      <c r="GY14" s="1" t="n">
        <f aca="false">GY$6*(1+GY$5*(-1)^$FQ14)*EXP(-$FQ14/GY$4)</f>
        <v>7.23629676962097</v>
      </c>
      <c r="GZ14" s="1" t="n">
        <f aca="false">(GX14-GY14)^2</f>
        <v>2.51930746028659</v>
      </c>
      <c r="HA14" s="1" t="n">
        <f aca="false">EXP($FQ14/$JG$4)*GX14</f>
        <v>17.785019991754</v>
      </c>
      <c r="HB14" s="1" t="n">
        <f aca="false">EXP($FQ14/$JG$4)*(-1)^$FQ14*GX14</f>
        <v>-17.785019991754</v>
      </c>
      <c r="HC14" s="1" t="n">
        <f aca="false">(-1)^GW14*GX14</f>
        <v>-8.82352941176471</v>
      </c>
      <c r="HE14" s="1" t="n">
        <f aca="false">$AM14</f>
        <v>3</v>
      </c>
      <c r="HF14" s="1" t="n">
        <f aca="false">GB14</f>
        <v>9.43396226415094</v>
      </c>
      <c r="HG14" s="1" t="n">
        <f aca="false">HG$6*(1+HG$5*(-1)^$FQ14)*EXP(-$FQ14/HG$4)</f>
        <v>7.23629676962097</v>
      </c>
      <c r="HH14" s="1" t="n">
        <f aca="false">(HF14-HG14)^2</f>
        <v>4.82973362584768</v>
      </c>
      <c r="HI14" s="1" t="n">
        <f aca="false">EXP($FQ14/$JG$4)*HF14</f>
        <v>19.0154301798628</v>
      </c>
      <c r="HJ14" s="1" t="n">
        <f aca="false">EXP($FQ14/$JG$4)*(-1)^$FQ14*HF14</f>
        <v>-19.0154301798628</v>
      </c>
      <c r="HK14" s="1" t="n">
        <f aca="false">(-1)^HE14*HF14</f>
        <v>-9.43396226415094</v>
      </c>
      <c r="HM14" s="1" t="n">
        <f aca="false">$AM14</f>
        <v>3</v>
      </c>
      <c r="HN14" s="1" t="n">
        <f aca="false">GF14</f>
        <v>9.58904109589041</v>
      </c>
      <c r="HO14" s="1" t="n">
        <f aca="false">HO$6*(1+HO$5*(-1)^$FQ14)*EXP(-$FQ14/HO$4)</f>
        <v>6.01640399516201</v>
      </c>
      <c r="HP14" s="1" t="n">
        <f aca="false">(HN14-HO14)^2</f>
        <v>12.763735853501</v>
      </c>
      <c r="HQ14" s="1" t="n">
        <f aca="false">EXP($FQ14/$JG$4)*HN14</f>
        <v>19.3280125937783</v>
      </c>
      <c r="HR14" s="1" t="n">
        <f aca="false">EXP($FQ14/$JG$4)*(-1)^$FQ14*HN14</f>
        <v>-19.3280125937783</v>
      </c>
      <c r="HS14" s="1" t="n">
        <f aca="false">(-1)^HM14*HN14</f>
        <v>-9.58904109589041</v>
      </c>
      <c r="HU14" s="1" t="n">
        <f aca="false">$AM14</f>
        <v>3</v>
      </c>
      <c r="HV14" s="1" t="n">
        <f aca="false">GJ14</f>
        <v>12.8205128205128</v>
      </c>
      <c r="HW14" s="1" t="n">
        <f aca="false">HW$6*(1+HW$5*(-1)^$FQ14)*EXP(-$FQ14/HW$4)</f>
        <v>8.28005608238323</v>
      </c>
      <c r="HX14" s="1" t="n">
        <f aca="false">(HV14-HW14)^2</f>
        <v>20.6157473908264</v>
      </c>
      <c r="HY14" s="1" t="n">
        <f aca="false">EXP($FQ14/$JG$4)*HV14</f>
        <v>25.8414820393007</v>
      </c>
      <c r="HZ14" s="1" t="n">
        <f aca="false">EXP($FQ14/$JG$4)*(-1)^$FQ14*HV14</f>
        <v>-25.8414820393007</v>
      </c>
      <c r="IA14" s="1" t="n">
        <f aca="false">(-1)^HU14*HV14</f>
        <v>-12.8205128205128</v>
      </c>
      <c r="IB14" s="1" t="n">
        <v>15.009924</v>
      </c>
      <c r="ID14" s="1" t="n">
        <f aca="false">$AM14</f>
        <v>3</v>
      </c>
      <c r="IE14" s="1" t="n">
        <f aca="false">FZ14</f>
        <v>17.7664974619289</v>
      </c>
      <c r="IF14" s="1" t="n">
        <f aca="false">IF$6*(1+IF$5*(-1)^$FQ14)*EXP(-$FQ14/IF$4)</f>
        <v>10.448724216696</v>
      </c>
      <c r="IG14" s="1" t="n">
        <f aca="false">(IE14-IF14)^2</f>
        <v>53.549805268647</v>
      </c>
      <c r="IH14" s="1" t="n">
        <f aca="false">EXP($FQ14/$JG$4)*IE14</f>
        <v>35.81078475497</v>
      </c>
      <c r="II14" s="1" t="n">
        <f aca="false">EXP($FQ14/$JG$4)*(-1)^$FQ14*IE14</f>
        <v>-35.81078475497</v>
      </c>
      <c r="IJ14" s="1" t="n">
        <f aca="false">(-1)^ID14*IE14</f>
        <v>-17.7664974619289</v>
      </c>
      <c r="IK14" s="1" t="n">
        <v>14.681435</v>
      </c>
      <c r="IM14" s="1" t="n">
        <f aca="false">$AM14</f>
        <v>3</v>
      </c>
      <c r="IN14" s="1" t="n">
        <f aca="false">GD14</f>
        <v>17.0854271356784</v>
      </c>
      <c r="IO14" s="1" t="n">
        <f aca="false">IO$6*(1+IO$5*(-1)^$FQ14)*EXP(-$FQ14/IO$4)</f>
        <v>9.33166955551243</v>
      </c>
      <c r="IP14" s="1" t="n">
        <f aca="false">(IN14-IO14)^2</f>
        <v>60.1207566119811</v>
      </c>
      <c r="IQ14" s="1" t="n">
        <f aca="false">EXP($FQ14/$JG$4)*IN14</f>
        <v>34.4379951599123</v>
      </c>
      <c r="IR14" s="1" t="n">
        <f aca="false">EXP($FQ14/$JG$4)*(-1)^$FQ14*IN14</f>
        <v>-34.4379951599123</v>
      </c>
      <c r="IS14" s="1" t="n">
        <f aca="false">(-1)^IM14*IN14</f>
        <v>-17.0854271356784</v>
      </c>
      <c r="IT14" s="1" t="n">
        <v>16.559852</v>
      </c>
      <c r="IV14" s="1" t="n">
        <f aca="false">$AM14</f>
        <v>3</v>
      </c>
      <c r="IW14" s="1" t="n">
        <f aca="false">GH14</f>
        <v>7.64331210191083</v>
      </c>
      <c r="IX14" s="1" t="n">
        <f aca="false">IX$6*(1+IX$5*(-1)^$FQ14)*EXP(-$FQ14/IX$4)</f>
        <v>5.1753322719558</v>
      </c>
      <c r="IY14" s="1" t="n">
        <f aca="false">(IW14-IX14)^2</f>
        <v>6.09092444106485</v>
      </c>
      <c r="IZ14" s="1" t="n">
        <f aca="false">EXP($FQ14/$JG$4)*IW14</f>
        <v>15.4061319673793</v>
      </c>
      <c r="JA14" s="1" t="n">
        <f aca="false">EXP($FQ14/$JG$4)*(-1)^$FQ14*IW14</f>
        <v>-15.4061319673793</v>
      </c>
      <c r="JB14" s="1" t="n">
        <f aca="false">(-1)^IV14*IW14</f>
        <v>-7.64331210191083</v>
      </c>
      <c r="JC14" s="1" t="n">
        <v>20.313364</v>
      </c>
      <c r="JE14" s="1" t="n">
        <f aca="false">$AM14</f>
        <v>3</v>
      </c>
      <c r="JF14" s="1" t="n">
        <f aca="false">GL14</f>
        <v>4.52261306532663</v>
      </c>
      <c r="JG14" s="1" t="n">
        <f aca="false">JG$6*(1+JG$5*(-1)^$FQ14)*EXP(-$FQ14/JG$4)</f>
        <v>3.78370876195784</v>
      </c>
      <c r="JH14" s="1" t="n">
        <f aca="false">(JF14-JG14)^2</f>
        <v>0.545979569536923</v>
      </c>
      <c r="JI14" s="1" t="n">
        <f aca="false">EXP($FQ14/$JG$4)*JF14</f>
        <v>9.1159398952709</v>
      </c>
      <c r="JJ14" s="1" t="n">
        <f aca="false">EXP($FQ14/$JG$4)*(-1)^$FQ14*JF14</f>
        <v>-9.1159398952709</v>
      </c>
      <c r="JK14" s="1" t="n">
        <f aca="false">(-1)^JE14*JF14</f>
        <v>-4.52261306532663</v>
      </c>
      <c r="JL14" s="1" t="n">
        <v>23.404138</v>
      </c>
      <c r="JO14" s="1" t="n">
        <f aca="false">$AM14</f>
        <v>3</v>
      </c>
      <c r="JP14" s="1" t="n">
        <f aca="false">GM14</f>
        <v>2.51256281407035</v>
      </c>
      <c r="JQ14" s="1" t="n">
        <f aca="false">JQ$6*(1+JQ$5*(-1)^$FQ14)*EXP(-$FQ14/JQ$4)</f>
        <v>2.15509709036747</v>
      </c>
      <c r="JR14" s="1" t="n">
        <f aca="false">(JP14-JQ14)^2</f>
        <v>0.127781743622425</v>
      </c>
      <c r="JS14" s="1" t="n">
        <f aca="false">EXP($FQ14/$JG$4)*JP14</f>
        <v>5.06441105292828</v>
      </c>
      <c r="JT14" s="1" t="n">
        <f aca="false">EXP($FQ14/$JG$4)*(-1)^$FQ14*JP14</f>
        <v>-5.06441105292828</v>
      </c>
      <c r="JU14" s="1" t="n">
        <f aca="false">(-1)^JO14*JP14</f>
        <v>-2.51256281407035</v>
      </c>
    </row>
    <row r="15" customFormat="false" ht="16" hidden="false" customHeight="false" outlineLevel="0" collapsed="false">
      <c r="A15" s="1" t="n">
        <v>2</v>
      </c>
      <c r="B15" s="1" t="n">
        <v>2</v>
      </c>
      <c r="C15" s="1" t="n">
        <f aca="false">B15-A15</f>
        <v>0</v>
      </c>
      <c r="D15" s="1" t="n">
        <v>1</v>
      </c>
      <c r="E15" s="1" t="n">
        <v>1</v>
      </c>
      <c r="F15" s="1" t="n">
        <f aca="false">E15-D15</f>
        <v>0</v>
      </c>
      <c r="G15" s="1" t="n">
        <v>1</v>
      </c>
      <c r="H15" s="1" t="n">
        <v>1</v>
      </c>
      <c r="I15" s="1" t="n">
        <f aca="false">H15-G15</f>
        <v>0</v>
      </c>
      <c r="J15" s="1" t="n">
        <v>2</v>
      </c>
      <c r="K15" s="1" t="n">
        <v>4</v>
      </c>
      <c r="L15" s="1" t="n">
        <f aca="false">K15-J15</f>
        <v>2</v>
      </c>
      <c r="M15" s="1" t="n">
        <v>6</v>
      </c>
      <c r="N15" s="1" t="n">
        <v>6</v>
      </c>
      <c r="O15" s="1" t="n">
        <f aca="false">N15-M15</f>
        <v>0</v>
      </c>
      <c r="P15" s="1" t="n">
        <v>1</v>
      </c>
      <c r="Q15" s="1" t="n">
        <v>3</v>
      </c>
      <c r="R15" s="1" t="n">
        <f aca="false">Q15-P15</f>
        <v>2</v>
      </c>
      <c r="S15" s="1" t="n">
        <v>4</v>
      </c>
      <c r="T15" s="1" t="n">
        <v>8</v>
      </c>
      <c r="U15" s="1" t="n">
        <f aca="false">T15-S15</f>
        <v>4</v>
      </c>
      <c r="V15" s="1" t="n">
        <v>1</v>
      </c>
      <c r="W15" s="1" t="n">
        <v>1</v>
      </c>
      <c r="X15" s="1" t="n">
        <f aca="false">W15-V15</f>
        <v>0</v>
      </c>
      <c r="Y15" s="1" t="n">
        <v>4</v>
      </c>
      <c r="Z15" s="1" t="n">
        <v>8</v>
      </c>
      <c r="AA15" s="1" t="n">
        <f aca="false">Z15-Y15</f>
        <v>4</v>
      </c>
      <c r="AB15" s="1" t="n">
        <v>6</v>
      </c>
      <c r="AC15" s="1" t="n">
        <v>10</v>
      </c>
      <c r="AD15" s="1" t="n">
        <f aca="false">AC15-AB15</f>
        <v>4</v>
      </c>
      <c r="AE15" s="1" t="n">
        <v>1</v>
      </c>
      <c r="AF15" s="1" t="n">
        <v>19</v>
      </c>
      <c r="AG15" s="1" t="n">
        <f aca="false">AF15-AE15</f>
        <v>18</v>
      </c>
      <c r="AM15" s="1" t="n">
        <v>4</v>
      </c>
      <c r="AN15" s="1" t="n">
        <v>1</v>
      </c>
      <c r="AO15" s="1" t="n">
        <v>1</v>
      </c>
      <c r="AP15" s="1" t="n">
        <v>0</v>
      </c>
      <c r="AQ15" s="1" t="n">
        <v>5</v>
      </c>
      <c r="AR15" s="1" t="n">
        <v>7</v>
      </c>
      <c r="AS15" s="1" t="n">
        <v>0</v>
      </c>
      <c r="AT15" s="1" t="n">
        <v>7</v>
      </c>
      <c r="AU15" s="1" t="n">
        <v>9</v>
      </c>
      <c r="AV15" s="1" t="n">
        <v>0</v>
      </c>
      <c r="AW15" s="1" t="n">
        <v>25</v>
      </c>
      <c r="AX15" s="1" t="n">
        <v>30</v>
      </c>
      <c r="AY15" s="1" t="n">
        <v>0</v>
      </c>
      <c r="AZ15" s="1" t="n">
        <v>41</v>
      </c>
      <c r="BA15" s="1" t="n">
        <v>47</v>
      </c>
      <c r="BB15" s="1" t="n">
        <v>4</v>
      </c>
      <c r="BC15" s="1" t="n">
        <v>19</v>
      </c>
      <c r="BD15" s="1" t="n">
        <v>32</v>
      </c>
      <c r="BE15" s="1" t="n">
        <v>2</v>
      </c>
      <c r="BF15" s="1" t="n">
        <v>38</v>
      </c>
      <c r="BG15" s="1" t="n">
        <v>34</v>
      </c>
      <c r="BH15" s="1" t="n">
        <v>22</v>
      </c>
      <c r="BI15" s="1" t="n">
        <v>22</v>
      </c>
      <c r="BJ15" s="1" t="n">
        <v>26</v>
      </c>
      <c r="BK15" s="1" t="n">
        <v>11</v>
      </c>
      <c r="BL15" s="1" t="n">
        <v>29</v>
      </c>
      <c r="BM15" s="1" t="n">
        <v>12</v>
      </c>
      <c r="BN15" s="1" t="n">
        <v>36</v>
      </c>
      <c r="BO15" s="1" t="n">
        <v>38</v>
      </c>
      <c r="BP15" s="1" t="n">
        <v>39</v>
      </c>
      <c r="BQ15" s="1" t="n">
        <v>23</v>
      </c>
      <c r="BR15" s="1" t="n">
        <v>47</v>
      </c>
      <c r="BS15" s="1" t="n">
        <v>28</v>
      </c>
      <c r="BT15" s="1" t="n">
        <v>33</v>
      </c>
      <c r="BW15" s="1" t="n">
        <f aca="false">$AM15</f>
        <v>4</v>
      </c>
      <c r="BX15" s="1" t="n">
        <f aca="false">MAX(BX14-AN15/AN$9*100,0)</f>
        <v>0</v>
      </c>
      <c r="BY15" s="1" t="n">
        <f aca="false">MAX(BY14-AO15/AO$9*100,0)</f>
        <v>0</v>
      </c>
      <c r="BZ15" s="1" t="n">
        <f aca="false">MAX(BZ14-AQ15/AQ$9*100,0)</f>
        <v>0</v>
      </c>
      <c r="CA15" s="1" t="n">
        <f aca="false">MAX(CA14-AR15/AR$9*100,0)</f>
        <v>0</v>
      </c>
      <c r="CB15" s="1" t="n">
        <f aca="false">CB$7*EXP(-$AM15/CB$8)</f>
        <v>1.15896696062845</v>
      </c>
      <c r="CC15" s="1" t="n">
        <f aca="false">(BZ15-CB15)^2</f>
        <v>1.34320441582835</v>
      </c>
      <c r="CD15" s="1" t="n">
        <f aca="false">MAX(CD14-AT15/AT$9*100,0)</f>
        <v>0.432900432900424</v>
      </c>
      <c r="CE15" s="1" t="n">
        <f aca="false">MAX(CE14-AU15/AU$9*100,0)</f>
        <v>0.432900432900438</v>
      </c>
      <c r="CF15" s="1" t="n">
        <f aca="false">CF$7*EXP(-$AM15/CF$8)</f>
        <v>1.32186433181358</v>
      </c>
      <c r="CG15" s="1" t="n">
        <f aca="false">(CD15-CF15)^2</f>
        <v>0.79025681357088</v>
      </c>
      <c r="CH15" s="1" t="n">
        <f aca="false">$AM15</f>
        <v>4</v>
      </c>
      <c r="CI15" s="1" t="n">
        <f aca="false">MAX(CI14-AW15/AW$9*100,0)</f>
        <v>2.20588235294118</v>
      </c>
      <c r="CJ15" s="1" t="n">
        <f aca="false">MAX(CJ14-AX15/AX$9*100,0)</f>
        <v>8.82352941176471</v>
      </c>
      <c r="CK15" s="1" t="n">
        <f aca="false">CK$7*EXP(-$AM15/CK$8)</f>
        <v>5.82978505842848</v>
      </c>
      <c r="CL15" s="1" t="n">
        <f aca="false">(CI15-CK15)^2</f>
        <v>13.1326708188382</v>
      </c>
      <c r="CM15" s="1" t="n">
        <f aca="false">MAX(CM14-AZ15/AZ$9*100,0)</f>
        <v>15.7360406091371</v>
      </c>
      <c r="CN15" s="1" t="n">
        <f aca="false">MAX(CN14-BA15/BA$9*100,0)</f>
        <v>24.3654822335025</v>
      </c>
      <c r="CO15" s="1" t="n">
        <f aca="false">CO$7*EXP(-$AM15/CO$8)</f>
        <v>19.4388220905152</v>
      </c>
      <c r="CP15" s="1" t="n">
        <f aca="false">(CM15-CO15)^2</f>
        <v>13.7105906988369</v>
      </c>
      <c r="CQ15" s="1" t="n">
        <f aca="false">$AM15</f>
        <v>4</v>
      </c>
      <c r="CR15" s="1" t="n">
        <f aca="false">MAX(CR14-BC15/BC$9*100,0)</f>
        <v>5.0314465408805</v>
      </c>
      <c r="CS15" s="1" t="n">
        <f aca="false">MAX(CS14-BD15/BD$9*100,0)</f>
        <v>17.6100628930818</v>
      </c>
      <c r="CT15" s="1" t="n">
        <f aca="false">CT$7*EXP(-$AM15/CT$8)</f>
        <v>6.30174316237795</v>
      </c>
      <c r="CU15" s="1" t="n">
        <f aca="false">(CR15-CT15)^2</f>
        <v>1.61365350658783</v>
      </c>
      <c r="CV15" s="1" t="n">
        <f aca="false">MAX(CV14-BF15/BF$9*100,0)</f>
        <v>24.6231155778895</v>
      </c>
      <c r="CW15" s="1" t="n">
        <f aca="false">MAX(CW14-BG15/BG$9*100,0)</f>
        <v>57.286432160804</v>
      </c>
      <c r="CX15" s="1" t="n">
        <f aca="false">CX$7*EXP(-$AM15/CX$8)</f>
        <v>25.8135522879766</v>
      </c>
      <c r="CY15" s="1" t="n">
        <f aca="false">(CV15-CX15)^2</f>
        <v>1.4171395607231</v>
      </c>
      <c r="CZ15" s="1" t="n">
        <f aca="false">$AM15</f>
        <v>4</v>
      </c>
      <c r="DA15" s="1" t="n">
        <f aca="false">MAX(DA14-BI15/BI$9*100,0)</f>
        <v>6.84931506849315</v>
      </c>
      <c r="DB15" s="1" t="n">
        <f aca="false">MAX(DB14-BJ15/BJ$9*100,0)</f>
        <v>32.1917808219178</v>
      </c>
      <c r="DC15" s="1" t="n">
        <f aca="false">DC$7*EXP(-$AM15/DC$8)</f>
        <v>8.63190986582503</v>
      </c>
      <c r="DD15" s="1" t="n">
        <f aca="false">(DA15-DC15)^2</f>
        <v>3.17764421147467</v>
      </c>
      <c r="DE15" s="1" t="n">
        <f aca="false">MAX(DE14-BL15/BL$9*100,0)</f>
        <v>44.5859872611465</v>
      </c>
      <c r="DF15" s="1" t="n">
        <f aca="false">MAX(DF14-BM15/BM$9*100,0)</f>
        <v>80.8917197452229</v>
      </c>
      <c r="DG15" s="1" t="n">
        <f aca="false">DG$7*EXP(-$AM15/DG$8)</f>
        <v>44.3294726611588</v>
      </c>
      <c r="DH15" s="1" t="n">
        <f aca="false">(DE15-DG15)^2</f>
        <v>0.0657997400068477</v>
      </c>
      <c r="DI15" s="1" t="n">
        <f aca="false">$AM15</f>
        <v>4</v>
      </c>
      <c r="DJ15" s="1" t="n">
        <f aca="false">MAX(DJ14-BO15/BO$9*100,0)</f>
        <v>9.74358974358974</v>
      </c>
      <c r="DK15" s="1" t="n">
        <f aca="false">MAX(DK14-BP15/BP$9*100,0)</f>
        <v>45.1282051282051</v>
      </c>
      <c r="DL15" s="1" t="n">
        <f aca="false">DL$7*EXP(-$AM15/DL$8)</f>
        <v>12.892523426879</v>
      </c>
      <c r="DM15" s="1" t="n">
        <f aca="false">(DJ15-DL15)^2</f>
        <v>9.91578334175368</v>
      </c>
      <c r="DN15" s="1" t="n">
        <f aca="false">MAX(DN14-BR15/BR$9*100,0)</f>
        <v>35.678391959799</v>
      </c>
      <c r="DO15" s="1" t="n">
        <f aca="false">MAX(DO14-BS15/BS$9*100,0)</f>
        <v>73.3668341708543</v>
      </c>
      <c r="DP15" s="1" t="n">
        <f aca="false">DP$7*EXP(-$AM15/DP$8)</f>
        <v>39.2863279412731</v>
      </c>
      <c r="DQ15" s="1" t="n">
        <f aca="false">(DN15-DP15)^2</f>
        <v>13.0172020464155</v>
      </c>
      <c r="DS15" s="1" t="n">
        <f aca="false">$AM15</f>
        <v>4</v>
      </c>
      <c r="DT15" s="1" t="n">
        <f aca="false">CA15</f>
        <v>0</v>
      </c>
      <c r="DU15" s="1" t="n">
        <f aca="false">DU$7*EXP(-DS15/DU$8)</f>
        <v>2.638046973452</v>
      </c>
      <c r="DV15" s="1" t="n">
        <f aca="false">(DT15-DU15)^2</f>
        <v>6.95929183413926</v>
      </c>
      <c r="DX15" s="1" t="n">
        <f aca="false">$AM15</f>
        <v>4</v>
      </c>
      <c r="DY15" s="1" t="n">
        <f aca="false">CM15</f>
        <v>15.7360406091371</v>
      </c>
      <c r="DZ15" s="1" t="n">
        <f aca="false">DZ$7*EXP(-DX15/DZ$8)</f>
        <v>16.6999215497349</v>
      </c>
      <c r="EA15" s="1" t="n">
        <f aca="false">(DY15-DZ15)^2</f>
        <v>0.929066467647789</v>
      </c>
      <c r="EC15" s="1" t="n">
        <f aca="false">$AM15</f>
        <v>4</v>
      </c>
      <c r="ED15" s="1" t="n">
        <f aca="false">CV15</f>
        <v>24.6231155778895</v>
      </c>
      <c r="EE15" s="1" t="n">
        <f aca="false">EE$7*EXP(-EC15/EE$8)</f>
        <v>24.7568487218833</v>
      </c>
      <c r="EF15" s="1" t="n">
        <f aca="false">(ED15-EE15)^2</f>
        <v>0.0178845538024791</v>
      </c>
      <c r="EH15" s="1" t="n">
        <f aca="false">$AM15</f>
        <v>4</v>
      </c>
      <c r="EI15" s="1" t="n">
        <f aca="false">DE15</f>
        <v>44.5859872611465</v>
      </c>
      <c r="EJ15" s="1" t="n">
        <f aca="false">EJ$7*EXP(-EH15/EJ$8)</f>
        <v>44.1455329405731</v>
      </c>
      <c r="EK15" s="1" t="n">
        <f aca="false">(EI15-EJ15)^2</f>
        <v>0.194000008511777</v>
      </c>
      <c r="EM15" s="1" t="n">
        <f aca="false">AM15</f>
        <v>4</v>
      </c>
      <c r="EN15" s="1" t="n">
        <f aca="false">DN15</f>
        <v>35.678391959799</v>
      </c>
      <c r="EO15" s="1" t="n">
        <f aca="false">EO$7*EXP(-EM15/EO$8)</f>
        <v>40.1090234152607</v>
      </c>
      <c r="EP15" s="1" t="n">
        <f aca="false">(EN15-EO15)^2</f>
        <v>19.6304950941267</v>
      </c>
      <c r="ER15" s="1" t="n">
        <f aca="false">$AM15</f>
        <v>4</v>
      </c>
      <c r="ES15" s="1" t="n">
        <f aca="false">BZ15</f>
        <v>0</v>
      </c>
      <c r="ET15" s="1" t="n">
        <f aca="false">ET$7*EXP(-ER15/ET$8)</f>
        <v>1.56452363478255</v>
      </c>
      <c r="EU15" s="1" t="n">
        <f aca="false">(ES15-ET15)^2</f>
        <v>2.4477342037932</v>
      </c>
      <c r="EW15" s="1" t="n">
        <f aca="false">$AM15</f>
        <v>4</v>
      </c>
      <c r="EX15" s="1" t="n">
        <f aca="false">CI15</f>
        <v>2.20588235294118</v>
      </c>
      <c r="EY15" s="1" t="n">
        <f aca="false">EY$7*EXP(-EW15/EY$8)</f>
        <v>3.0211991283331</v>
      </c>
      <c r="EZ15" s="1" t="n">
        <f aca="false">(EX15-EY15)^2</f>
        <v>0.664741444235482</v>
      </c>
      <c r="FB15" s="1" t="n">
        <f aca="false">$AM15</f>
        <v>4</v>
      </c>
      <c r="FC15" s="1" t="n">
        <f aca="false">CR15</f>
        <v>5.0314465408805</v>
      </c>
      <c r="FD15" s="1" t="n">
        <f aca="false">FD$7*EXP(-FB15/FD$8)</f>
        <v>3.9442536232404</v>
      </c>
      <c r="FE15" s="1" t="n">
        <f aca="false">(FC15-FD15)^2</f>
        <v>1.1819884401668</v>
      </c>
      <c r="FG15" s="1" t="n">
        <f aca="false">$AM15</f>
        <v>4</v>
      </c>
      <c r="FH15" s="1" t="n">
        <f aca="false">DA15</f>
        <v>6.84931506849315</v>
      </c>
      <c r="FI15" s="1" t="n">
        <f aca="false">FI$7*EXP(-FG15/FI$8)</f>
        <v>6.82069620674891</v>
      </c>
      <c r="FJ15" s="1" t="n">
        <f aca="false">(FH15-FI15)^2</f>
        <v>0.000819039247536089</v>
      </c>
      <c r="FL15" s="1" t="n">
        <f aca="false">EM15</f>
        <v>4</v>
      </c>
      <c r="FM15" s="1" t="n">
        <f aca="false">DJ15</f>
        <v>9.74358974358974</v>
      </c>
      <c r="FN15" s="1" t="n">
        <f aca="false">FN$7*EXP(-FL15/FN$8)</f>
        <v>11.8121867078763</v>
      </c>
      <c r="FO15" s="1" t="n">
        <f aca="false">(FM15-FN15)^2</f>
        <v>4.27909340065558</v>
      </c>
      <c r="FQ15" s="1" t="n">
        <f aca="false">AM15</f>
        <v>4</v>
      </c>
      <c r="FR15" s="1" t="n">
        <f aca="false">AN15/AN$9*100</f>
        <v>0.869565217391304</v>
      </c>
      <c r="FS15" s="1" t="n">
        <f aca="false">AO15/AO$9*100</f>
        <v>0.869565217391304</v>
      </c>
      <c r="FT15" s="1" t="n">
        <f aca="false">AQ15/AQ$9*100</f>
        <v>2.85714285714286</v>
      </c>
      <c r="FU15" s="1" t="n">
        <f aca="false">AR15/AR$9*100</f>
        <v>4</v>
      </c>
      <c r="FV15" s="1" t="n">
        <f aca="false">AT15/AT$9*100</f>
        <v>3.03030303030303</v>
      </c>
      <c r="FW15" s="1" t="n">
        <f aca="false">AU15/AU$9*100</f>
        <v>3.8961038961039</v>
      </c>
      <c r="FX15" s="1" t="n">
        <f aca="false">AW15/AW$9*100</f>
        <v>18.3823529411765</v>
      </c>
      <c r="FY15" s="1" t="n">
        <f aca="false">AX15/AX$9*100</f>
        <v>22.0588235294118</v>
      </c>
      <c r="FZ15" s="1" t="n">
        <f aca="false">AZ15/AZ$9*100</f>
        <v>20.8121827411168</v>
      </c>
      <c r="GA15" s="1" t="n">
        <f aca="false">BA15/BA$9*100</f>
        <v>23.8578680203046</v>
      </c>
      <c r="GB15" s="1" t="n">
        <f aca="false">BC15/BC$9*100</f>
        <v>11.9496855345912</v>
      </c>
      <c r="GC15" s="1" t="n">
        <f aca="false">BD15/BD$9*100</f>
        <v>20.125786163522</v>
      </c>
      <c r="GD15" s="1" t="n">
        <f aca="false">BF15/BF$9*100</f>
        <v>19.0954773869347</v>
      </c>
      <c r="GE15" s="1" t="n">
        <f aca="false">BG15/BG$9*100</f>
        <v>17.0854271356784</v>
      </c>
      <c r="GF15" s="1" t="n">
        <f aca="false">BI15/BI$9*100</f>
        <v>15.0684931506849</v>
      </c>
      <c r="GG15" s="1" t="n">
        <f aca="false">BJ15/BJ$9*100</f>
        <v>17.8082191780822</v>
      </c>
      <c r="GH15" s="1" t="n">
        <f aca="false">BL15/BL$9*100</f>
        <v>18.4713375796178</v>
      </c>
      <c r="GI15" s="1" t="n">
        <f aca="false">BM15/BM$9*100</f>
        <v>7.64331210191083</v>
      </c>
      <c r="GJ15" s="1" t="n">
        <f aca="false">BO15/BO$9*100</f>
        <v>19.4871794871795</v>
      </c>
      <c r="GK15" s="1" t="n">
        <f aca="false">BP15/BP$9*100</f>
        <v>20</v>
      </c>
      <c r="GL15" s="1" t="n">
        <f aca="false">BR15/BR$9*100</f>
        <v>23.6180904522613</v>
      </c>
      <c r="GM15" s="1" t="n">
        <f aca="false">BS15/BS$9*100</f>
        <v>14.070351758794</v>
      </c>
      <c r="GO15" s="1" t="n">
        <f aca="false">$AM15</f>
        <v>4</v>
      </c>
      <c r="GP15" s="1" t="n">
        <f aca="false">FT15</f>
        <v>2.85714285714286</v>
      </c>
      <c r="GQ15" s="1" t="n">
        <f aca="false">GQ$6*(1+GQ$5*(-1)^$FQ15)*EXP(-$FQ15/GQ$4)</f>
        <v>9.91109161623137</v>
      </c>
      <c r="GR15" s="1" t="n">
        <f aca="false">(GP15-GQ15)^2</f>
        <v>49.7581930958464</v>
      </c>
      <c r="GS15" s="1" t="n">
        <f aca="false">EXP($FQ15/$JG$4)*GP15</f>
        <v>7.27469264278777</v>
      </c>
      <c r="GT15" s="1" t="n">
        <f aca="false">EXP($FQ15/$JG$4)*(-1)^$FQ15*GP15</f>
        <v>7.27469264278777</v>
      </c>
      <c r="GU15" s="1" t="n">
        <f aca="false">(-1)^GO15*GP15</f>
        <v>2.85714285714286</v>
      </c>
      <c r="GW15" s="1" t="n">
        <f aca="false">$AM15</f>
        <v>4</v>
      </c>
      <c r="GX15" s="1" t="n">
        <f aca="false">FX15</f>
        <v>18.3823529411765</v>
      </c>
      <c r="GY15" s="1" t="n">
        <f aca="false">GY$6*(1+GY$5*(-1)^$FQ15)*EXP(-$FQ15/GY$4)</f>
        <v>9.91109161623137</v>
      </c>
      <c r="GZ15" s="1" t="n">
        <f aca="false">(GX15-GY15)^2</f>
        <v>71.7622684355106</v>
      </c>
      <c r="HA15" s="1" t="n">
        <f aca="false">EXP($FQ15/$JG$4)*GX15</f>
        <v>46.8040886944066</v>
      </c>
      <c r="HB15" s="1" t="n">
        <f aca="false">EXP($FQ15/$JG$4)*(-1)^$FQ15*GX15</f>
        <v>46.8040886944066</v>
      </c>
      <c r="HC15" s="1" t="n">
        <f aca="false">(-1)^GW15*GX15</f>
        <v>18.3823529411765</v>
      </c>
      <c r="HE15" s="1" t="n">
        <f aca="false">$AM15</f>
        <v>4</v>
      </c>
      <c r="HF15" s="1" t="n">
        <f aca="false">GB15</f>
        <v>11.9496855345912</v>
      </c>
      <c r="HG15" s="1" t="n">
        <f aca="false">HG$6*(1+HG$5*(-1)^$FQ15)*EXP(-$FQ15/HG$4)</f>
        <v>9.91109161623137</v>
      </c>
      <c r="HH15" s="1" t="n">
        <f aca="false">(HF15-HG15)^2</f>
        <v>4.15586516397366</v>
      </c>
      <c r="HI15" s="1" t="n">
        <f aca="false">EXP($FQ15/$JG$4)*HF15</f>
        <v>30.4256013047413</v>
      </c>
      <c r="HJ15" s="1" t="n">
        <f aca="false">EXP($FQ15/$JG$4)*(-1)^$FQ15*HF15</f>
        <v>30.4256013047413</v>
      </c>
      <c r="HK15" s="1" t="n">
        <f aca="false">(-1)^HE15*HF15</f>
        <v>11.9496855345912</v>
      </c>
      <c r="HM15" s="1" t="n">
        <f aca="false">$AM15</f>
        <v>4</v>
      </c>
      <c r="HN15" s="1" t="n">
        <f aca="false">GF15</f>
        <v>15.0684931506849</v>
      </c>
      <c r="HO15" s="1" t="n">
        <f aca="false">HO$6*(1+HO$5*(-1)^$FQ15)*EXP(-$FQ15/HO$4)</f>
        <v>15.0598887014502</v>
      </c>
      <c r="HP15" s="1" t="n">
        <f aca="false">(HN15-HO15)^2</f>
        <v>7.40365466330672E-005</v>
      </c>
      <c r="HQ15" s="1" t="n">
        <f aca="false">EXP($FQ15/$JG$4)*HN15</f>
        <v>38.3665296914149</v>
      </c>
      <c r="HR15" s="1" t="n">
        <f aca="false">EXP($FQ15/$JG$4)*(-1)^$FQ15*HN15</f>
        <v>38.3665296914149</v>
      </c>
      <c r="HS15" s="1" t="n">
        <f aca="false">(-1)^HM15*HN15</f>
        <v>15.0684931506849</v>
      </c>
      <c r="HU15" s="1" t="n">
        <f aca="false">$AM15</f>
        <v>4</v>
      </c>
      <c r="HV15" s="1" t="n">
        <f aca="false">GJ15</f>
        <v>19.4871794871795</v>
      </c>
      <c r="HW15" s="1" t="n">
        <f aca="false">HW$6*(1+HW$5*(-1)^$FQ15)*EXP(-$FQ15/HW$4)</f>
        <v>15.9583811340093</v>
      </c>
      <c r="HX15" s="1" t="n">
        <f aca="false">(HV15-HW15)^2</f>
        <v>12.4524178173366</v>
      </c>
      <c r="HY15" s="1" t="n">
        <f aca="false">EXP($FQ15/$JG$4)*HV15</f>
        <v>49.6171344354243</v>
      </c>
      <c r="HZ15" s="1" t="n">
        <f aca="false">EXP($FQ15/$JG$4)*(-1)^$FQ15*HV15</f>
        <v>49.6171344354243</v>
      </c>
      <c r="IA15" s="1" t="n">
        <f aca="false">(-1)^HU15*HV15</f>
        <v>19.4871794871795</v>
      </c>
      <c r="IB15" s="1" t="n">
        <v>5.214548</v>
      </c>
      <c r="ID15" s="1" t="n">
        <f aca="false">$AM15</f>
        <v>4</v>
      </c>
      <c r="IE15" s="1" t="n">
        <f aca="false">FZ15</f>
        <v>20.8121827411168</v>
      </c>
      <c r="IF15" s="1" t="n">
        <f aca="false">IF$6*(1+IF$5*(-1)^$FQ15)*EXP(-$FQ15/IF$4)</f>
        <v>14.5332738749905</v>
      </c>
      <c r="IG15" s="1" t="n">
        <f aca="false">(IE15-IF15)^2</f>
        <v>39.4246965491189</v>
      </c>
      <c r="IH15" s="1" t="n">
        <f aca="false">EXP($FQ15/$JG$4)*IE15</f>
        <v>52.9907814335048</v>
      </c>
      <c r="II15" s="1" t="n">
        <f aca="false">EXP($FQ15/$JG$4)*(-1)^$FQ15*IE15</f>
        <v>52.9907814335048</v>
      </c>
      <c r="IJ15" s="1" t="n">
        <f aca="false">(-1)^ID15*IE15</f>
        <v>20.8121827411168</v>
      </c>
      <c r="IK15" s="1" t="n">
        <v>7.941985</v>
      </c>
      <c r="IM15" s="1" t="n">
        <f aca="false">$AM15</f>
        <v>4</v>
      </c>
      <c r="IN15" s="1" t="n">
        <f aca="false">GD15</f>
        <v>19.0954773869347</v>
      </c>
      <c r="IO15" s="1" t="n">
        <f aca="false">IO$6*(1+IO$5*(-1)^$FQ15)*EXP(-$FQ15/IO$4)</f>
        <v>15.2494869128665</v>
      </c>
      <c r="IP15" s="1" t="n">
        <f aca="false">(IN15-IO15)^2</f>
        <v>14.7916427266231</v>
      </c>
      <c r="IQ15" s="1" t="n">
        <f aca="false">EXP($FQ15/$JG$4)*IN15</f>
        <v>48.6198051000388</v>
      </c>
      <c r="IR15" s="1" t="n">
        <f aca="false">EXP($FQ15/$JG$4)*(-1)^$FQ15*IN15</f>
        <v>48.6198051000388</v>
      </c>
      <c r="IS15" s="1" t="n">
        <f aca="false">(-1)^IM15*IN15</f>
        <v>19.0954773869347</v>
      </c>
      <c r="IT15" s="1" t="n">
        <v>9.095202</v>
      </c>
      <c r="IV15" s="1" t="n">
        <f aca="false">$AM15</f>
        <v>4</v>
      </c>
      <c r="IW15" s="1" t="n">
        <f aca="false">GH15</f>
        <v>18.4713375796178</v>
      </c>
      <c r="IX15" s="1" t="n">
        <f aca="false">IX$6*(1+IX$5*(-1)^$FQ15)*EXP(-$FQ15/IX$4)</f>
        <v>16.5589706372652</v>
      </c>
      <c r="IY15" s="1" t="n">
        <f aca="false">(IW15-IX15)^2</f>
        <v>3.65714732220316</v>
      </c>
      <c r="IZ15" s="1" t="n">
        <f aca="false">EXP($FQ15/$JG$4)*IW15</f>
        <v>47.0306562575133</v>
      </c>
      <c r="JA15" s="1" t="n">
        <f aca="false">EXP($FQ15/$JG$4)*(-1)^$FQ15*IW15</f>
        <v>47.0306562575133</v>
      </c>
      <c r="JB15" s="1" t="n">
        <f aca="false">(-1)^IV15*IW15</f>
        <v>18.4713375796178</v>
      </c>
      <c r="JC15" s="1" t="n">
        <v>5.376399</v>
      </c>
      <c r="JE15" s="1" t="n">
        <f aca="false">$AM15</f>
        <v>4</v>
      </c>
      <c r="JF15" s="1" t="n">
        <f aca="false">GL15</f>
        <v>23.6180904522613</v>
      </c>
      <c r="JG15" s="1" t="n">
        <f aca="false">JG$6*(1+JG$5*(-1)^$FQ15)*EXP(-$FQ15/JG$4)</f>
        <v>19.6110403174063</v>
      </c>
      <c r="JH15" s="1" t="n">
        <f aca="false">(JF15-JG15)^2</f>
        <v>16.0564507832415</v>
      </c>
      <c r="JI15" s="1" t="n">
        <f aca="false">EXP($FQ15/$JG$4)*JF15</f>
        <v>60.1350220974165</v>
      </c>
      <c r="JJ15" s="1" t="n">
        <f aca="false">EXP($FQ15/$JG$4)*(-1)^$FQ15*JF15</f>
        <v>60.1350220974165</v>
      </c>
      <c r="JK15" s="1" t="n">
        <f aca="false">(-1)^JE15*JF15</f>
        <v>23.6180904522613</v>
      </c>
      <c r="JL15" s="1" t="n">
        <v>3.551079</v>
      </c>
      <c r="JO15" s="1" t="n">
        <f aca="false">$AM15</f>
        <v>4</v>
      </c>
      <c r="JP15" s="1" t="n">
        <f aca="false">GM15</f>
        <v>14.070351758794</v>
      </c>
      <c r="JQ15" s="1" t="n">
        <f aca="false">JQ$6*(1+JQ$5*(-1)^$FQ15)*EXP(-$FQ15/JQ$4)</f>
        <v>10.4443780988846</v>
      </c>
      <c r="JR15" s="1" t="n">
        <f aca="false">(JP15-JQ15)^2</f>
        <v>13.1476849823566</v>
      </c>
      <c r="JS15" s="1" t="n">
        <f aca="false">EXP($FQ15/$JG$4)*JP15</f>
        <v>35.825119547397</v>
      </c>
      <c r="JT15" s="1" t="n">
        <f aca="false">EXP($FQ15/$JG$4)*(-1)^$FQ15*JP15</f>
        <v>35.825119547397</v>
      </c>
      <c r="JU15" s="1" t="n">
        <f aca="false">(-1)^JO15*JP15</f>
        <v>14.070351758794</v>
      </c>
    </row>
    <row r="16" customFormat="false" ht="16" hidden="false" customHeight="false" outlineLevel="0" collapsed="false">
      <c r="A16" s="1" t="n">
        <v>2</v>
      </c>
      <c r="B16" s="1" t="n">
        <v>2</v>
      </c>
      <c r="C16" s="1" t="n">
        <f aca="false">B16-A16</f>
        <v>0</v>
      </c>
      <c r="D16" s="1" t="n">
        <v>1</v>
      </c>
      <c r="E16" s="1" t="n">
        <v>2</v>
      </c>
      <c r="F16" s="1" t="n">
        <f aca="false">E16-D16</f>
        <v>1</v>
      </c>
      <c r="G16" s="1" t="n">
        <v>2</v>
      </c>
      <c r="H16" s="1" t="n">
        <v>2</v>
      </c>
      <c r="I16" s="1" t="n">
        <f aca="false">H16-G16</f>
        <v>0</v>
      </c>
      <c r="J16" s="1" t="n">
        <v>2</v>
      </c>
      <c r="K16" s="1" t="n">
        <v>2</v>
      </c>
      <c r="L16" s="1" t="n">
        <f aca="false">K16-J16</f>
        <v>0</v>
      </c>
      <c r="M16" s="1" t="n">
        <v>2</v>
      </c>
      <c r="N16" s="1" t="n">
        <v>2</v>
      </c>
      <c r="O16" s="1" t="n">
        <f aca="false">N16-M16</f>
        <v>0</v>
      </c>
      <c r="P16" s="1" t="n">
        <v>1</v>
      </c>
      <c r="Q16" s="1" t="n">
        <v>1</v>
      </c>
      <c r="R16" s="1" t="n">
        <f aca="false">Q16-P16</f>
        <v>0</v>
      </c>
      <c r="S16" s="1" t="n">
        <v>2</v>
      </c>
      <c r="T16" s="1" t="n">
        <v>5</v>
      </c>
      <c r="U16" s="1" t="n">
        <f aca="false">T16-S16</f>
        <v>3</v>
      </c>
      <c r="V16" s="1" t="n">
        <v>3</v>
      </c>
      <c r="W16" s="1" t="n">
        <v>3</v>
      </c>
      <c r="X16" s="1" t="n">
        <f aca="false">W16-V16</f>
        <v>0</v>
      </c>
      <c r="Y16" s="1" t="n">
        <v>2</v>
      </c>
      <c r="Z16" s="1" t="n">
        <v>8</v>
      </c>
      <c r="AA16" s="1" t="n">
        <f aca="false">Z16-Y16</f>
        <v>6</v>
      </c>
      <c r="AB16" s="1" t="n">
        <v>8</v>
      </c>
      <c r="AC16" s="1" t="n">
        <v>10</v>
      </c>
      <c r="AD16" s="1" t="n">
        <f aca="false">AC16-AB16</f>
        <v>2</v>
      </c>
      <c r="AE16" s="1" t="n">
        <v>8</v>
      </c>
      <c r="AF16" s="1" t="n">
        <v>14</v>
      </c>
      <c r="AG16" s="1" t="n">
        <f aca="false">AF16-AE16</f>
        <v>6</v>
      </c>
      <c r="AI16" s="1" t="s">
        <v>71</v>
      </c>
      <c r="AM16" s="1" t="n">
        <v>5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1</v>
      </c>
      <c r="AU16" s="1" t="n">
        <v>1</v>
      </c>
      <c r="AV16" s="1" t="n">
        <v>0</v>
      </c>
      <c r="AW16" s="1" t="n">
        <v>3</v>
      </c>
      <c r="AX16" s="1" t="n">
        <v>5</v>
      </c>
      <c r="AY16" s="1" t="n">
        <v>0</v>
      </c>
      <c r="AZ16" s="1" t="n">
        <v>11</v>
      </c>
      <c r="BA16" s="1" t="n">
        <v>13</v>
      </c>
      <c r="BB16" s="1" t="n">
        <v>0</v>
      </c>
      <c r="BC16" s="1" t="n">
        <v>5</v>
      </c>
      <c r="BD16" s="1" t="n">
        <v>14</v>
      </c>
      <c r="BE16" s="1" t="n">
        <v>0</v>
      </c>
      <c r="BF16" s="1" t="n">
        <v>16</v>
      </c>
      <c r="BG16" s="1" t="n">
        <v>23</v>
      </c>
      <c r="BH16" s="1" t="n">
        <v>10</v>
      </c>
      <c r="BI16" s="1" t="n">
        <v>8</v>
      </c>
      <c r="BJ16" s="1" t="n">
        <v>15</v>
      </c>
      <c r="BK16" s="1" t="n">
        <v>2</v>
      </c>
      <c r="BL16" s="1" t="n">
        <v>9</v>
      </c>
      <c r="BM16" s="1" t="n">
        <v>14</v>
      </c>
      <c r="BN16" s="1" t="n">
        <v>5</v>
      </c>
      <c r="BO16" s="1" t="n">
        <v>5</v>
      </c>
      <c r="BP16" s="1" t="n">
        <v>17</v>
      </c>
      <c r="BQ16" s="1" t="n">
        <v>3</v>
      </c>
      <c r="BR16" s="1" t="n">
        <v>6</v>
      </c>
      <c r="BS16" s="1" t="n">
        <v>7</v>
      </c>
      <c r="BT16" s="1" t="n">
        <v>7</v>
      </c>
      <c r="BW16" s="1" t="n">
        <f aca="false">$AM16</f>
        <v>5</v>
      </c>
      <c r="BX16" s="1" t="n">
        <f aca="false">MAX(BX15-AN16/AN$9*100,0)</f>
        <v>0</v>
      </c>
      <c r="BY16" s="1" t="n">
        <f aca="false">MAX(BY15-AO16/AO$9*100,0)</f>
        <v>0</v>
      </c>
      <c r="BZ16" s="1" t="n">
        <f aca="false">MAX(BZ15-AQ16/AQ$9*100,0)</f>
        <v>0</v>
      </c>
      <c r="CA16" s="1" t="n">
        <f aca="false">MAX(CA15-AR16/AR$9*100,0)</f>
        <v>0</v>
      </c>
      <c r="CB16" s="1" t="n">
        <f aca="false">CB$7*EXP(-$AM16/CB$8)</f>
        <v>0.316265812072625</v>
      </c>
      <c r="CC16" s="1" t="n">
        <f aca="false">(BZ16-CB16)^2</f>
        <v>0.100024063885957</v>
      </c>
      <c r="CD16" s="1" t="n">
        <f aca="false">MAX(CD15-AT16/AT$9*100,0)</f>
        <v>0</v>
      </c>
      <c r="CE16" s="1" t="n">
        <f aca="false">MAX(CE15-AU16/AU$9*100,0)</f>
        <v>5.32907051820075E-015</v>
      </c>
      <c r="CF16" s="1" t="n">
        <f aca="false">CF$7*EXP(-$AM16/CF$8)</f>
        <v>0.372775218602535</v>
      </c>
      <c r="CG16" s="1" t="n">
        <f aca="false">(CD16-CF16)^2</f>
        <v>0.138961363604168</v>
      </c>
      <c r="CH16" s="1" t="n">
        <f aca="false">$AM16</f>
        <v>5</v>
      </c>
      <c r="CI16" s="1" t="n">
        <f aca="false">MAX(CI15-AW16/AW$9*100,0)</f>
        <v>0</v>
      </c>
      <c r="CJ16" s="1" t="n">
        <f aca="false">MAX(CJ15-AX16/AX$9*100,0)</f>
        <v>5.14705882352941</v>
      </c>
      <c r="CK16" s="1" t="n">
        <f aca="false">CK$7*EXP(-$AM16/CK$8)</f>
        <v>2.48005137772727</v>
      </c>
      <c r="CL16" s="1" t="n">
        <f aca="false">(CI16-CK16)^2</f>
        <v>6.15065483616693</v>
      </c>
      <c r="CM16" s="1" t="n">
        <f aca="false">MAX(CM15-AZ16/AZ$9*100,0)</f>
        <v>10.1522842639594</v>
      </c>
      <c r="CN16" s="1" t="n">
        <f aca="false">MAX(CN15-BA16/BA$9*100,0)</f>
        <v>17.7664974619289</v>
      </c>
      <c r="CO16" s="1" t="n">
        <f aca="false">CO$7*EXP(-$AM16/CO$8)</f>
        <v>12.0191711927033</v>
      </c>
      <c r="CP16" s="1" t="n">
        <f aca="false">(CM16-CO16)^2</f>
        <v>3.48526680471488</v>
      </c>
      <c r="CQ16" s="1" t="n">
        <f aca="false">$AM16</f>
        <v>5</v>
      </c>
      <c r="CR16" s="1" t="n">
        <f aca="false">MAX(CR15-BC16/BC$9*100,0)</f>
        <v>1.88679245283019</v>
      </c>
      <c r="CS16" s="1" t="n">
        <f aca="false">MAX(CS15-BD16/BD$9*100,0)</f>
        <v>8.80503144654087</v>
      </c>
      <c r="CT16" s="1" t="n">
        <f aca="false">CT$7*EXP(-$AM16/CT$8)</f>
        <v>2.86745452967205</v>
      </c>
      <c r="CU16" s="1" t="n">
        <f aca="false">(CR16-CT16)^2</f>
        <v>0.961698108955792</v>
      </c>
      <c r="CV16" s="1" t="n">
        <f aca="false">MAX(CV15-BF16/BF$9*100,0)</f>
        <v>16.5829145728643</v>
      </c>
      <c r="CW16" s="1" t="n">
        <f aca="false">MAX(CW15-BG16/BG$9*100,0)</f>
        <v>45.7286432160804</v>
      </c>
      <c r="CX16" s="1" t="n">
        <f aca="false">CX$7*EXP(-$AM16/CX$8)</f>
        <v>17.076043152868</v>
      </c>
      <c r="CY16" s="1" t="n">
        <f aca="false">(CV16-CX16)^2</f>
        <v>0.243175796416436</v>
      </c>
      <c r="CZ16" s="1" t="n">
        <f aca="false">$AM16</f>
        <v>5</v>
      </c>
      <c r="DA16" s="1" t="n">
        <f aca="false">MAX(DA15-BI16/BI$9*100,0)</f>
        <v>1.36986301369863</v>
      </c>
      <c r="DB16" s="1" t="n">
        <f aca="false">MAX(DB15-BJ16/BJ$9*100,0)</f>
        <v>21.9178082191781</v>
      </c>
      <c r="DC16" s="1" t="n">
        <f aca="false">DC$7*EXP(-$AM16/DC$8)</f>
        <v>4.16009861174027</v>
      </c>
      <c r="DD16" s="1" t="n">
        <f aca="false">(DA16-DC16)^2</f>
        <v>7.78541469257877</v>
      </c>
      <c r="DE16" s="1" t="n">
        <f aca="false">MAX(DE15-BL16/BL$9*100,0)</f>
        <v>38.8535031847134</v>
      </c>
      <c r="DF16" s="1" t="n">
        <f aca="false">MAX(DF15-BM16/BM$9*100,0)</f>
        <v>71.9745222929936</v>
      </c>
      <c r="DG16" s="1" t="n">
        <f aca="false">DG$7*EXP(-$AM16/DG$8)</f>
        <v>34.5238280216529</v>
      </c>
      <c r="DH16" s="1" t="n">
        <f aca="false">(DE16-DG16)^2</f>
        <v>18.7460870176227</v>
      </c>
      <c r="DI16" s="1" t="n">
        <f aca="false">$AM16</f>
        <v>5</v>
      </c>
      <c r="DJ16" s="1" t="n">
        <f aca="false">MAX(DJ15-BO16/BO$9*100,0)</f>
        <v>7.17948717948717</v>
      </c>
      <c r="DK16" s="1" t="n">
        <f aca="false">MAX(DK15-BP16/BP$9*100,0)</f>
        <v>36.4102564102564</v>
      </c>
      <c r="DL16" s="1" t="n">
        <f aca="false">DL$7*EXP(-$AM16/DL$8)</f>
        <v>6.98071000503048</v>
      </c>
      <c r="DM16" s="1" t="n">
        <f aca="false">(DJ16-DL16)^2</f>
        <v>0.0395123650849867</v>
      </c>
      <c r="DN16" s="1" t="n">
        <f aca="false">MAX(DN15-BR16/BR$9*100,0)</f>
        <v>32.6633165829146</v>
      </c>
      <c r="DO16" s="1" t="n">
        <f aca="false">MAX(DO15-BS16/BS$9*100,0)</f>
        <v>69.8492462311558</v>
      </c>
      <c r="DP16" s="1" t="n">
        <f aca="false">DP$7*EXP(-$AM16/DP$8)</f>
        <v>29.594556720227</v>
      </c>
      <c r="DQ16" s="1" t="n">
        <f aca="false">(DN16-DP16)^2</f>
        <v>9.41728709484226</v>
      </c>
      <c r="DS16" s="1" t="n">
        <f aca="false">$AM16</f>
        <v>5</v>
      </c>
      <c r="DT16" s="1" t="n">
        <f aca="false">CA16</f>
        <v>0</v>
      </c>
      <c r="DU16" s="1" t="n">
        <f aca="false">DU$7*EXP(-DS16/DU$8)</f>
        <v>0.940927700991571</v>
      </c>
      <c r="DV16" s="1" t="n">
        <f aca="false">(DT16-DU16)^2</f>
        <v>0.885344938493283</v>
      </c>
      <c r="DX16" s="1" t="n">
        <f aca="false">$AM16</f>
        <v>5</v>
      </c>
      <c r="DY16" s="1" t="n">
        <f aca="false">CM16</f>
        <v>10.1522842639594</v>
      </c>
      <c r="DZ16" s="1" t="n">
        <f aca="false">DZ$7*EXP(-DX16/DZ$8)</f>
        <v>9.52201293288151</v>
      </c>
      <c r="EA16" s="1" t="n">
        <f aca="false">(DY16-DZ16)^2</f>
        <v>0.397241950778678</v>
      </c>
      <c r="EC16" s="1" t="n">
        <f aca="false">$AM16</f>
        <v>5</v>
      </c>
      <c r="ED16" s="1" t="n">
        <f aca="false">CV16</f>
        <v>16.5829145728643</v>
      </c>
      <c r="EE16" s="1" t="n">
        <f aca="false">EE$7*EXP(-EC16/EE$8)</f>
        <v>15.9973157743733</v>
      </c>
      <c r="EF16" s="1" t="n">
        <f aca="false">(ED16-EE16)^2</f>
        <v>0.342925952794137</v>
      </c>
      <c r="EH16" s="1" t="n">
        <f aca="false">$AM16</f>
        <v>5</v>
      </c>
      <c r="EI16" s="1" t="n">
        <f aca="false">DE16</f>
        <v>38.8535031847134</v>
      </c>
      <c r="EJ16" s="1" t="n">
        <f aca="false">EJ$7*EXP(-EH16/EJ$8)</f>
        <v>34.3805756232228</v>
      </c>
      <c r="EK16" s="1" t="n">
        <f aca="false">(EI16-EJ16)^2</f>
        <v>20.007080970342</v>
      </c>
      <c r="EM16" s="1" t="n">
        <f aca="false">AM16</f>
        <v>5</v>
      </c>
      <c r="EN16" s="1" t="n">
        <f aca="false">DN16</f>
        <v>32.6633165829146</v>
      </c>
      <c r="EO16" s="1" t="n">
        <f aca="false">EO$7*EXP(-EM16/EO$8)</f>
        <v>30.4970125331569</v>
      </c>
      <c r="EP16" s="1" t="n">
        <f aca="false">(EN16-EO16)^2</f>
        <v>4.6928732359965</v>
      </c>
      <c r="ER16" s="1" t="n">
        <f aca="false">$AM16</f>
        <v>5</v>
      </c>
      <c r="ES16" s="1" t="n">
        <f aca="false">BZ16</f>
        <v>0</v>
      </c>
      <c r="ET16" s="1" t="n">
        <f aca="false">ET$7*EXP(-ER16/ET$8)</f>
        <v>0.475734763525453</v>
      </c>
      <c r="EU16" s="1" t="n">
        <f aca="false">(ES16-ET16)^2</f>
        <v>0.226323565226619</v>
      </c>
      <c r="EW16" s="1" t="n">
        <f aca="false">$AM16</f>
        <v>5</v>
      </c>
      <c r="EX16" s="1" t="n">
        <f aca="false">CI16</f>
        <v>0</v>
      </c>
      <c r="EY16" s="1" t="n">
        <f aca="false">EY$7*EXP(-EW16/EY$8)</f>
        <v>1.00677556703265</v>
      </c>
      <c r="EZ16" s="1" t="n">
        <f aca="false">(EX16-EY16)^2</f>
        <v>1.01359704237391</v>
      </c>
      <c r="FB16" s="1" t="n">
        <f aca="false">$AM16</f>
        <v>5</v>
      </c>
      <c r="FC16" s="1" t="n">
        <f aca="false">CR16</f>
        <v>1.88679245283019</v>
      </c>
      <c r="FD16" s="1" t="n">
        <f aca="false">FD$7*EXP(-FB16/FD$8)</f>
        <v>1.52177708738412</v>
      </c>
      <c r="FE16" s="1" t="n">
        <f aca="false">(FC16-FD16)^2</f>
        <v>0.133236217011727</v>
      </c>
      <c r="FG16" s="1" t="n">
        <f aca="false">$AM16</f>
        <v>5</v>
      </c>
      <c r="FH16" s="1" t="n">
        <f aca="false">DA16</f>
        <v>1.36986301369863</v>
      </c>
      <c r="FI16" s="1" t="n">
        <f aca="false">FI$7*EXP(-FG16/FI$8)</f>
        <v>2.98474784355222</v>
      </c>
      <c r="FJ16" s="1" t="n">
        <f aca="false">(FH16-FI16)^2</f>
        <v>2.60785301369125</v>
      </c>
      <c r="FL16" s="1" t="n">
        <f aca="false">EM16</f>
        <v>5</v>
      </c>
      <c r="FM16" s="1" t="n">
        <f aca="false">DJ16</f>
        <v>7.17948717948717</v>
      </c>
      <c r="FN16" s="1" t="n">
        <f aca="false">FN$7*EXP(-FL16/FN$8)</f>
        <v>6.06457886903291</v>
      </c>
      <c r="FO16" s="1" t="n">
        <f aca="false">(FM16-FN16)^2</f>
        <v>1.24302054071998</v>
      </c>
      <c r="FQ16" s="1" t="n">
        <f aca="false">AM16</f>
        <v>5</v>
      </c>
      <c r="FR16" s="1" t="n">
        <f aca="false">AN16/AN$9*100</f>
        <v>0</v>
      </c>
      <c r="FS16" s="1" t="n">
        <f aca="false">AO16/AO$9*100</f>
        <v>0</v>
      </c>
      <c r="FT16" s="1" t="n">
        <f aca="false">AQ16/AQ$9*100</f>
        <v>0</v>
      </c>
      <c r="FU16" s="1" t="n">
        <f aca="false">AR16/AR$9*100</f>
        <v>0</v>
      </c>
      <c r="FV16" s="1" t="n">
        <f aca="false">AT16/AT$9*100</f>
        <v>0.432900432900433</v>
      </c>
      <c r="FW16" s="1" t="n">
        <f aca="false">AU16/AU$9*100</f>
        <v>0.432900432900433</v>
      </c>
      <c r="FX16" s="1" t="n">
        <f aca="false">AW16/AW$9*100</f>
        <v>2.20588235294118</v>
      </c>
      <c r="FY16" s="1" t="n">
        <f aca="false">AX16/AX$9*100</f>
        <v>3.67647058823529</v>
      </c>
      <c r="FZ16" s="1" t="n">
        <f aca="false">AZ16/AZ$9*100</f>
        <v>5.58375634517767</v>
      </c>
      <c r="GA16" s="1" t="n">
        <f aca="false">BA16/BA$9*100</f>
        <v>6.59898477157361</v>
      </c>
      <c r="GB16" s="1" t="n">
        <f aca="false">BC16/BC$9*100</f>
        <v>3.14465408805031</v>
      </c>
      <c r="GC16" s="1" t="n">
        <f aca="false">BD16/BD$9*100</f>
        <v>8.80503144654088</v>
      </c>
      <c r="GD16" s="1" t="n">
        <f aca="false">BF16/BF$9*100</f>
        <v>8.04020100502513</v>
      </c>
      <c r="GE16" s="1" t="n">
        <f aca="false">BG16/BG$9*100</f>
        <v>11.5577889447236</v>
      </c>
      <c r="GF16" s="1" t="n">
        <f aca="false">BI16/BI$9*100</f>
        <v>5.47945205479452</v>
      </c>
      <c r="GG16" s="1" t="n">
        <f aca="false">BJ16/BJ$9*100</f>
        <v>10.2739726027397</v>
      </c>
      <c r="GH16" s="1" t="n">
        <f aca="false">BL16/BL$9*100</f>
        <v>5.73248407643312</v>
      </c>
      <c r="GI16" s="1" t="n">
        <f aca="false">BM16/BM$9*100</f>
        <v>8.9171974522293</v>
      </c>
      <c r="GJ16" s="1" t="n">
        <f aca="false">BO16/BO$9*100</f>
        <v>2.56410256410256</v>
      </c>
      <c r="GK16" s="1" t="n">
        <f aca="false">BP16/BP$9*100</f>
        <v>8.71794871794872</v>
      </c>
      <c r="GL16" s="1" t="n">
        <f aca="false">BR16/BR$9*100</f>
        <v>3.01507537688442</v>
      </c>
      <c r="GM16" s="1" t="n">
        <f aca="false">BS16/BS$9*100</f>
        <v>3.51758793969849</v>
      </c>
      <c r="GO16" s="1" t="n">
        <f aca="false">$AM16</f>
        <v>5</v>
      </c>
      <c r="GP16" s="1" t="n">
        <f aca="false">FT16</f>
        <v>0</v>
      </c>
      <c r="GQ16" s="1" t="n">
        <f aca="false">GQ$6*(1+GQ$5*(-1)^$FQ16)*EXP(-$FQ16/GQ$4)</f>
        <v>1.59035627662219</v>
      </c>
      <c r="GR16" s="1" t="n">
        <f aca="false">(GP16-GQ16)^2</f>
        <v>2.5292330865916</v>
      </c>
      <c r="GS16" s="1" t="n">
        <f aca="false">EXP($FQ16/$JG$4)*GP16</f>
        <v>0</v>
      </c>
      <c r="GT16" s="1" t="n">
        <f aca="false">EXP($FQ16/$JG$4)*(-1)^$FQ16*GP16</f>
        <v>-0</v>
      </c>
      <c r="GU16" s="1" t="n">
        <f aca="false">(-1)^GO16*GP16</f>
        <v>-0</v>
      </c>
      <c r="GW16" s="1" t="n">
        <f aca="false">$AM16</f>
        <v>5</v>
      </c>
      <c r="GX16" s="1" t="n">
        <f aca="false">FX16</f>
        <v>2.20588235294118</v>
      </c>
      <c r="GY16" s="1" t="n">
        <f aca="false">GY$6*(1+GY$5*(-1)^$FQ16)*EXP(-$FQ16/GY$4)</f>
        <v>1.59035627662219</v>
      </c>
      <c r="GZ16" s="1" t="n">
        <f aca="false">(GX16-GY16)^2</f>
        <v>0.378872350628647</v>
      </c>
      <c r="HA16" s="1" t="n">
        <f aca="false">EXP($FQ16/$JG$4)*GX16</f>
        <v>7.09472739670254</v>
      </c>
      <c r="HB16" s="1" t="n">
        <f aca="false">EXP($FQ16/$JG$4)*(-1)^$FQ16*GX16</f>
        <v>-7.09472739670254</v>
      </c>
      <c r="HC16" s="1" t="n">
        <f aca="false">(-1)^GW16*GX16</f>
        <v>-2.20588235294118</v>
      </c>
      <c r="HE16" s="1" t="n">
        <f aca="false">$AM16</f>
        <v>5</v>
      </c>
      <c r="HF16" s="1" t="n">
        <f aca="false">GB16</f>
        <v>3.14465408805031</v>
      </c>
      <c r="HG16" s="1" t="n">
        <f aca="false">HG$6*(1+HG$5*(-1)^$FQ16)*EXP(-$FQ16/HG$4)</f>
        <v>1.59035627662219</v>
      </c>
      <c r="HH16" s="1" t="n">
        <f aca="false">(HF16-HG16)^2</f>
        <v>2.41584168661026</v>
      </c>
      <c r="HI16" s="1" t="n">
        <f aca="false">EXP($FQ16/$JG$4)*HF16</f>
        <v>10.1140767919449</v>
      </c>
      <c r="HJ16" s="1" t="n">
        <f aca="false">EXP($FQ16/$JG$4)*(-1)^$FQ16*HF16</f>
        <v>-10.1140767919449</v>
      </c>
      <c r="HK16" s="1" t="n">
        <f aca="false">(-1)^HE16*HF16</f>
        <v>-3.14465408805031</v>
      </c>
      <c r="HM16" s="1" t="n">
        <f aca="false">$AM16</f>
        <v>5</v>
      </c>
      <c r="HN16" s="1" t="n">
        <f aca="false">GF16</f>
        <v>5.47945205479452</v>
      </c>
      <c r="HO16" s="1" t="n">
        <f aca="false">HO$6*(1+HO$5*(-1)^$FQ16)*EXP(-$FQ16/HO$4)</f>
        <v>1.81645163586942</v>
      </c>
      <c r="HP16" s="1" t="n">
        <f aca="false">(HN16-HO16)^2</f>
        <v>13.4175720690455</v>
      </c>
      <c r="HQ16" s="1" t="n">
        <f aca="false">EXP($FQ16/$JG$4)*HN16</f>
        <v>17.6234324374711</v>
      </c>
      <c r="HR16" s="1" t="n">
        <f aca="false">EXP($FQ16/$JG$4)*(-1)^$FQ16*HN16</f>
        <v>-17.6234324374711</v>
      </c>
      <c r="HS16" s="1" t="n">
        <f aca="false">(-1)^HM16*HN16</f>
        <v>-5.47945205479452</v>
      </c>
      <c r="HU16" s="1" t="n">
        <f aca="false">$AM16</f>
        <v>5</v>
      </c>
      <c r="HV16" s="1" t="n">
        <f aca="false">GJ16</f>
        <v>2.56410256410256</v>
      </c>
      <c r="HW16" s="1" t="n">
        <f aca="false">HW$6*(1+HW$5*(-1)^$FQ16)*EXP(-$FQ16/HW$4)</f>
        <v>3.41744771190008</v>
      </c>
      <c r="HX16" s="1" t="n">
        <f aca="false">(HV16-HW16)^2</f>
        <v>0.728197941269565</v>
      </c>
      <c r="HY16" s="1" t="n">
        <f aca="false">EXP($FQ16/$JG$4)*HV16</f>
        <v>8.24686261497047</v>
      </c>
      <c r="HZ16" s="1" t="n">
        <f aca="false">EXP($FQ16/$JG$4)*(-1)^$FQ16*HV16</f>
        <v>-8.24686261497047</v>
      </c>
      <c r="IA16" s="1" t="n">
        <f aca="false">(-1)^HU16*HV16</f>
        <v>-2.56410256410256</v>
      </c>
      <c r="IB16" s="1" t="n">
        <v>3.71802</v>
      </c>
      <c r="ID16" s="1" t="n">
        <f aca="false">$AM16</f>
        <v>5</v>
      </c>
      <c r="IE16" s="1" t="n">
        <f aca="false">FZ16</f>
        <v>5.58375634517767</v>
      </c>
      <c r="IF16" s="1" t="n">
        <f aca="false">IF$6*(1+IF$5*(-1)^$FQ16)*EXP(-$FQ16/IF$4)</f>
        <v>5.36455388490215</v>
      </c>
      <c r="IG16" s="1" t="n">
        <f aca="false">(IE16-IF16)^2</f>
        <v>0.048049718590839</v>
      </c>
      <c r="IH16" s="1" t="n">
        <f aca="false">EXP($FQ16/$JG$4)*IE16</f>
        <v>17.9589038671184</v>
      </c>
      <c r="II16" s="1" t="n">
        <f aca="false">EXP($FQ16/$JG$4)*(-1)^$FQ16*IE16</f>
        <v>-17.9589038671184</v>
      </c>
      <c r="IJ16" s="1" t="n">
        <f aca="false">(-1)^ID16*IE16</f>
        <v>-5.58375634517767</v>
      </c>
      <c r="IK16" s="1" t="n">
        <v>4.824121</v>
      </c>
      <c r="IM16" s="1" t="n">
        <f aca="false">$AM16</f>
        <v>5</v>
      </c>
      <c r="IN16" s="1" t="n">
        <f aca="false">GD16</f>
        <v>8.04020100502513</v>
      </c>
      <c r="IO16" s="1" t="n">
        <f aca="false">IO$6*(1+IO$5*(-1)^$FQ16)*EXP(-$FQ16/IO$4)</f>
        <v>5.26976290658596</v>
      </c>
      <c r="IP16" s="1" t="n">
        <f aca="false">(IN16-IO16)^2</f>
        <v>7.67532725728322</v>
      </c>
      <c r="IQ16" s="1" t="n">
        <f aca="false">EXP($FQ16/$JG$4)*IN16</f>
        <v>25.859508903224</v>
      </c>
      <c r="IR16" s="1" t="n">
        <f aca="false">EXP($FQ16/$JG$4)*(-1)^$FQ16*IN16</f>
        <v>-25.859508903224</v>
      </c>
      <c r="IS16" s="1" t="n">
        <f aca="false">(-1)^IM16*IN16</f>
        <v>-8.04020100502513</v>
      </c>
      <c r="IT16" s="1" t="n">
        <v>6.746589</v>
      </c>
      <c r="IV16" s="1" t="n">
        <f aca="false">$AM16</f>
        <v>5</v>
      </c>
      <c r="IW16" s="1" t="n">
        <f aca="false">GH16</f>
        <v>5.73248407643312</v>
      </c>
      <c r="IX16" s="1" t="n">
        <f aca="false">IX$6*(1+IX$5*(-1)^$FQ16)*EXP(-$FQ16/IX$4)</f>
        <v>3.52291284296345</v>
      </c>
      <c r="IY16" s="1" t="n">
        <f aca="false">(IW16-IX16)^2</f>
        <v>4.88220503577669</v>
      </c>
      <c r="IZ16" s="1" t="n">
        <f aca="false">EXP($FQ16/$JG$4)*IW16</f>
        <v>18.4372533621314</v>
      </c>
      <c r="JA16" s="1" t="n">
        <f aca="false">EXP($FQ16/$JG$4)*(-1)^$FQ16*IW16</f>
        <v>-18.4372533621314</v>
      </c>
      <c r="JB16" s="1" t="n">
        <f aca="false">(-1)^IV16*IW16</f>
        <v>-5.73248407643312</v>
      </c>
      <c r="JC16" s="1" t="n">
        <v>13.284644</v>
      </c>
      <c r="JE16" s="1" t="n">
        <f aca="false">$AM16</f>
        <v>5</v>
      </c>
      <c r="JF16" s="1" t="n">
        <f aca="false">GL16</f>
        <v>3.01507537688442</v>
      </c>
      <c r="JG16" s="1" t="n">
        <f aca="false">JG$6*(1+JG$5*(-1)^$FQ16)*EXP(-$FQ16/JG$4)</f>
        <v>2.37124459516483</v>
      </c>
      <c r="JH16" s="1" t="n">
        <f aca="false">(JF16-JG16)^2</f>
        <v>0.41451807548966</v>
      </c>
      <c r="JI16" s="1" t="n">
        <f aca="false">EXP($FQ16/$JG$4)*JF16</f>
        <v>9.69731583870899</v>
      </c>
      <c r="JJ16" s="1" t="n">
        <f aca="false">EXP($FQ16/$JG$4)*(-1)^$FQ16*JF16</f>
        <v>-9.69731583870899</v>
      </c>
      <c r="JK16" s="1" t="n">
        <f aca="false">(-1)^JE16*JF16</f>
        <v>-3.01507537688442</v>
      </c>
      <c r="JL16" s="1" t="n">
        <v>14.64671</v>
      </c>
      <c r="JO16" s="1" t="n">
        <f aca="false">$AM16</f>
        <v>5</v>
      </c>
      <c r="JP16" s="1" t="n">
        <f aca="false">GM16</f>
        <v>3.51758793969849</v>
      </c>
      <c r="JQ16" s="1" t="n">
        <f aca="false">JQ$6*(1+JQ$5*(-1)^$FQ16)*EXP(-$FQ16/JQ$4)</f>
        <v>1.8364526001758</v>
      </c>
      <c r="JR16" s="1" t="n">
        <f aca="false">(JP16-JQ16)^2</f>
        <v>2.82621602979208</v>
      </c>
      <c r="JS16" s="1" t="n">
        <f aca="false">EXP($FQ16/$JG$4)*JP16</f>
        <v>11.3135351451605</v>
      </c>
      <c r="JT16" s="1" t="n">
        <f aca="false">EXP($FQ16/$JG$4)*(-1)^$FQ16*JP16</f>
        <v>-11.3135351451605</v>
      </c>
      <c r="JU16" s="1" t="n">
        <f aca="false">(-1)^JO16*JP16</f>
        <v>-3.51758793969849</v>
      </c>
    </row>
    <row r="17" customFormat="false" ht="16" hidden="false" customHeight="false" outlineLevel="0" collapsed="false">
      <c r="A17" s="1" t="n">
        <v>2</v>
      </c>
      <c r="B17" s="1" t="n">
        <v>2</v>
      </c>
      <c r="C17" s="1" t="n">
        <f aca="false">B17-A17</f>
        <v>0</v>
      </c>
      <c r="D17" s="1" t="n">
        <v>1</v>
      </c>
      <c r="E17" s="1" t="n">
        <v>1</v>
      </c>
      <c r="F17" s="1" t="n">
        <f aca="false">E17-D17</f>
        <v>0</v>
      </c>
      <c r="G17" s="1" t="n">
        <v>2</v>
      </c>
      <c r="H17" s="1" t="n">
        <v>2</v>
      </c>
      <c r="I17" s="1" t="n">
        <f aca="false">H17-G17</f>
        <v>0</v>
      </c>
      <c r="J17" s="1" t="n">
        <v>2</v>
      </c>
      <c r="K17" s="1" t="n">
        <v>2</v>
      </c>
      <c r="L17" s="1" t="n">
        <f aca="false">K17-J17</f>
        <v>0</v>
      </c>
      <c r="M17" s="1" t="n">
        <v>3</v>
      </c>
      <c r="N17" s="1" t="n">
        <v>5</v>
      </c>
      <c r="O17" s="1" t="n">
        <f aca="false">N17-M17</f>
        <v>2</v>
      </c>
      <c r="P17" s="1" t="n">
        <v>2</v>
      </c>
      <c r="Q17" s="1" t="n">
        <v>4</v>
      </c>
      <c r="R17" s="1" t="n">
        <f aca="false">Q17-P17</f>
        <v>2</v>
      </c>
      <c r="S17" s="1" t="n">
        <v>3</v>
      </c>
      <c r="T17" s="1" t="n">
        <v>3</v>
      </c>
      <c r="U17" s="1" t="n">
        <f aca="false">T17-S17</f>
        <v>0</v>
      </c>
      <c r="V17" s="1" t="n">
        <v>1</v>
      </c>
      <c r="W17" s="1" t="n">
        <v>2</v>
      </c>
      <c r="X17" s="1" t="n">
        <f aca="false">W17-V17</f>
        <v>1</v>
      </c>
      <c r="Y17" s="1" t="n">
        <v>6</v>
      </c>
      <c r="Z17" s="1" t="n">
        <v>10</v>
      </c>
      <c r="AA17" s="1" t="n">
        <f aca="false">Z17-Y17</f>
        <v>4</v>
      </c>
      <c r="AB17" s="1" t="n">
        <v>4</v>
      </c>
      <c r="AC17" s="1" t="n">
        <v>10</v>
      </c>
      <c r="AD17" s="1" t="n">
        <f aca="false">AC17-AB17</f>
        <v>6</v>
      </c>
      <c r="AE17" s="1" t="n">
        <v>6</v>
      </c>
      <c r="AF17" s="1" t="n">
        <v>20</v>
      </c>
      <c r="AG17" s="1" t="n">
        <f aca="false">AF17-AE17</f>
        <v>14</v>
      </c>
      <c r="AI17" s="1" t="s">
        <v>41</v>
      </c>
      <c r="AJ17" s="1" t="n">
        <f aca="false">COUNTIFS(K$2:K$1000,2,J$2:J$1000,2)</f>
        <v>48</v>
      </c>
      <c r="AM17" s="1" t="n">
        <v>6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4</v>
      </c>
      <c r="AY17" s="1" t="n">
        <v>0</v>
      </c>
      <c r="AZ17" s="1" t="n">
        <v>10</v>
      </c>
      <c r="BA17" s="1" t="n">
        <v>17</v>
      </c>
      <c r="BB17" s="1" t="n">
        <v>0</v>
      </c>
      <c r="BC17" s="1" t="n">
        <v>2</v>
      </c>
      <c r="BD17" s="1" t="n">
        <v>12</v>
      </c>
      <c r="BE17" s="1" t="n">
        <v>0</v>
      </c>
      <c r="BF17" s="1" t="n">
        <v>17</v>
      </c>
      <c r="BG17" s="1" t="n">
        <v>18</v>
      </c>
      <c r="BH17" s="1" t="n">
        <v>11</v>
      </c>
      <c r="BI17" s="1" t="n">
        <v>2</v>
      </c>
      <c r="BJ17" s="1" t="n">
        <v>17</v>
      </c>
      <c r="BK17" s="1" t="n">
        <v>0</v>
      </c>
      <c r="BL17" s="1" t="n">
        <v>30</v>
      </c>
      <c r="BM17" s="1" t="n">
        <v>22</v>
      </c>
      <c r="BN17" s="1" t="n">
        <v>17</v>
      </c>
      <c r="BO17" s="1" t="n">
        <v>9</v>
      </c>
      <c r="BP17" s="1" t="n">
        <v>30</v>
      </c>
      <c r="BQ17" s="1" t="n">
        <v>8</v>
      </c>
      <c r="BR17" s="1" t="n">
        <v>26</v>
      </c>
      <c r="BS17" s="1" t="n">
        <v>13</v>
      </c>
      <c r="BT17" s="1" t="n">
        <v>26</v>
      </c>
      <c r="BW17" s="1" t="n">
        <f aca="false">$AM17</f>
        <v>6</v>
      </c>
      <c r="BX17" s="1" t="n">
        <f aca="false">MAX(BX16-AN17/AN$9*100,0)</f>
        <v>0</v>
      </c>
      <c r="BY17" s="1" t="n">
        <f aca="false">MAX(BY16-AO17/AO$9*100,0)</f>
        <v>0</v>
      </c>
      <c r="BZ17" s="1" t="n">
        <f aca="false">MAX(BZ16-AQ17/AQ$9*100,0)</f>
        <v>0</v>
      </c>
      <c r="CA17" s="1" t="n">
        <f aca="false">MAX(CA16-AR17/AR$9*100,0)</f>
        <v>0</v>
      </c>
      <c r="CB17" s="1" t="n">
        <f aca="false">CB$7*EXP(-$AM17/CB$8)</f>
        <v>0.0863044998553871</v>
      </c>
      <c r="CC17" s="1" t="n">
        <f aca="false">(BZ17-CB17)^2</f>
        <v>0.00744846669528851</v>
      </c>
      <c r="CD17" s="1" t="n">
        <f aca="false">MAX(CD16-AT17/AT$9*100,0)</f>
        <v>0</v>
      </c>
      <c r="CE17" s="1" t="n">
        <f aca="false">MAX(CE16-AU17/AU$9*100,0)</f>
        <v>5.32907051820075E-015</v>
      </c>
      <c r="CF17" s="1" t="n">
        <f aca="false">CF$7*EXP(-$AM17/CF$8)</f>
        <v>0.105125284236631</v>
      </c>
      <c r="CG17" s="1" t="n">
        <f aca="false">(CD17-CF17)^2</f>
        <v>0.0110513253858325</v>
      </c>
      <c r="CH17" s="1" t="n">
        <f aca="false">$AM17</f>
        <v>6</v>
      </c>
      <c r="CI17" s="1" t="n">
        <f aca="false">MAX(CI16-AW17/AW$9*100,0)</f>
        <v>0</v>
      </c>
      <c r="CJ17" s="1" t="n">
        <f aca="false">MAX(CJ16-AX17/AX$9*100,0)</f>
        <v>2.20588235294118</v>
      </c>
      <c r="CK17" s="1" t="n">
        <f aca="false">CK$7*EXP(-$AM17/CK$8)</f>
        <v>1.05503972694063</v>
      </c>
      <c r="CL17" s="1" t="n">
        <f aca="false">(CI17-CK17)^2</f>
        <v>1.11310882542296</v>
      </c>
      <c r="CM17" s="1" t="n">
        <f aca="false">MAX(CM16-AZ17/AZ$9*100,0)</f>
        <v>5.07614213197969</v>
      </c>
      <c r="CN17" s="1" t="n">
        <f aca="false">MAX(CN16-BA17/BA$9*100,0)</f>
        <v>9.13705583756346</v>
      </c>
      <c r="CO17" s="1" t="n">
        <f aca="false">CO$7*EXP(-$AM17/CO$8)</f>
        <v>7.43154474519291</v>
      </c>
      <c r="CP17" s="1" t="n">
        <f aca="false">(CM17-CO17)^2</f>
        <v>5.54792147033166</v>
      </c>
      <c r="CQ17" s="1" t="n">
        <f aca="false">$AM17</f>
        <v>6</v>
      </c>
      <c r="CR17" s="1" t="n">
        <f aca="false">MAX(CR16-BC17/BC$9*100,0)</f>
        <v>0.628930817610063</v>
      </c>
      <c r="CS17" s="1" t="n">
        <f aca="false">MAX(CS16-BD17/BD$9*100,0)</f>
        <v>1.25786163522012</v>
      </c>
      <c r="CT17" s="1" t="n">
        <f aca="false">CT$7*EXP(-$AM17/CT$8)</f>
        <v>1.30476524794357</v>
      </c>
      <c r="CU17" s="1" t="n">
        <f aca="false">(CR17-CT17)^2</f>
        <v>0.456752177224216</v>
      </c>
      <c r="CV17" s="1" t="n">
        <f aca="false">MAX(CV16-BF17/BF$9*100,0)</f>
        <v>8.04020100502513</v>
      </c>
      <c r="CW17" s="1" t="n">
        <f aca="false">MAX(CW16-BG17/BG$9*100,0)</f>
        <v>36.6834170854271</v>
      </c>
      <c r="CX17" s="1" t="n">
        <f aca="false">CX$7*EXP(-$AM17/CX$8)</f>
        <v>11.2960528061233</v>
      </c>
      <c r="CY17" s="1" t="n">
        <f aca="false">(CV17-CX17)^2</f>
        <v>10.6005709507142</v>
      </c>
      <c r="CZ17" s="1" t="n">
        <f aca="false">$AM17</f>
        <v>6</v>
      </c>
      <c r="DA17" s="1" t="n">
        <f aca="false">MAX(DA16-BI17/BI$9*100,0)</f>
        <v>0</v>
      </c>
      <c r="DB17" s="1" t="n">
        <f aca="false">MAX(DB16-BJ17/BJ$9*100,0)</f>
        <v>10.2739726027397</v>
      </c>
      <c r="DC17" s="1" t="n">
        <f aca="false">DC$7*EXP(-$AM17/DC$8)</f>
        <v>2.00493526095794</v>
      </c>
      <c r="DD17" s="1" t="n">
        <f aca="false">(DA17-DC17)^2</f>
        <v>4.01976540063248</v>
      </c>
      <c r="DE17" s="1" t="n">
        <f aca="false">MAX(DE16-BL17/BL$9*100,0)</f>
        <v>19.7452229299363</v>
      </c>
      <c r="DF17" s="1" t="n">
        <f aca="false">MAX(DF16-BM17/BM$9*100,0)</f>
        <v>57.9617834394904</v>
      </c>
      <c r="DG17" s="1" t="n">
        <f aca="false">DG$7*EXP(-$AM17/DG$8)</f>
        <v>26.8871842978858</v>
      </c>
      <c r="DH17" s="1" t="n">
        <f aca="false">(DE17-DG17)^2</f>
        <v>51.007612181283</v>
      </c>
      <c r="DI17" s="1" t="n">
        <f aca="false">$AM17</f>
        <v>6</v>
      </c>
      <c r="DJ17" s="1" t="n">
        <f aca="false">MAX(DJ16-BO17/BO$9*100,0)</f>
        <v>2.56410256410256</v>
      </c>
      <c r="DK17" s="1" t="n">
        <f aca="false">MAX(DK16-BP17/BP$9*100,0)</f>
        <v>21.025641025641</v>
      </c>
      <c r="DL17" s="1" t="n">
        <f aca="false">DL$7*EXP(-$AM17/DL$8)</f>
        <v>3.77973423517209</v>
      </c>
      <c r="DM17" s="1" t="n">
        <f aca="false">(DJ17-DL17)^2</f>
        <v>1.4777603597073</v>
      </c>
      <c r="DN17" s="1" t="n">
        <f aca="false">MAX(DN16-BR17/BR$9*100,0)</f>
        <v>19.5979899497487</v>
      </c>
      <c r="DO17" s="1" t="n">
        <f aca="false">MAX(DO16-BS17/BS$9*100,0)</f>
        <v>63.3165829145729</v>
      </c>
      <c r="DP17" s="1" t="n">
        <f aca="false">DP$7*EXP(-$AM17/DP$8)</f>
        <v>22.2937045370078</v>
      </c>
      <c r="DQ17" s="1" t="n">
        <f aca="false">(DN17-DP17)^2</f>
        <v>7.26687713596127</v>
      </c>
      <c r="DS17" s="1" t="n">
        <f aca="false">$AM17</f>
        <v>6</v>
      </c>
      <c r="DT17" s="1" t="n">
        <f aca="false">CA17</f>
        <v>0</v>
      </c>
      <c r="DU17" s="1" t="n">
        <f aca="false">DU$7*EXP(-DS17/DU$8)</f>
        <v>0.335606206941331</v>
      </c>
      <c r="DV17" s="1" t="n">
        <f aca="false">(DT17-DU17)^2</f>
        <v>0.112631526137547</v>
      </c>
      <c r="DX17" s="1" t="n">
        <f aca="false">$AM17</f>
        <v>6</v>
      </c>
      <c r="DY17" s="1" t="n">
        <f aca="false">CM17</f>
        <v>5.07614213197969</v>
      </c>
      <c r="DZ17" s="1" t="n">
        <f aca="false">DZ$7*EXP(-DX17/DZ$8)</f>
        <v>5.42929079181225</v>
      </c>
      <c r="EA17" s="1" t="n">
        <f aca="false">(DY17-DZ17)^2</f>
        <v>0.124713975941532</v>
      </c>
      <c r="EC17" s="1" t="n">
        <f aca="false">$AM17</f>
        <v>6</v>
      </c>
      <c r="ED17" s="1" t="n">
        <f aca="false">CV17</f>
        <v>8.04020100502513</v>
      </c>
      <c r="EE17" s="1" t="n">
        <f aca="false">EE$7*EXP(-EC17/EE$8)</f>
        <v>10.3371036782563</v>
      </c>
      <c r="EF17" s="1" t="n">
        <f aca="false">(ED17-EE17)^2</f>
        <v>5.27576189029648</v>
      </c>
      <c r="EH17" s="1" t="n">
        <f aca="false">$AM17</f>
        <v>6</v>
      </c>
      <c r="EI17" s="1" t="n">
        <f aca="false">DE17</f>
        <v>19.7452229299363</v>
      </c>
      <c r="EJ17" s="1" t="n">
        <f aca="false">EJ$7*EXP(-EH17/EJ$8)</f>
        <v>26.7756192178116</v>
      </c>
      <c r="EK17" s="1" t="n">
        <f aca="false">(EI17-EJ17)^2</f>
        <v>49.4264719645707</v>
      </c>
      <c r="EM17" s="1" t="n">
        <f aca="false">AM17</f>
        <v>6</v>
      </c>
      <c r="EN17" s="1" t="n">
        <f aca="false">DN17</f>
        <v>19.5979899497487</v>
      </c>
      <c r="EO17" s="1" t="n">
        <f aca="false">EO$7*EXP(-EM17/EO$8)</f>
        <v>23.1884921210436</v>
      </c>
      <c r="EP17" s="1" t="n">
        <f aca="false">(EN17-EO17)^2</f>
        <v>12.8917058420731</v>
      </c>
      <c r="ER17" s="1" t="n">
        <f aca="false">$AM17</f>
        <v>6</v>
      </c>
      <c r="ES17" s="1" t="n">
        <f aca="false">BZ17</f>
        <v>0</v>
      </c>
      <c r="ET17" s="1" t="n">
        <f aca="false">ET$7*EXP(-ER17/ET$8)</f>
        <v>0.144659729130954</v>
      </c>
      <c r="EU17" s="1" t="n">
        <f aca="false">(ES17-ET17)^2</f>
        <v>0.020926437232241</v>
      </c>
      <c r="EW17" s="1" t="n">
        <f aca="false">$AM17</f>
        <v>6</v>
      </c>
      <c r="EX17" s="1" t="n">
        <f aca="false">CI17</f>
        <v>0</v>
      </c>
      <c r="EY17" s="1" t="n">
        <f aca="false">EY$7*EXP(-EW17/EY$8)</f>
        <v>0.335494947310261</v>
      </c>
      <c r="EZ17" s="1" t="n">
        <f aca="false">(EX17-EY17)^2</f>
        <v>0.112556859670715</v>
      </c>
      <c r="FB17" s="1" t="n">
        <f aca="false">$AM17</f>
        <v>6</v>
      </c>
      <c r="FC17" s="1" t="n">
        <f aca="false">CR17</f>
        <v>0.628930817610063</v>
      </c>
      <c r="FD17" s="1" t="n">
        <f aca="false">FD$7*EXP(-FB17/FD$8)</f>
        <v>0.587134024557158</v>
      </c>
      <c r="FE17" s="1" t="n">
        <f aca="false">(FC17-FD17)^2</f>
        <v>0.00174697190950738</v>
      </c>
      <c r="FG17" s="1" t="n">
        <f aca="false">$AM17</f>
        <v>6</v>
      </c>
      <c r="FH17" s="1" t="n">
        <f aca="false">DA17</f>
        <v>0</v>
      </c>
      <c r="FI17" s="1" t="n">
        <f aca="false">FI$7*EXP(-FG17/FI$8)</f>
        <v>1.30613055024716</v>
      </c>
      <c r="FJ17" s="1" t="n">
        <f aca="false">(FH17-FI17)^2</f>
        <v>1.70597701428895</v>
      </c>
      <c r="FL17" s="1" t="n">
        <f aca="false">EM17</f>
        <v>6</v>
      </c>
      <c r="FM17" s="1" t="n">
        <f aca="false">DJ17</f>
        <v>2.56410256410256</v>
      </c>
      <c r="FN17" s="1" t="n">
        <f aca="false">FN$7*EXP(-FL17/FN$8)</f>
        <v>3.11365861108481</v>
      </c>
      <c r="FO17" s="1" t="n">
        <f aca="false">(FM17-FN17)^2</f>
        <v>0.302011848774759</v>
      </c>
      <c r="FQ17" s="1" t="n">
        <f aca="false">AM17</f>
        <v>6</v>
      </c>
      <c r="FR17" s="1" t="n">
        <f aca="false">AN17/AN$9*100</f>
        <v>0</v>
      </c>
      <c r="FS17" s="1" t="n">
        <f aca="false">AO17/AO$9*100</f>
        <v>0</v>
      </c>
      <c r="FT17" s="1" t="n">
        <f aca="false">AQ17/AQ$9*100</f>
        <v>0</v>
      </c>
      <c r="FU17" s="1" t="n">
        <f aca="false">AR17/AR$9*100</f>
        <v>0</v>
      </c>
      <c r="FV17" s="1" t="n">
        <f aca="false">AT17/AT$9*100</f>
        <v>0</v>
      </c>
      <c r="FW17" s="1" t="n">
        <f aca="false">AU17/AU$9*100</f>
        <v>0</v>
      </c>
      <c r="FX17" s="1" t="n">
        <f aca="false">AW17/AW$9*100</f>
        <v>0</v>
      </c>
      <c r="FY17" s="1" t="n">
        <f aca="false">AX17/AX$9*100</f>
        <v>2.94117647058824</v>
      </c>
      <c r="FZ17" s="1" t="n">
        <f aca="false">AZ17/AZ$9*100</f>
        <v>5.0761421319797</v>
      </c>
      <c r="GA17" s="1" t="n">
        <f aca="false">BA17/BA$9*100</f>
        <v>8.62944162436548</v>
      </c>
      <c r="GB17" s="1" t="n">
        <f aca="false">BC17/BC$9*100</f>
        <v>1.25786163522013</v>
      </c>
      <c r="GC17" s="1" t="n">
        <f aca="false">BD17/BD$9*100</f>
        <v>7.54716981132076</v>
      </c>
      <c r="GD17" s="1" t="n">
        <f aca="false">BF17/BF$9*100</f>
        <v>8.5427135678392</v>
      </c>
      <c r="GE17" s="1" t="n">
        <f aca="false">BG17/BG$9*100</f>
        <v>9.04522613065327</v>
      </c>
      <c r="GF17" s="1" t="n">
        <f aca="false">BI17/BI$9*100</f>
        <v>1.36986301369863</v>
      </c>
      <c r="GG17" s="1" t="n">
        <f aca="false">BJ17/BJ$9*100</f>
        <v>11.6438356164384</v>
      </c>
      <c r="GH17" s="1" t="n">
        <f aca="false">BL17/BL$9*100</f>
        <v>19.1082802547771</v>
      </c>
      <c r="GI17" s="1" t="n">
        <f aca="false">BM17/BM$9*100</f>
        <v>14.0127388535032</v>
      </c>
      <c r="GJ17" s="1" t="n">
        <f aca="false">BO17/BO$9*100</f>
        <v>4.61538461538462</v>
      </c>
      <c r="GK17" s="1" t="n">
        <f aca="false">BP17/BP$9*100</f>
        <v>15.3846153846154</v>
      </c>
      <c r="GL17" s="1" t="n">
        <f aca="false">BR17/BR$9*100</f>
        <v>13.0653266331658</v>
      </c>
      <c r="GM17" s="1" t="n">
        <f aca="false">BS17/BS$9*100</f>
        <v>6.53266331658292</v>
      </c>
      <c r="GO17" s="1" t="n">
        <f aca="false">$AM17</f>
        <v>6</v>
      </c>
      <c r="GP17" s="1" t="n">
        <f aca="false">FT17</f>
        <v>0</v>
      </c>
      <c r="GQ17" s="1" t="n">
        <f aca="false">GQ$6*(1+GQ$5*(-1)^$FQ17)*EXP(-$FQ17/GQ$4)</f>
        <v>2.17820900135315</v>
      </c>
      <c r="GR17" s="1" t="n">
        <f aca="false">(GP17-GQ17)^2</f>
        <v>4.74459445357589</v>
      </c>
      <c r="GS17" s="1" t="n">
        <f aca="false">EXP($FQ17/$JG$4)*GP17</f>
        <v>0</v>
      </c>
      <c r="GT17" s="1" t="n">
        <f aca="false">EXP($FQ17/$JG$4)*(-1)^$FQ17*GP17</f>
        <v>0</v>
      </c>
      <c r="GU17" s="1" t="n">
        <f aca="false">(-1)^GO17*GP17</f>
        <v>0</v>
      </c>
      <c r="GW17" s="1" t="n">
        <f aca="false">$AM17</f>
        <v>6</v>
      </c>
      <c r="GX17" s="1" t="n">
        <f aca="false">FX17</f>
        <v>0</v>
      </c>
      <c r="GY17" s="1" t="n">
        <f aca="false">GY$6*(1+GY$5*(-1)^$FQ17)*EXP(-$FQ17/GY$4)</f>
        <v>2.17820900135315</v>
      </c>
      <c r="GZ17" s="1" t="n">
        <f aca="false">(GX17-GY17)^2</f>
        <v>4.74459445357589</v>
      </c>
      <c r="HA17" s="1" t="n">
        <f aca="false">EXP($FQ17/$JG$4)*GX17</f>
        <v>0</v>
      </c>
      <c r="HB17" s="1" t="n">
        <f aca="false">EXP($FQ17/$JG$4)*(-1)^$FQ17*GX17</f>
        <v>0</v>
      </c>
      <c r="HC17" s="1" t="n">
        <f aca="false">(-1)^GW17*GX17</f>
        <v>0</v>
      </c>
      <c r="HE17" s="1" t="n">
        <f aca="false">$AM17</f>
        <v>6</v>
      </c>
      <c r="HF17" s="1" t="n">
        <f aca="false">GB17</f>
        <v>1.25786163522013</v>
      </c>
      <c r="HG17" s="1" t="n">
        <f aca="false">HG$6*(1+HG$5*(-1)^$FQ17)*EXP(-$FQ17/HG$4)</f>
        <v>2.17820900135315</v>
      </c>
      <c r="HH17" s="1" t="n">
        <f aca="false">(HF17-HG17)^2</f>
        <v>0.847039274347994</v>
      </c>
      <c r="HI17" s="1" t="n">
        <f aca="false">EXP($FQ17/$JG$4)*HF17</f>
        <v>5.11042373361</v>
      </c>
      <c r="HJ17" s="1" t="n">
        <f aca="false">EXP($FQ17/$JG$4)*(-1)^$FQ17*HF17</f>
        <v>5.11042373361</v>
      </c>
      <c r="HK17" s="1" t="n">
        <f aca="false">(-1)^HE17*HF17</f>
        <v>1.25786163522013</v>
      </c>
      <c r="HM17" s="1" t="n">
        <f aca="false">$AM17</f>
        <v>6</v>
      </c>
      <c r="HN17" s="1" t="n">
        <f aca="false">GF17</f>
        <v>1.36986301369863</v>
      </c>
      <c r="HO17" s="1" t="n">
        <f aca="false">HO$6*(1+HO$5*(-1)^$FQ17)*EXP(-$FQ17/HO$4)</f>
        <v>4.54682888478866</v>
      </c>
      <c r="HP17" s="1" t="n">
        <f aca="false">(HN17-HO17)^2</f>
        <v>10.0931121460708</v>
      </c>
      <c r="HQ17" s="1" t="n">
        <f aca="false">EXP($FQ17/$JG$4)*HN17</f>
        <v>5.565461463315</v>
      </c>
      <c r="HR17" s="1" t="n">
        <f aca="false">EXP($FQ17/$JG$4)*(-1)^$FQ17*HN17</f>
        <v>5.565461463315</v>
      </c>
      <c r="HS17" s="1" t="n">
        <f aca="false">(-1)^HM17*HN17</f>
        <v>1.36986301369863</v>
      </c>
      <c r="HU17" s="1" t="n">
        <f aca="false">$AM17</f>
        <v>6</v>
      </c>
      <c r="HV17" s="1" t="n">
        <f aca="false">GJ17</f>
        <v>4.61538461538462</v>
      </c>
      <c r="HW17" s="1" t="n">
        <f aca="false">HW$6*(1+HW$5*(-1)^$FQ17)*EXP(-$FQ17/HW$4)</f>
        <v>6.58654151003677</v>
      </c>
      <c r="HX17" s="1" t="n">
        <f aca="false">(HV17-HW17)^2</f>
        <v>3.88545950333472</v>
      </c>
      <c r="HY17" s="1" t="n">
        <f aca="false">EXP($FQ17/$JG$4)*HV17</f>
        <v>18.751324007169</v>
      </c>
      <c r="HZ17" s="1" t="n">
        <f aca="false">EXP($FQ17/$JG$4)*(-1)^$FQ17*HV17</f>
        <v>18.751324007169</v>
      </c>
      <c r="IA17" s="1" t="n">
        <f aca="false">(-1)^HU17*HV17</f>
        <v>4.61538461538462</v>
      </c>
      <c r="IB17" s="1" t="n">
        <v>1.428788</v>
      </c>
      <c r="ID17" s="1" t="n">
        <f aca="false">$AM17</f>
        <v>6</v>
      </c>
      <c r="IE17" s="1" t="n">
        <f aca="false">FZ17</f>
        <v>5.0761421319797</v>
      </c>
      <c r="IF17" s="1" t="n">
        <f aca="false">IF$6*(1+IF$5*(-1)^$FQ17)*EXP(-$FQ17/IF$4)</f>
        <v>7.46163160300926</v>
      </c>
      <c r="IG17" s="1" t="n">
        <f aca="false">(IE17-IF17)^2</f>
        <v>5.69056001639291</v>
      </c>
      <c r="IH17" s="1" t="n">
        <f aca="false">EXP($FQ17/$JG$4)*IE17</f>
        <v>20.6232835950251</v>
      </c>
      <c r="II17" s="1" t="n">
        <f aca="false">EXP($FQ17/$JG$4)*(-1)^$FQ17*IE17</f>
        <v>20.6232835950251</v>
      </c>
      <c r="IJ17" s="1" t="n">
        <f aca="false">(-1)^ID17*IE17</f>
        <v>5.0761421319797</v>
      </c>
      <c r="IK17" s="1" t="n">
        <v>2.596137</v>
      </c>
      <c r="IM17" s="1" t="n">
        <f aca="false">$AM17</f>
        <v>6</v>
      </c>
      <c r="IN17" s="1" t="n">
        <f aca="false">GD17</f>
        <v>8.5427135678392</v>
      </c>
      <c r="IO17" s="1" t="n">
        <f aca="false">IO$6*(1+IO$5*(-1)^$FQ17)*EXP(-$FQ17/IO$4)</f>
        <v>8.61166161101585</v>
      </c>
      <c r="IP17" s="1" t="n">
        <f aca="false">(IN17-IO17)^2</f>
        <v>0.00475383265788975</v>
      </c>
      <c r="IQ17" s="1" t="n">
        <f aca="false">EXP($FQ17/$JG$4)*IN17</f>
        <v>34.7072245023815</v>
      </c>
      <c r="IR17" s="1" t="n">
        <f aca="false">EXP($FQ17/$JG$4)*(-1)^$FQ17*IN17</f>
        <v>34.7072245023815</v>
      </c>
      <c r="IS17" s="1" t="n">
        <f aca="false">(-1)^IM17*IN17</f>
        <v>8.5427135678392</v>
      </c>
      <c r="IT17" s="1" t="n">
        <v>3.820671</v>
      </c>
      <c r="IV17" s="1" t="n">
        <f aca="false">$AM17</f>
        <v>6</v>
      </c>
      <c r="IW17" s="1" t="n">
        <f aca="false">GH17</f>
        <v>19.1082802547771</v>
      </c>
      <c r="IX17" s="1" t="n">
        <f aca="false">IX$6*(1+IX$5*(-1)^$FQ17)*EXP(-$FQ17/IX$4)</f>
        <v>11.2718966162593</v>
      </c>
      <c r="IY17" s="1" t="n">
        <f aca="false">(IW17-IX17)^2</f>
        <v>61.408908530029</v>
      </c>
      <c r="IZ17" s="1" t="n">
        <f aca="false">EXP($FQ17/$JG$4)*IW17</f>
        <v>77.6328700933748</v>
      </c>
      <c r="JA17" s="1" t="n">
        <f aca="false">EXP($FQ17/$JG$4)*(-1)^$FQ17*IW17</f>
        <v>77.6328700933748</v>
      </c>
      <c r="JB17" s="1" t="n">
        <f aca="false">(-1)^IV17*IW17</f>
        <v>19.1082802547771</v>
      </c>
      <c r="JC17" s="1" t="n">
        <v>4.210775</v>
      </c>
      <c r="JE17" s="1" t="n">
        <f aca="false">$AM17</f>
        <v>6</v>
      </c>
      <c r="JF17" s="1" t="n">
        <f aca="false">GL17</f>
        <v>13.0653266331658</v>
      </c>
      <c r="JG17" s="1" t="n">
        <f aca="false">JG$6*(1+JG$5*(-1)^$FQ17)*EXP(-$FQ17/JG$4)</f>
        <v>12.2902094965012</v>
      </c>
      <c r="JH17" s="1" t="n">
        <f aca="false">(JF17-JG17)^2</f>
        <v>0.600806575551174</v>
      </c>
      <c r="JI17" s="1" t="n">
        <f aca="false">EXP($FQ17/$JG$4)*JF17</f>
        <v>53.0816374742305</v>
      </c>
      <c r="JJ17" s="1" t="n">
        <f aca="false">EXP($FQ17/$JG$4)*(-1)^$FQ17*JF17</f>
        <v>53.0816374742305</v>
      </c>
      <c r="JK17" s="1" t="n">
        <f aca="false">(-1)^JE17*JF17</f>
        <v>13.0653266331658</v>
      </c>
      <c r="JL17" s="1" t="n">
        <v>2.739587</v>
      </c>
      <c r="JO17" s="1" t="n">
        <f aca="false">$AM17</f>
        <v>6</v>
      </c>
      <c r="JP17" s="1" t="n">
        <f aca="false">GM17</f>
        <v>6.53266331658292</v>
      </c>
      <c r="JQ17" s="1" t="n">
        <f aca="false">JQ$6*(1+JQ$5*(-1)^$FQ17)*EXP(-$FQ17/JQ$4)</f>
        <v>8.90011192657922</v>
      </c>
      <c r="JR17" s="1" t="n">
        <f aca="false">(JP17-JQ17)^2</f>
        <v>5.60481292097343</v>
      </c>
      <c r="JS17" s="1" t="n">
        <f aca="false">EXP($FQ17/$JG$4)*JP17</f>
        <v>26.5408187371153</v>
      </c>
      <c r="JT17" s="1" t="n">
        <f aca="false">EXP($FQ17/$JG$4)*(-1)^$FQ17*JP17</f>
        <v>26.5408187371153</v>
      </c>
      <c r="JU17" s="1" t="n">
        <f aca="false">(-1)^JO17*JP17</f>
        <v>6.53266331658292</v>
      </c>
    </row>
    <row r="18" customFormat="false" ht="16" hidden="false" customHeight="false" outlineLevel="0" collapsed="false">
      <c r="A18" s="1" t="n">
        <v>1</v>
      </c>
      <c r="B18" s="1" t="n">
        <v>1</v>
      </c>
      <c r="C18" s="1" t="n">
        <f aca="false">B18-A18</f>
        <v>0</v>
      </c>
      <c r="D18" s="1" t="n">
        <v>1</v>
      </c>
      <c r="E18" s="1" t="n">
        <v>1</v>
      </c>
      <c r="F18" s="1" t="n">
        <f aca="false">E18-D18</f>
        <v>0</v>
      </c>
      <c r="G18" s="1" t="n">
        <v>1</v>
      </c>
      <c r="H18" s="1" t="n">
        <v>1</v>
      </c>
      <c r="I18" s="1" t="n">
        <f aca="false">H18-G18</f>
        <v>0</v>
      </c>
      <c r="J18" s="1" t="n">
        <v>1</v>
      </c>
      <c r="K18" s="1" t="n">
        <v>1</v>
      </c>
      <c r="L18" s="1" t="n">
        <f aca="false">K18-J18</f>
        <v>0</v>
      </c>
      <c r="M18" s="1" t="n">
        <v>2</v>
      </c>
      <c r="N18" s="1" t="n">
        <v>2</v>
      </c>
      <c r="O18" s="1" t="n">
        <f aca="false">N18-M18</f>
        <v>0</v>
      </c>
      <c r="P18" s="1" t="n">
        <v>3</v>
      </c>
      <c r="Q18" s="1" t="n">
        <v>3</v>
      </c>
      <c r="R18" s="1" t="n">
        <f aca="false">Q18-P18</f>
        <v>0</v>
      </c>
      <c r="S18" s="1" t="n">
        <v>2</v>
      </c>
      <c r="T18" s="1" t="n">
        <v>4</v>
      </c>
      <c r="U18" s="1" t="n">
        <f aca="false">T18-S18</f>
        <v>2</v>
      </c>
      <c r="V18" s="1" t="n">
        <v>2</v>
      </c>
      <c r="W18" s="1" t="n">
        <v>2</v>
      </c>
      <c r="X18" s="1" t="n">
        <f aca="false">W18-V18</f>
        <v>0</v>
      </c>
      <c r="Y18" s="1" t="n">
        <v>4</v>
      </c>
      <c r="Z18" s="1" t="n">
        <v>8</v>
      </c>
      <c r="AA18" s="1" t="n">
        <f aca="false">Z18-Y18</f>
        <v>4</v>
      </c>
      <c r="AB18" s="1" t="n">
        <v>4</v>
      </c>
      <c r="AC18" s="1" t="n">
        <v>7</v>
      </c>
      <c r="AD18" s="1" t="n">
        <f aca="false">AC18-AB18</f>
        <v>3</v>
      </c>
      <c r="AE18" s="1" t="n">
        <v>30</v>
      </c>
      <c r="AF18" s="1" t="n">
        <v>42</v>
      </c>
      <c r="AG18" s="1" t="n">
        <f aca="false">AF18-AE18</f>
        <v>12</v>
      </c>
      <c r="AI18" s="1" t="s">
        <v>48</v>
      </c>
      <c r="AJ18" s="1" t="n">
        <f aca="false">COUNTIFS(K$2:K$1000,2,J$2:J$1000,1)</f>
        <v>7</v>
      </c>
      <c r="AM18" s="1" t="n">
        <v>7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3</v>
      </c>
      <c r="AY18" s="1" t="n">
        <v>0</v>
      </c>
      <c r="AZ18" s="1" t="n">
        <v>6</v>
      </c>
      <c r="BA18" s="1" t="n">
        <v>8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5</v>
      </c>
      <c r="BG18" s="1" t="n">
        <v>11</v>
      </c>
      <c r="BH18" s="1" t="n">
        <v>3</v>
      </c>
      <c r="BI18" s="1" t="n">
        <v>0</v>
      </c>
      <c r="BJ18" s="1" t="n">
        <v>5</v>
      </c>
      <c r="BK18" s="1" t="n">
        <v>0</v>
      </c>
      <c r="BL18" s="1" t="n">
        <v>2</v>
      </c>
      <c r="BM18" s="1" t="n">
        <v>5</v>
      </c>
      <c r="BN18" s="1" t="n">
        <v>1</v>
      </c>
      <c r="BO18" s="1" t="n">
        <v>1</v>
      </c>
      <c r="BP18" s="1" t="n">
        <v>13</v>
      </c>
      <c r="BQ18" s="1" t="n">
        <v>0</v>
      </c>
      <c r="BR18" s="1" t="n">
        <v>1</v>
      </c>
      <c r="BS18" s="1" t="n">
        <v>6</v>
      </c>
      <c r="BT18" s="1" t="n">
        <v>3</v>
      </c>
      <c r="BW18" s="1" t="n">
        <f aca="false">$AM18</f>
        <v>7</v>
      </c>
      <c r="BX18" s="1" t="n">
        <f aca="false">MAX(BX17-AN18/AN$9*100,0)</f>
        <v>0</v>
      </c>
      <c r="BY18" s="1" t="n">
        <f aca="false">MAX(BY17-AO18/AO$9*100,0)</f>
        <v>0</v>
      </c>
      <c r="BZ18" s="1" t="n">
        <f aca="false">MAX(BZ17-AQ18/AQ$9*100,0)</f>
        <v>0</v>
      </c>
      <c r="CA18" s="1" t="n">
        <f aca="false">MAX(CA17-AR18/AR$9*100,0)</f>
        <v>0</v>
      </c>
      <c r="CB18" s="1" t="n">
        <f aca="false">CB$7*EXP(-$AM18/CB$8)</f>
        <v>0.0235512863261304</v>
      </c>
      <c r="CC18" s="1" t="n">
        <f aca="false">(BZ18-CB18)^2</f>
        <v>0.000554663087615377</v>
      </c>
      <c r="CD18" s="1" t="n">
        <f aca="false">MAX(CD17-AT18/AT$9*100,0)</f>
        <v>0</v>
      </c>
      <c r="CE18" s="1" t="n">
        <f aca="false">MAX(CE17-AU18/AU$9*100,0)</f>
        <v>5.32907051820075E-015</v>
      </c>
      <c r="CF18" s="1" t="n">
        <f aca="false">CF$7*EXP(-$AM18/CF$8)</f>
        <v>0.0296460838444731</v>
      </c>
      <c r="CG18" s="1" t="n">
        <f aca="false">(CD18-CF18)^2</f>
        <v>0.000878890287313529</v>
      </c>
      <c r="CH18" s="1" t="n">
        <f aca="false">$AM18</f>
        <v>7</v>
      </c>
      <c r="CI18" s="1" t="n">
        <f aca="false">MAX(CI17-AW18/AW$9*100,0)</f>
        <v>0</v>
      </c>
      <c r="CJ18" s="1" t="n">
        <f aca="false">MAX(CJ17-AX18/AX$9*100,0)</f>
        <v>0</v>
      </c>
      <c r="CK18" s="1" t="n">
        <f aca="false">CK$7*EXP(-$AM18/CK$8)</f>
        <v>0.448824905572323</v>
      </c>
      <c r="CL18" s="1" t="n">
        <f aca="false">(CI18-CK18)^2</f>
        <v>0.201443795862005</v>
      </c>
      <c r="CM18" s="1" t="n">
        <f aca="false">MAX(CM17-AZ18/AZ$9*100,0)</f>
        <v>2.03045685279187</v>
      </c>
      <c r="CN18" s="1" t="n">
        <f aca="false">MAX(CN17-BA18/BA$9*100,0)</f>
        <v>5.0761421319797</v>
      </c>
      <c r="CO18" s="1" t="n">
        <f aca="false">CO$7*EXP(-$AM18/CO$8)</f>
        <v>4.59498050359186</v>
      </c>
      <c r="CP18" s="1" t="n">
        <f aca="false">(CM18-CO18)^2</f>
        <v>6.57678155551249</v>
      </c>
      <c r="CQ18" s="1" t="n">
        <f aca="false">$AM18</f>
        <v>7</v>
      </c>
      <c r="CR18" s="1" t="n">
        <f aca="false">MAX(CR17-BC18/BC$9*100,0)</f>
        <v>0.628930817610063</v>
      </c>
      <c r="CS18" s="1" t="n">
        <f aca="false">MAX(CS17-BD18/BD$9*100,0)</f>
        <v>1.25786163522012</v>
      </c>
      <c r="CT18" s="1" t="n">
        <f aca="false">CT$7*EXP(-$AM18/CT$8)</f>
        <v>0.593701603504051</v>
      </c>
      <c r="CU18" s="1" t="n">
        <f aca="false">(CR18-CT18)^2</f>
        <v>0.00124109752652725</v>
      </c>
      <c r="CV18" s="1" t="n">
        <f aca="false">MAX(CV17-BF18/BF$9*100,0)</f>
        <v>5.52763819095478</v>
      </c>
      <c r="CW18" s="1" t="n">
        <f aca="false">MAX(CW17-BG18/BG$9*100,0)</f>
        <v>31.1557788944724</v>
      </c>
      <c r="CX18" s="1" t="n">
        <f aca="false">CX$7*EXP(-$AM18/CX$8)</f>
        <v>7.47250448223981</v>
      </c>
      <c r="CY18" s="1" t="n">
        <f aca="false">(CV18-CX18)^2</f>
        <v>3.78250489097678</v>
      </c>
      <c r="CZ18" s="1" t="n">
        <f aca="false">$AM18</f>
        <v>7</v>
      </c>
      <c r="DA18" s="1" t="n">
        <f aca="false">MAX(DA17-BI18/BI$9*100,0)</f>
        <v>0</v>
      </c>
      <c r="DB18" s="1" t="n">
        <f aca="false">MAX(DB17-BJ18/BJ$9*100,0)</f>
        <v>6.84931506849316</v>
      </c>
      <c r="DC18" s="1" t="n">
        <f aca="false">DC$7*EXP(-$AM18/DC$8)</f>
        <v>0.966266854657785</v>
      </c>
      <c r="DD18" s="1" t="n">
        <f aca="false">(DA18-DC18)^2</f>
        <v>0.933671634410249</v>
      </c>
      <c r="DE18" s="1" t="n">
        <f aca="false">MAX(DE17-BL18/BL$9*100,0)</f>
        <v>18.4713375796178</v>
      </c>
      <c r="DF18" s="1" t="n">
        <f aca="false">MAX(DF17-BM18/BM$9*100,0)</f>
        <v>54.7770700636943</v>
      </c>
      <c r="DG18" s="1" t="n">
        <f aca="false">DG$7*EXP(-$AM18/DG$8)</f>
        <v>20.9397601857786</v>
      </c>
      <c r="DH18" s="1" t="n">
        <f aca="false">(DE18-DG18)^2</f>
        <v>6.09311016260552</v>
      </c>
      <c r="DI18" s="1" t="n">
        <f aca="false">$AM18</f>
        <v>7</v>
      </c>
      <c r="DJ18" s="1" t="n">
        <f aca="false">MAX(DJ17-BO18/BO$9*100,0)</f>
        <v>2.05128205128205</v>
      </c>
      <c r="DK18" s="1" t="n">
        <f aca="false">MAX(DK17-BP18/BP$9*100,0)</f>
        <v>14.3589743589744</v>
      </c>
      <c r="DL18" s="1" t="n">
        <f aca="false">DL$7*EXP(-$AM18/DL$8)</f>
        <v>2.04655269710915</v>
      </c>
      <c r="DM18" s="1" t="n">
        <f aca="false">(DJ18-DL18)^2</f>
        <v>2.23667908926772E-005</v>
      </c>
      <c r="DN18" s="1" t="n">
        <f aca="false">MAX(DN17-BR18/BR$9*100,0)</f>
        <v>19.0954773869347</v>
      </c>
      <c r="DO18" s="1" t="n">
        <f aca="false">MAX(DO17-BS18/BS$9*100,0)</f>
        <v>60.3015075376884</v>
      </c>
      <c r="DP18" s="1" t="n">
        <f aca="false">DP$7*EXP(-$AM18/DP$8)</f>
        <v>16.793941760368</v>
      </c>
      <c r="DQ18" s="1" t="n">
        <f aca="false">(DN18-DP18)^2</f>
        <v>5.29706624035566</v>
      </c>
      <c r="DS18" s="1" t="n">
        <f aca="false">$AM18</f>
        <v>7</v>
      </c>
      <c r="DT18" s="1" t="n">
        <f aca="false">CA18</f>
        <v>0</v>
      </c>
      <c r="DU18" s="1" t="n">
        <f aca="false">DU$7*EXP(-DS18/DU$8)</f>
        <v>0.119702636046164</v>
      </c>
      <c r="DV18" s="1" t="n">
        <f aca="false">(DT18-DU18)^2</f>
        <v>0.0143287210764004</v>
      </c>
      <c r="DX18" s="1" t="n">
        <f aca="false">$AM18</f>
        <v>7</v>
      </c>
      <c r="DY18" s="1" t="n">
        <f aca="false">CM18</f>
        <v>2.03045685279187</v>
      </c>
      <c r="DZ18" s="1" t="n">
        <f aca="false">DZ$7*EXP(-DX18/DZ$8)</f>
        <v>3.0956898199819</v>
      </c>
      <c r="EA18" s="1" t="n">
        <f aca="false">(DY18-DZ18)^2</f>
        <v>1.13472127438847</v>
      </c>
      <c r="EC18" s="1" t="n">
        <f aca="false">$AM18</f>
        <v>7</v>
      </c>
      <c r="ED18" s="1" t="n">
        <f aca="false">CV18</f>
        <v>5.52763819095478</v>
      </c>
      <c r="EE18" s="1" t="n">
        <f aca="false">EE$7*EXP(-EC18/EE$8)</f>
        <v>6.67960262597274</v>
      </c>
      <c r="EF18" s="1" t="n">
        <f aca="false">(ED18-EE18)^2</f>
        <v>1.32702205954624</v>
      </c>
      <c r="EH18" s="1" t="n">
        <f aca="false">$AM18</f>
        <v>7</v>
      </c>
      <c r="EI18" s="1" t="n">
        <f aca="false">DE18</f>
        <v>18.4713375796178</v>
      </c>
      <c r="EJ18" s="1" t="n">
        <f aca="false">EJ$7*EXP(-EH18/EJ$8)</f>
        <v>20.8528732140534</v>
      </c>
      <c r="EK18" s="1" t="n">
        <f aca="false">(EI18-EJ18)^2</f>
        <v>5.67171197808643</v>
      </c>
      <c r="EM18" s="1" t="n">
        <f aca="false">AM18</f>
        <v>7</v>
      </c>
      <c r="EN18" s="1" t="n">
        <f aca="false">DN18</f>
        <v>19.0954773869347</v>
      </c>
      <c r="EO18" s="1" t="n">
        <f aca="false">EO$7*EXP(-EM18/EO$8)</f>
        <v>17.6314373830256</v>
      </c>
      <c r="EP18" s="1" t="n">
        <f aca="false">(EN18-EO18)^2</f>
        <v>2.14341313304609</v>
      </c>
      <c r="ER18" s="1" t="n">
        <f aca="false">$AM18</f>
        <v>7</v>
      </c>
      <c r="ES18" s="1" t="n">
        <f aca="false">BZ18</f>
        <v>0</v>
      </c>
      <c r="ET18" s="1" t="n">
        <f aca="false">ET$7*EXP(-ER18/ET$8)</f>
        <v>0.0439876141847711</v>
      </c>
      <c r="EU18" s="1" t="n">
        <f aca="false">(ES18-ET18)^2</f>
        <v>0.00193491020166828</v>
      </c>
      <c r="EW18" s="1" t="n">
        <f aca="false">$AM18</f>
        <v>7</v>
      </c>
      <c r="EX18" s="1" t="n">
        <f aca="false">CI18</f>
        <v>0</v>
      </c>
      <c r="EY18" s="1" t="n">
        <f aca="false">EY$7*EXP(-EW18/EY$8)</f>
        <v>0.111799355642353</v>
      </c>
      <c r="EZ18" s="1" t="n">
        <f aca="false">(EX18-EY18)^2</f>
        <v>0.0124990959220453</v>
      </c>
      <c r="FB18" s="1" t="n">
        <f aca="false">$AM18</f>
        <v>7</v>
      </c>
      <c r="FC18" s="1" t="n">
        <f aca="false">CR18</f>
        <v>0.628930817610063</v>
      </c>
      <c r="FD18" s="1" t="n">
        <f aca="false">FD$7*EXP(-FB18/FD$8)</f>
        <v>0.226528816638486</v>
      </c>
      <c r="FE18" s="1" t="n">
        <f aca="false">(FC18-FD18)^2</f>
        <v>0.161927370385929</v>
      </c>
      <c r="FG18" s="1" t="n">
        <f aca="false">$AM18</f>
        <v>7</v>
      </c>
      <c r="FH18" s="1" t="n">
        <f aca="false">DA18</f>
        <v>0</v>
      </c>
      <c r="FI18" s="1" t="n">
        <f aca="false">FI$7*EXP(-FG18/FI$8)</f>
        <v>0.571564870370628</v>
      </c>
      <c r="FJ18" s="1" t="n">
        <f aca="false">(FH18-FI18)^2</f>
        <v>0.326686401041793</v>
      </c>
      <c r="FL18" s="1" t="n">
        <f aca="false">EM18</f>
        <v>7</v>
      </c>
      <c r="FM18" s="1" t="n">
        <f aca="false">DJ18</f>
        <v>2.05128205128205</v>
      </c>
      <c r="FN18" s="1" t="n">
        <f aca="false">FN$7*EXP(-FL18/FN$8)</f>
        <v>1.59860563375419</v>
      </c>
      <c r="FO18" s="1" t="n">
        <f aca="false">(FM18-FN18)^2</f>
        <v>0.204915938985853</v>
      </c>
      <c r="FQ18" s="1" t="n">
        <f aca="false">AM18</f>
        <v>7</v>
      </c>
      <c r="FR18" s="1" t="n">
        <f aca="false">AN18/AN$9*100</f>
        <v>0</v>
      </c>
      <c r="FS18" s="1" t="n">
        <f aca="false">AO18/AO$9*100</f>
        <v>0</v>
      </c>
      <c r="FT18" s="1" t="n">
        <f aca="false">AQ18/AQ$9*100</f>
        <v>0</v>
      </c>
      <c r="FU18" s="1" t="n">
        <f aca="false">AR18/AR$9*100</f>
        <v>0</v>
      </c>
      <c r="FV18" s="1" t="n">
        <f aca="false">AT18/AT$9*100</f>
        <v>0</v>
      </c>
      <c r="FW18" s="1" t="n">
        <f aca="false">AU18/AU$9*100</f>
        <v>0</v>
      </c>
      <c r="FX18" s="1" t="n">
        <f aca="false">AW18/AW$9*100</f>
        <v>0</v>
      </c>
      <c r="FY18" s="1" t="n">
        <f aca="false">AX18/AX$9*100</f>
        <v>2.20588235294118</v>
      </c>
      <c r="FZ18" s="1" t="n">
        <f aca="false">AZ18/AZ$9*100</f>
        <v>3.04568527918782</v>
      </c>
      <c r="GA18" s="1" t="n">
        <f aca="false">BA18/BA$9*100</f>
        <v>4.06091370558376</v>
      </c>
      <c r="GB18" s="1" t="n">
        <f aca="false">BC18/BC$9*100</f>
        <v>0</v>
      </c>
      <c r="GC18" s="1" t="n">
        <f aca="false">BD18/BD$9*100</f>
        <v>0</v>
      </c>
      <c r="GD18" s="1" t="n">
        <f aca="false">BF18/BF$9*100</f>
        <v>2.51256281407035</v>
      </c>
      <c r="GE18" s="1" t="n">
        <f aca="false">BG18/BG$9*100</f>
        <v>5.52763819095477</v>
      </c>
      <c r="GF18" s="1" t="n">
        <f aca="false">BI18/BI$9*100</f>
        <v>0</v>
      </c>
      <c r="GG18" s="1" t="n">
        <f aca="false">BJ18/BJ$9*100</f>
        <v>3.42465753424658</v>
      </c>
      <c r="GH18" s="1" t="n">
        <f aca="false">BL18/BL$9*100</f>
        <v>1.27388535031847</v>
      </c>
      <c r="GI18" s="1" t="n">
        <f aca="false">BM18/BM$9*100</f>
        <v>3.18471337579618</v>
      </c>
      <c r="GJ18" s="1" t="n">
        <f aca="false">BO18/BO$9*100</f>
        <v>0.512820512820513</v>
      </c>
      <c r="GK18" s="1" t="n">
        <f aca="false">BP18/BP$9*100</f>
        <v>6.66666666666667</v>
      </c>
      <c r="GL18" s="1" t="n">
        <f aca="false">BR18/BR$9*100</f>
        <v>0.50251256281407</v>
      </c>
      <c r="GM18" s="1" t="n">
        <f aca="false">BS18/BS$9*100</f>
        <v>3.01507537688442</v>
      </c>
      <c r="GO18" s="1" t="n">
        <f aca="false">$AM18</f>
        <v>7</v>
      </c>
      <c r="GP18" s="1" t="n">
        <f aca="false">FT18</f>
        <v>0</v>
      </c>
      <c r="GQ18" s="1" t="n">
        <f aca="false">GQ$6*(1+GQ$5*(-1)^$FQ18)*EXP(-$FQ18/GQ$4)</f>
        <v>0.349520364782397</v>
      </c>
      <c r="GR18" s="1" t="n">
        <f aca="false">(GP18-GQ18)^2</f>
        <v>0.12216448539762</v>
      </c>
      <c r="GS18" s="1" t="n">
        <f aca="false">EXP($FQ18/$JG$4)*GP18</f>
        <v>0</v>
      </c>
      <c r="GT18" s="1" t="n">
        <f aca="false">EXP($FQ18/$JG$4)*(-1)^$FQ18*GP18</f>
        <v>-0</v>
      </c>
      <c r="GU18" s="1" t="n">
        <f aca="false">(-1)^GO18*GP18</f>
        <v>-0</v>
      </c>
      <c r="GW18" s="1" t="n">
        <f aca="false">$AM18</f>
        <v>7</v>
      </c>
      <c r="GX18" s="1" t="n">
        <f aca="false">FX18</f>
        <v>0</v>
      </c>
      <c r="GY18" s="1" t="n">
        <f aca="false">GY$6*(1+GY$5*(-1)^$FQ18)*EXP(-$FQ18/GY$4)</f>
        <v>0.349520364782397</v>
      </c>
      <c r="GZ18" s="1" t="n">
        <f aca="false">(GX18-GY18)^2</f>
        <v>0.12216448539762</v>
      </c>
      <c r="HA18" s="1" t="n">
        <f aca="false">EXP($FQ18/$JG$4)*GX18</f>
        <v>0</v>
      </c>
      <c r="HB18" s="1" t="n">
        <f aca="false">EXP($FQ18/$JG$4)*(-1)^$FQ18*GX18</f>
        <v>-0</v>
      </c>
      <c r="HC18" s="1" t="n">
        <f aca="false">(-1)^GW18*GX18</f>
        <v>-0</v>
      </c>
      <c r="HE18" s="1" t="n">
        <f aca="false">$AM18</f>
        <v>7</v>
      </c>
      <c r="HF18" s="1" t="n">
        <f aca="false">GB18</f>
        <v>0</v>
      </c>
      <c r="HG18" s="1" t="n">
        <f aca="false">HG$6*(1+HG$5*(-1)^$FQ18)*EXP(-$FQ18/HG$4)</f>
        <v>0.349520364782397</v>
      </c>
      <c r="HH18" s="1" t="n">
        <f aca="false">(HF18-HG18)^2</f>
        <v>0.12216448539762</v>
      </c>
      <c r="HI18" s="1" t="n">
        <f aca="false">EXP($FQ18/$JG$4)*HF18</f>
        <v>0</v>
      </c>
      <c r="HJ18" s="1" t="n">
        <f aca="false">EXP($FQ18/$JG$4)*(-1)^$FQ18*HF18</f>
        <v>-0</v>
      </c>
      <c r="HK18" s="1" t="n">
        <f aca="false">(-1)^HE18*HF18</f>
        <v>-0</v>
      </c>
      <c r="HM18" s="1" t="n">
        <f aca="false">$AM18</f>
        <v>7</v>
      </c>
      <c r="HN18" s="1" t="n">
        <f aca="false">GF18</f>
        <v>0</v>
      </c>
      <c r="HO18" s="1" t="n">
        <f aca="false">HO$6*(1+HO$5*(-1)^$FQ18)*EXP(-$FQ18/HO$4)</f>
        <v>0.5484167200384</v>
      </c>
      <c r="HP18" s="1" t="n">
        <f aca="false">(HN18-HO18)^2</f>
        <v>0.300760898817677</v>
      </c>
      <c r="HQ18" s="1" t="n">
        <f aca="false">EXP($FQ18/$JG$4)*HN18</f>
        <v>0</v>
      </c>
      <c r="HR18" s="1" t="n">
        <f aca="false">EXP($FQ18/$JG$4)*(-1)^$FQ18*HN18</f>
        <v>-0</v>
      </c>
      <c r="HS18" s="1" t="n">
        <f aca="false">(-1)^HM18*HN18</f>
        <v>-0</v>
      </c>
      <c r="HU18" s="1" t="n">
        <f aca="false">$AM18</f>
        <v>7</v>
      </c>
      <c r="HV18" s="1" t="n">
        <f aca="false">GJ18</f>
        <v>0.512820512820513</v>
      </c>
      <c r="HW18" s="1" t="n">
        <f aca="false">HW$6*(1+HW$5*(-1)^$FQ18)*EXP(-$FQ18/HW$4)</f>
        <v>1.41049151688953</v>
      </c>
      <c r="HX18" s="1" t="n">
        <f aca="false">(HV18-HW18)^2</f>
        <v>0.805813231546278</v>
      </c>
      <c r="HY18" s="1" t="n">
        <f aca="false">EXP($FQ18/$JG$4)*HV18</f>
        <v>2.63184374978046</v>
      </c>
      <c r="HZ18" s="1" t="n">
        <f aca="false">EXP($FQ18/$JG$4)*(-1)^$FQ18*HV18</f>
        <v>-2.63184374978046</v>
      </c>
      <c r="IA18" s="1" t="n">
        <f aca="false">(-1)^HU18*HV18</f>
        <v>-0.512820512820513</v>
      </c>
      <c r="IB18" s="1" t="n">
        <v>0.811065</v>
      </c>
      <c r="ID18" s="1" t="n">
        <f aca="false">$AM18</f>
        <v>7</v>
      </c>
      <c r="IE18" s="1" t="n">
        <f aca="false">FZ18</f>
        <v>3.04568527918782</v>
      </c>
      <c r="IF18" s="1" t="n">
        <f aca="false">IF$6*(1+IF$5*(-1)^$FQ18)*EXP(-$FQ18/IF$4)</f>
        <v>2.75425380048156</v>
      </c>
      <c r="IG18" s="1" t="n">
        <f aca="false">(IE18-IF18)^2</f>
        <v>0.0849323067809158</v>
      </c>
      <c r="IH18" s="1" t="n">
        <f aca="false">EXP($FQ18/$JG$4)*IE18</f>
        <v>15.6307471433662</v>
      </c>
      <c r="II18" s="1" t="n">
        <f aca="false">EXP($FQ18/$JG$4)*(-1)^$FQ18*IE18</f>
        <v>-15.6307471433662</v>
      </c>
      <c r="IJ18" s="1" t="n">
        <f aca="false">(-1)^ID18*IE18</f>
        <v>-3.04568527918782</v>
      </c>
      <c r="IK18" s="1" t="n">
        <v>1.416056</v>
      </c>
      <c r="IM18" s="1" t="n">
        <f aca="false">$AM18</f>
        <v>7</v>
      </c>
      <c r="IN18" s="1" t="n">
        <f aca="false">GD18</f>
        <v>2.51256281407035</v>
      </c>
      <c r="IO18" s="1" t="n">
        <f aca="false">IO$6*(1+IO$5*(-1)^$FQ18)*EXP(-$FQ18/IO$4)</f>
        <v>2.97593061203337</v>
      </c>
      <c r="IP18" s="1" t="n">
        <f aca="false">(IN18-IO18)^2</f>
        <v>0.214709716189096</v>
      </c>
      <c r="IQ18" s="1" t="n">
        <f aca="false">EXP($FQ18/$JG$4)*IN18</f>
        <v>12.8947118393766</v>
      </c>
      <c r="IR18" s="1" t="n">
        <f aca="false">EXP($FQ18/$JG$4)*(-1)^$FQ18*IN18</f>
        <v>-12.8947118393766</v>
      </c>
      <c r="IS18" s="1" t="n">
        <f aca="false">(-1)^IM18*IN18</f>
        <v>-2.51256281407035</v>
      </c>
      <c r="IT18" s="1" t="n">
        <v>2.436614</v>
      </c>
      <c r="IV18" s="1" t="n">
        <f aca="false">$AM18</f>
        <v>7</v>
      </c>
      <c r="IW18" s="1" t="n">
        <f aca="false">GH18</f>
        <v>1.27388535031847</v>
      </c>
      <c r="IX18" s="1" t="n">
        <f aca="false">IX$6*(1+IX$5*(-1)^$FQ18)*EXP(-$FQ18/IX$4)</f>
        <v>2.39809045041791</v>
      </c>
      <c r="IY18" s="1" t="n">
        <f aca="false">(IW18-IX18)^2</f>
        <v>1.26383710708959</v>
      </c>
      <c r="IZ18" s="1" t="n">
        <f aca="false">EXP($FQ18/$JG$4)*IW18</f>
        <v>6.5377010344865</v>
      </c>
      <c r="JA18" s="1" t="n">
        <f aca="false">EXP($FQ18/$JG$4)*(-1)^$FQ18*IW18</f>
        <v>-6.5377010344865</v>
      </c>
      <c r="JB18" s="1" t="n">
        <f aca="false">(-1)^IV18*IW18</f>
        <v>-1.27388535031847</v>
      </c>
      <c r="JC18" s="1" t="n">
        <v>8.057124</v>
      </c>
      <c r="JE18" s="1" t="n">
        <f aca="false">$AM18</f>
        <v>7</v>
      </c>
      <c r="JF18" s="1" t="n">
        <f aca="false">GL18</f>
        <v>0.50251256281407</v>
      </c>
      <c r="JG18" s="1" t="n">
        <f aca="false">JG$6*(1+JG$5*(-1)^$FQ18)*EXP(-$FQ18/JG$4)</f>
        <v>1.48605542441088</v>
      </c>
      <c r="JH18" s="1" t="n">
        <f aca="false">(JF18-JG18)^2</f>
        <v>0.967356560598041</v>
      </c>
      <c r="JI18" s="1" t="n">
        <f aca="false">EXP($FQ18/$JG$4)*JF18</f>
        <v>2.57894236787533</v>
      </c>
      <c r="JJ18" s="1" t="n">
        <f aca="false">EXP($FQ18/$JG$4)*(-1)^$FQ18*JF18</f>
        <v>-2.57894236787533</v>
      </c>
      <c r="JK18" s="1" t="n">
        <f aca="false">(-1)^JE18*JF18</f>
        <v>-0.50251256281407</v>
      </c>
      <c r="JL18" s="1" t="n">
        <v>8.543648</v>
      </c>
      <c r="JO18" s="1" t="n">
        <f aca="false">$AM18</f>
        <v>7</v>
      </c>
      <c r="JP18" s="1" t="n">
        <f aca="false">GM18</f>
        <v>3.01507537688442</v>
      </c>
      <c r="JQ18" s="1" t="n">
        <f aca="false">JQ$6*(1+JQ$5*(-1)^$FQ18)*EXP(-$FQ18/JQ$4)</f>
        <v>1.56492167697065</v>
      </c>
      <c r="JR18" s="1" t="n">
        <f aca="false">(JP18-JQ18)^2</f>
        <v>2.1029457533736</v>
      </c>
      <c r="JS18" s="1" t="n">
        <f aca="false">EXP($FQ18/$JG$4)*JP18</f>
        <v>15.473654207252</v>
      </c>
      <c r="JT18" s="1" t="n">
        <f aca="false">EXP($FQ18/$JG$4)*(-1)^$FQ18*JP18</f>
        <v>-15.473654207252</v>
      </c>
      <c r="JU18" s="1" t="n">
        <f aca="false">(-1)^JO18*JP18</f>
        <v>-3.01507537688442</v>
      </c>
    </row>
    <row r="19" customFormat="false" ht="16" hidden="false" customHeight="false" outlineLevel="0" collapsed="false">
      <c r="A19" s="1" t="n">
        <v>1</v>
      </c>
      <c r="B19" s="1" t="n">
        <v>1</v>
      </c>
      <c r="C19" s="1" t="n">
        <f aca="false">B19-A19</f>
        <v>0</v>
      </c>
      <c r="D19" s="1" t="n">
        <v>1</v>
      </c>
      <c r="E19" s="1" t="n">
        <v>1</v>
      </c>
      <c r="F19" s="1" t="n">
        <f aca="false">E19-D19</f>
        <v>0</v>
      </c>
      <c r="G19" s="1" t="n">
        <v>3</v>
      </c>
      <c r="H19" s="1" t="n">
        <v>3</v>
      </c>
      <c r="I19" s="1" t="n">
        <f aca="false">H19-G19</f>
        <v>0</v>
      </c>
      <c r="J19" s="1" t="n">
        <v>2</v>
      </c>
      <c r="K19" s="1" t="n">
        <v>2</v>
      </c>
      <c r="L19" s="1" t="n">
        <f aca="false">K19-J19</f>
        <v>0</v>
      </c>
      <c r="M19" s="1" t="n">
        <v>3</v>
      </c>
      <c r="N19" s="1" t="n">
        <v>3</v>
      </c>
      <c r="O19" s="1" t="n">
        <f aca="false">N19-M19</f>
        <v>0</v>
      </c>
      <c r="P19" s="1" t="n">
        <v>2</v>
      </c>
      <c r="Q19" s="1" t="n">
        <v>2</v>
      </c>
      <c r="R19" s="1" t="n">
        <f aca="false">Q19-P19</f>
        <v>0</v>
      </c>
      <c r="S19" s="1" t="n">
        <v>4</v>
      </c>
      <c r="T19" s="1" t="n">
        <v>7</v>
      </c>
      <c r="U19" s="1" t="n">
        <f aca="false">T19-S19</f>
        <v>3</v>
      </c>
      <c r="V19" s="1" t="n">
        <v>1</v>
      </c>
      <c r="W19" s="1" t="n">
        <v>2</v>
      </c>
      <c r="X19" s="1" t="n">
        <f aca="false">W19-V19</f>
        <v>1</v>
      </c>
      <c r="Y19" s="1" t="n">
        <v>13</v>
      </c>
      <c r="Z19" s="1" t="n">
        <v>21</v>
      </c>
      <c r="AA19" s="1" t="n">
        <f aca="false">Z19-Y19</f>
        <v>8</v>
      </c>
      <c r="AB19" s="1" t="n">
        <v>2</v>
      </c>
      <c r="AC19" s="1" t="n">
        <v>6</v>
      </c>
      <c r="AD19" s="1" t="n">
        <f aca="false">AC19-AB19</f>
        <v>4</v>
      </c>
      <c r="AE19" s="1" t="n">
        <v>4</v>
      </c>
      <c r="AF19" s="1" t="n">
        <v>10</v>
      </c>
      <c r="AG19" s="1" t="n">
        <f aca="false">AF19-AE19</f>
        <v>6</v>
      </c>
      <c r="AI19" s="1" t="s">
        <v>52</v>
      </c>
      <c r="AJ19" s="1" t="n">
        <f aca="false">COUNTIFS(K$2:K$1000,2,J$2:J$1000,0)</f>
        <v>0</v>
      </c>
      <c r="AM19" s="1" t="n">
        <v>8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4</v>
      </c>
      <c r="BA19" s="1" t="n">
        <v>6</v>
      </c>
      <c r="BB19" s="1" t="n">
        <v>0</v>
      </c>
      <c r="BC19" s="1" t="n">
        <v>1</v>
      </c>
      <c r="BD19" s="1" t="n">
        <v>1</v>
      </c>
      <c r="BE19" s="1" t="n">
        <v>0</v>
      </c>
      <c r="BF19" s="1" t="n">
        <v>4</v>
      </c>
      <c r="BG19" s="1" t="n">
        <v>21</v>
      </c>
      <c r="BH19" s="1" t="n">
        <v>5</v>
      </c>
      <c r="BI19" s="1" t="n">
        <v>0</v>
      </c>
      <c r="BJ19" s="1" t="n">
        <v>9</v>
      </c>
      <c r="BK19" s="1" t="n">
        <v>0</v>
      </c>
      <c r="BL19" s="1" t="n">
        <v>8</v>
      </c>
      <c r="BM19" s="1" t="n">
        <v>23</v>
      </c>
      <c r="BN19" s="1" t="n">
        <v>12</v>
      </c>
      <c r="BO19" s="1" t="n">
        <v>4</v>
      </c>
      <c r="BP19" s="1" t="n">
        <v>10</v>
      </c>
      <c r="BQ19" s="1" t="n">
        <v>1</v>
      </c>
      <c r="BR19" s="1" t="n">
        <v>14</v>
      </c>
      <c r="BS19" s="1" t="n">
        <v>16</v>
      </c>
      <c r="BT19" s="1" t="n">
        <v>17</v>
      </c>
      <c r="BW19" s="1" t="n">
        <f aca="false">$AM19</f>
        <v>8</v>
      </c>
      <c r="BX19" s="1" t="n">
        <f aca="false">MAX(BX18-AN19/AN$9*100,0)</f>
        <v>0</v>
      </c>
      <c r="BY19" s="1" t="n">
        <f aca="false">MAX(BY18-AO19/AO$9*100,0)</f>
        <v>0</v>
      </c>
      <c r="BZ19" s="1" t="n">
        <f aca="false">MAX(BZ18-AQ19/AQ$9*100,0)</f>
        <v>0</v>
      </c>
      <c r="CA19" s="1" t="n">
        <f aca="false">MAX(CA18-AR19/AR$9*100,0)</f>
        <v>0</v>
      </c>
      <c r="CB19" s="1" t="n">
        <f aca="false">CB$7*EXP(-$AM19/CB$8)</f>
        <v>0.00642681538673852</v>
      </c>
      <c r="CC19" s="1" t="n">
        <f aca="false">(BZ19-CB19)^2</f>
        <v>4.1303956015219E-005</v>
      </c>
      <c r="CD19" s="1" t="n">
        <f aca="false">MAX(CD18-AT19/AT$9*100,0)</f>
        <v>0</v>
      </c>
      <c r="CE19" s="1" t="n">
        <f aca="false">MAX(CE18-AU19/AU$9*100,0)</f>
        <v>5.32907051820075E-015</v>
      </c>
      <c r="CF19" s="1" t="n">
        <f aca="false">CF$7*EXP(-$AM19/CF$8)</f>
        <v>0.0083604081900525</v>
      </c>
      <c r="CG19" s="1" t="n">
        <f aca="false">(CD19-CF19)^2</f>
        <v>6.98964251042969E-005</v>
      </c>
      <c r="CH19" s="1" t="n">
        <f aca="false">$AM19</f>
        <v>8</v>
      </c>
      <c r="CI19" s="1" t="n">
        <f aca="false">MAX(CI18-AW19/AW$9*100,0)</f>
        <v>0</v>
      </c>
      <c r="CJ19" s="1" t="n">
        <f aca="false">MAX(CJ18-AX19/AX$9*100,0)</f>
        <v>0</v>
      </c>
      <c r="CK19" s="1" t="n">
        <f aca="false">CK$7*EXP(-$AM19/CK$8)</f>
        <v>0.190934796783573</v>
      </c>
      <c r="CL19" s="1" t="n">
        <f aca="false">(CI19-CK19)^2</f>
        <v>0.0364560966227843</v>
      </c>
      <c r="CM19" s="1" t="n">
        <f aca="false">MAX(CM18-AZ19/AZ$9*100,0)</f>
        <v>0</v>
      </c>
      <c r="CN19" s="1" t="n">
        <f aca="false">MAX(CN18-BA19/BA$9*100,0)</f>
        <v>2.03045685279188</v>
      </c>
      <c r="CO19" s="1" t="n">
        <f aca="false">CO$7*EXP(-$AM19/CO$8)</f>
        <v>2.84111131027594</v>
      </c>
      <c r="CP19" s="1" t="n">
        <f aca="false">(CM19-CO19)^2</f>
        <v>8.07191347737787</v>
      </c>
      <c r="CQ19" s="1" t="n">
        <f aca="false">$AM19</f>
        <v>8</v>
      </c>
      <c r="CR19" s="1" t="n">
        <f aca="false">MAX(CR18-BC19/BC$9*100,0)</f>
        <v>0</v>
      </c>
      <c r="CS19" s="1" t="n">
        <f aca="false">MAX(CS18-BD19/BD$9*100,0)</f>
        <v>0.628930817610055</v>
      </c>
      <c r="CT19" s="1" t="n">
        <f aca="false">CT$7*EXP(-$AM19/CT$8)</f>
        <v>0.270149434588961</v>
      </c>
      <c r="CU19" s="1" t="n">
        <f aca="false">(CR19-CT19)^2</f>
        <v>0.0729807170087353</v>
      </c>
      <c r="CV19" s="1" t="n">
        <f aca="false">MAX(CV18-BF19/BF$9*100,0)</f>
        <v>3.5175879396985</v>
      </c>
      <c r="CW19" s="1" t="n">
        <f aca="false">MAX(CW18-BG19/BG$9*100,0)</f>
        <v>20.6030150753769</v>
      </c>
      <c r="CX19" s="1" t="n">
        <f aca="false">CX$7*EXP(-$AM19/CX$8)</f>
        <v>4.94317122940728</v>
      </c>
      <c r="CY19" s="1" t="n">
        <f aca="false">(CV19-CX19)^2</f>
        <v>2.03228771589691</v>
      </c>
      <c r="CZ19" s="1" t="n">
        <f aca="false">$AM19</f>
        <v>8</v>
      </c>
      <c r="DA19" s="1" t="n">
        <f aca="false">MAX(DA18-BI19/BI$9*100,0)</f>
        <v>0</v>
      </c>
      <c r="DB19" s="1" t="n">
        <f aca="false">MAX(DB18-BJ19/BJ$9*100,0)</f>
        <v>0.684931506849325</v>
      </c>
      <c r="DC19" s="1" t="n">
        <f aca="false">DC$7*EXP(-$AM19/DC$8)</f>
        <v>0.465686674573297</v>
      </c>
      <c r="DD19" s="1" t="n">
        <f aca="false">(DA19-DC19)^2</f>
        <v>0.216864078875136</v>
      </c>
      <c r="DE19" s="1" t="n">
        <f aca="false">MAX(DE18-BL19/BL$9*100,0)</f>
        <v>13.3757961783439</v>
      </c>
      <c r="DF19" s="1" t="n">
        <f aca="false">MAX(DF18-BM19/BM$9*100,0)</f>
        <v>40.1273885350318</v>
      </c>
      <c r="DG19" s="1" t="n">
        <f aca="false">DG$7*EXP(-$AM19/DG$8)</f>
        <v>16.3079016300118</v>
      </c>
      <c r="DH19" s="1" t="n">
        <f aca="false">(DE19-DG19)^2</f>
        <v>8.59724237970035</v>
      </c>
      <c r="DI19" s="1" t="n">
        <f aca="false">$AM19</f>
        <v>8</v>
      </c>
      <c r="DJ19" s="1" t="n">
        <f aca="false">MAX(DJ18-BO19/BO$9*100,0)</f>
        <v>0</v>
      </c>
      <c r="DK19" s="1" t="n">
        <f aca="false">MAX(DK18-BP19/BP$9*100,0)</f>
        <v>9.23076923076924</v>
      </c>
      <c r="DL19" s="1" t="n">
        <f aca="false">DL$7*EXP(-$AM19/DL$8)</f>
        <v>1.10811440208416</v>
      </c>
      <c r="DM19" s="1" t="n">
        <f aca="false">(DJ19-DL19)^2</f>
        <v>1.22791752810634</v>
      </c>
      <c r="DN19" s="1" t="n">
        <f aca="false">MAX(DN18-BR19/BR$9*100,0)</f>
        <v>12.0603015075377</v>
      </c>
      <c r="DO19" s="1" t="n">
        <f aca="false">MAX(DO18-BS19/BS$9*100,0)</f>
        <v>52.2613065326633</v>
      </c>
      <c r="DP19" s="1" t="n">
        <f aca="false">DP$7*EXP(-$AM19/DP$8)</f>
        <v>12.6509472386004</v>
      </c>
      <c r="DQ19" s="1" t="n">
        <f aca="false">(DN19-DP19)^2</f>
        <v>0.348862379622602</v>
      </c>
      <c r="DS19" s="1" t="n">
        <f aca="false">$AM19</f>
        <v>8</v>
      </c>
      <c r="DT19" s="1" t="n">
        <f aca="false">CA19</f>
        <v>0</v>
      </c>
      <c r="DU19" s="1" t="n">
        <f aca="false">DU$7*EXP(-DS19/DU$8)</f>
        <v>0.0426950419272346</v>
      </c>
      <c r="DV19" s="1" t="n">
        <f aca="false">(DT19-DU19)^2</f>
        <v>0.00182286660516832</v>
      </c>
      <c r="DX19" s="1" t="n">
        <f aca="false">$AM19</f>
        <v>8</v>
      </c>
      <c r="DY19" s="1" t="n">
        <f aca="false">CM19</f>
        <v>0</v>
      </c>
      <c r="DZ19" s="1" t="n">
        <f aca="false">DZ$7*EXP(-DX19/DZ$8)</f>
        <v>1.76510999852722</v>
      </c>
      <c r="EA19" s="1" t="n">
        <f aca="false">(DY19-DZ19)^2</f>
        <v>3.11561330690076</v>
      </c>
      <c r="EC19" s="1" t="n">
        <f aca="false">$AM19</f>
        <v>8</v>
      </c>
      <c r="ED19" s="1" t="n">
        <f aca="false">CV19</f>
        <v>3.5175879396985</v>
      </c>
      <c r="EE19" s="1" t="n">
        <f aca="false">EE$7*EXP(-EC19/EE$8)</f>
        <v>4.31620815942404</v>
      </c>
      <c r="EF19" s="1" t="n">
        <f aca="false">(ED19-EE19)^2</f>
        <v>0.637794255354468</v>
      </c>
      <c r="EH19" s="1" t="n">
        <f aca="false">$AM19</f>
        <v>8</v>
      </c>
      <c r="EI19" s="1" t="n">
        <f aca="false">DE19</f>
        <v>13.3757961783439</v>
      </c>
      <c r="EJ19" s="1" t="n">
        <f aca="false">EJ$7*EXP(-EH19/EJ$8)</f>
        <v>16.2402339883935</v>
      </c>
      <c r="EK19" s="1" t="n">
        <f aca="false">(EI19-EJ19)^2</f>
        <v>8.20500396764148</v>
      </c>
      <c r="EM19" s="1" t="n">
        <f aca="false">AM19</f>
        <v>8</v>
      </c>
      <c r="EN19" s="1" t="n">
        <f aca="false">DN19</f>
        <v>12.0603015075377</v>
      </c>
      <c r="EO19" s="1" t="n">
        <f aca="false">EO$7*EXP(-EM19/EO$8)</f>
        <v>13.4061146610494</v>
      </c>
      <c r="EP19" s="1" t="n">
        <f aca="false">(EN19-EO19)^2</f>
        <v>1.81121304416513</v>
      </c>
      <c r="ER19" s="1" t="n">
        <f aca="false">$AM19</f>
        <v>8</v>
      </c>
      <c r="ES19" s="1" t="n">
        <f aca="false">BZ19</f>
        <v>0</v>
      </c>
      <c r="ET19" s="1" t="n">
        <f aca="false">ET$7*EXP(-ER19/ET$8)</f>
        <v>0.0133755967420393</v>
      </c>
      <c r="EU19" s="1" t="n">
        <f aca="false">(ES19-ET19)^2</f>
        <v>0.000178906588205652</v>
      </c>
      <c r="EW19" s="1" t="n">
        <f aca="false">$AM19</f>
        <v>8</v>
      </c>
      <c r="EX19" s="1" t="n">
        <f aca="false">CI19</f>
        <v>0</v>
      </c>
      <c r="EY19" s="1" t="n">
        <f aca="false">EY$7*EXP(-EW19/EY$8)</f>
        <v>0.0372556905022068</v>
      </c>
      <c r="EZ19" s="1" t="n">
        <f aca="false">(EX19-EY19)^2</f>
        <v>0.00138798647479622</v>
      </c>
      <c r="FB19" s="1" t="n">
        <f aca="false">$AM19</f>
        <v>8</v>
      </c>
      <c r="FC19" s="1" t="n">
        <f aca="false">CR19</f>
        <v>0</v>
      </c>
      <c r="FD19" s="1" t="n">
        <f aca="false">FD$7*EXP(-FB19/FD$8)</f>
        <v>0.0873996440699157</v>
      </c>
      <c r="FE19" s="1" t="n">
        <f aca="false">(FC19-FD19)^2</f>
        <v>0.00763869778354795</v>
      </c>
      <c r="FG19" s="1" t="n">
        <f aca="false">$AM19</f>
        <v>8</v>
      </c>
      <c r="FH19" s="1" t="n">
        <f aca="false">DA19</f>
        <v>0</v>
      </c>
      <c r="FI19" s="1" t="n">
        <f aca="false">FI$7*EXP(-FG19/FI$8)</f>
        <v>0.250117724434188</v>
      </c>
      <c r="FJ19" s="1" t="n">
        <f aca="false">(FH19-FI19)^2</f>
        <v>0.0625588760761364</v>
      </c>
      <c r="FL19" s="1" t="n">
        <f aca="false">EM19</f>
        <v>8</v>
      </c>
      <c r="FM19" s="1" t="n">
        <f aca="false">DJ19</f>
        <v>0</v>
      </c>
      <c r="FN19" s="1" t="n">
        <f aca="false">FN$7*EXP(-FL19/FN$8)</f>
        <v>0.820751498951345</v>
      </c>
      <c r="FO19" s="1" t="n">
        <f aca="false">(FM19-FN19)^2</f>
        <v>0.67363302303088</v>
      </c>
      <c r="FQ19" s="1" t="n">
        <f aca="false">AM19</f>
        <v>8</v>
      </c>
      <c r="FR19" s="1" t="n">
        <f aca="false">AN19/AN$9*100</f>
        <v>0</v>
      </c>
      <c r="FS19" s="1" t="n">
        <f aca="false">AO19/AO$9*100</f>
        <v>0</v>
      </c>
      <c r="FT19" s="1" t="n">
        <f aca="false">AQ19/AQ$9*100</f>
        <v>0</v>
      </c>
      <c r="FU19" s="1" t="n">
        <f aca="false">AR19/AR$9*100</f>
        <v>0</v>
      </c>
      <c r="FV19" s="1" t="n">
        <f aca="false">AT19/AT$9*100</f>
        <v>0</v>
      </c>
      <c r="FW19" s="1" t="n">
        <f aca="false">AU19/AU$9*100</f>
        <v>0</v>
      </c>
      <c r="FX19" s="1" t="n">
        <f aca="false">AW19/AW$9*100</f>
        <v>0</v>
      </c>
      <c r="FY19" s="1" t="n">
        <f aca="false">AX19/AX$9*100</f>
        <v>0</v>
      </c>
      <c r="FZ19" s="1" t="n">
        <f aca="false">AZ19/AZ$9*100</f>
        <v>2.03045685279188</v>
      </c>
      <c r="GA19" s="1" t="n">
        <f aca="false">BA19/BA$9*100</f>
        <v>3.04568527918782</v>
      </c>
      <c r="GB19" s="1" t="n">
        <f aca="false">BC19/BC$9*100</f>
        <v>0.628930817610063</v>
      </c>
      <c r="GC19" s="1" t="n">
        <f aca="false">BD19/BD$9*100</f>
        <v>0.628930817610063</v>
      </c>
      <c r="GD19" s="1" t="n">
        <f aca="false">BF19/BF$9*100</f>
        <v>2.01005025125628</v>
      </c>
      <c r="GE19" s="1" t="n">
        <f aca="false">BG19/BG$9*100</f>
        <v>10.5527638190955</v>
      </c>
      <c r="GF19" s="1" t="n">
        <f aca="false">BI19/BI$9*100</f>
        <v>0</v>
      </c>
      <c r="GG19" s="1" t="n">
        <f aca="false">BJ19/BJ$9*100</f>
        <v>6.16438356164384</v>
      </c>
      <c r="GH19" s="1" t="n">
        <f aca="false">BL19/BL$9*100</f>
        <v>5.09554140127389</v>
      </c>
      <c r="GI19" s="1" t="n">
        <f aca="false">BM19/BM$9*100</f>
        <v>14.6496815286624</v>
      </c>
      <c r="GJ19" s="1" t="n">
        <f aca="false">BO19/BO$9*100</f>
        <v>2.05128205128205</v>
      </c>
      <c r="GK19" s="1" t="n">
        <f aca="false">BP19/BP$9*100</f>
        <v>5.12820512820513</v>
      </c>
      <c r="GL19" s="1" t="n">
        <f aca="false">BR19/BR$9*100</f>
        <v>7.03517587939699</v>
      </c>
      <c r="GM19" s="1" t="n">
        <f aca="false">BS19/BS$9*100</f>
        <v>8.04020100502513</v>
      </c>
      <c r="GO19" s="1" t="n">
        <f aca="false">$AM19</f>
        <v>8</v>
      </c>
      <c r="GP19" s="1" t="n">
        <f aca="false">FT19</f>
        <v>0</v>
      </c>
      <c r="GQ19" s="1" t="n">
        <f aca="false">GQ$6*(1+GQ$5*(-1)^$FQ19)*EXP(-$FQ19/GQ$4)</f>
        <v>0.478715628640309</v>
      </c>
      <c r="GR19" s="1" t="n">
        <f aca="false">(GP19-GQ19)^2</f>
        <v>0.229168653104486</v>
      </c>
      <c r="GS19" s="1" t="n">
        <f aca="false">EXP($FQ19/$JG$4)*GP19</f>
        <v>0</v>
      </c>
      <c r="GT19" s="1" t="n">
        <f aca="false">EXP($FQ19/$JG$4)*(-1)^$FQ19*GP19</f>
        <v>0</v>
      </c>
      <c r="GU19" s="1" t="n">
        <f aca="false">(-1)^GO19*GP19</f>
        <v>0</v>
      </c>
      <c r="GW19" s="1" t="n">
        <f aca="false">$AM19</f>
        <v>8</v>
      </c>
      <c r="GX19" s="1" t="n">
        <f aca="false">FX19</f>
        <v>0</v>
      </c>
      <c r="GY19" s="1" t="n">
        <f aca="false">GY$6*(1+GY$5*(-1)^$FQ19)*EXP(-$FQ19/GY$4)</f>
        <v>0.478715628640309</v>
      </c>
      <c r="GZ19" s="1" t="n">
        <f aca="false">(GX19-GY19)^2</f>
        <v>0.229168653104486</v>
      </c>
      <c r="HA19" s="1" t="n">
        <f aca="false">EXP($FQ19/$JG$4)*GX19</f>
        <v>0</v>
      </c>
      <c r="HB19" s="1" t="n">
        <f aca="false">EXP($FQ19/$JG$4)*(-1)^$FQ19*GX19</f>
        <v>0</v>
      </c>
      <c r="HC19" s="1" t="n">
        <f aca="false">(-1)^GW19*GX19</f>
        <v>0</v>
      </c>
      <c r="HE19" s="1" t="n">
        <f aca="false">$AM19</f>
        <v>8</v>
      </c>
      <c r="HF19" s="1" t="n">
        <f aca="false">GB19</f>
        <v>0.628930817610063</v>
      </c>
      <c r="HG19" s="1" t="n">
        <f aca="false">HG$6*(1+HG$5*(-1)^$FQ19)*EXP(-$FQ19/HG$4)</f>
        <v>0.478715628640309</v>
      </c>
      <c r="HH19" s="1" t="n">
        <f aca="false">(HF19-HG19)^2</f>
        <v>0.0225646029972189</v>
      </c>
      <c r="HI19" s="1" t="n">
        <f aca="false">EXP($FQ19/$JG$4)*HF19</f>
        <v>4.07725864670518</v>
      </c>
      <c r="HJ19" s="1" t="n">
        <f aca="false">EXP($FQ19/$JG$4)*(-1)^$FQ19*HF19</f>
        <v>4.07725864670518</v>
      </c>
      <c r="HK19" s="1" t="n">
        <f aca="false">(-1)^HE19*HF19</f>
        <v>0.628930817610063</v>
      </c>
      <c r="HM19" s="1" t="n">
        <f aca="false">$AM19</f>
        <v>8</v>
      </c>
      <c r="HN19" s="1" t="n">
        <f aca="false">GF19</f>
        <v>0</v>
      </c>
      <c r="HO19" s="1" t="n">
        <f aca="false">HO$6*(1+HO$5*(-1)^$FQ19)*EXP(-$FQ19/HO$4)</f>
        <v>1.37276266228699</v>
      </c>
      <c r="HP19" s="1" t="n">
        <f aca="false">(HN19-HO19)^2</f>
        <v>1.88447732696926</v>
      </c>
      <c r="HQ19" s="1" t="n">
        <f aca="false">EXP($FQ19/$JG$4)*HN19</f>
        <v>0</v>
      </c>
      <c r="HR19" s="1" t="n">
        <f aca="false">EXP($FQ19/$JG$4)*(-1)^$FQ19*HN19</f>
        <v>0</v>
      </c>
      <c r="HS19" s="1" t="n">
        <f aca="false">(-1)^HM19*HN19</f>
        <v>0</v>
      </c>
      <c r="HU19" s="1" t="n">
        <f aca="false">$AM19</f>
        <v>8</v>
      </c>
      <c r="HV19" s="1" t="n">
        <f aca="false">GJ19</f>
        <v>2.05128205128205</v>
      </c>
      <c r="HW19" s="1" t="n">
        <f aca="false">HW$6*(1+HW$5*(-1)^$FQ19)*EXP(-$FQ19/HW$4)</f>
        <v>2.71847931811729</v>
      </c>
      <c r="HX19" s="1" t="n">
        <f aca="false">(HV19-HW19)^2</f>
        <v>0.445152192872413</v>
      </c>
      <c r="HY19" s="1" t="n">
        <f aca="false">EXP($FQ19/$JG$4)*HV19</f>
        <v>13.2981358938692</v>
      </c>
      <c r="HZ19" s="1" t="n">
        <f aca="false">EXP($FQ19/$JG$4)*(-1)^$FQ19*HV19</f>
        <v>13.2981358938692</v>
      </c>
      <c r="IA19" s="1" t="n">
        <f aca="false">(-1)^HU19*HV19</f>
        <v>2.05128205128205</v>
      </c>
      <c r="IB19" s="1" t="n">
        <v>0.33675</v>
      </c>
      <c r="ID19" s="1" t="n">
        <f aca="false">$AM19</f>
        <v>8</v>
      </c>
      <c r="IE19" s="1" t="n">
        <f aca="false">FZ19</f>
        <v>2.03045685279188</v>
      </c>
      <c r="IF19" s="1" t="n">
        <f aca="false">IF$6*(1+IF$5*(-1)^$FQ19)*EXP(-$FQ19/IF$4)</f>
        <v>3.83092940089956</v>
      </c>
      <c r="IG19" s="1" t="n">
        <f aca="false">(IE19-IF19)^2</f>
        <v>3.24170139648937</v>
      </c>
      <c r="IH19" s="1" t="n">
        <f aca="false">EXP($FQ19/$JG$4)*IE19</f>
        <v>13.1631294380939</v>
      </c>
      <c r="II19" s="1" t="n">
        <f aca="false">EXP($FQ19/$JG$4)*(-1)^$FQ19*IE19</f>
        <v>13.1631294380939</v>
      </c>
      <c r="IJ19" s="1" t="n">
        <f aca="false">(-1)^ID19*IE19</f>
        <v>2.03045685279188</v>
      </c>
      <c r="IK19" s="1" t="n">
        <v>0.683774</v>
      </c>
      <c r="IM19" s="1" t="n">
        <f aca="false">$AM19</f>
        <v>8</v>
      </c>
      <c r="IN19" s="1" t="n">
        <f aca="false">GD19</f>
        <v>2.01005025125628</v>
      </c>
      <c r="IO19" s="1" t="n">
        <f aca="false">IO$6*(1+IO$5*(-1)^$FQ19)*EXP(-$FQ19/IO$4)</f>
        <v>4.86316137233918</v>
      </c>
      <c r="IP19" s="1" t="n">
        <f aca="false">(IN19-IO19)^2</f>
        <v>8.14024306924691</v>
      </c>
      <c r="IQ19" s="1" t="n">
        <f aca="false">EXP($FQ19/$JG$4)*IN19</f>
        <v>13.0308366799221</v>
      </c>
      <c r="IR19" s="1" t="n">
        <f aca="false">EXP($FQ19/$JG$4)*(-1)^$FQ19*IN19</f>
        <v>13.0308366799221</v>
      </c>
      <c r="IS19" s="1" t="n">
        <f aca="false">(-1)^IM19*IN19</f>
        <v>2.01005025125628</v>
      </c>
      <c r="IT19" s="1" t="n">
        <v>1.33591</v>
      </c>
      <c r="IV19" s="1" t="n">
        <f aca="false">$AM19</f>
        <v>8</v>
      </c>
      <c r="IW19" s="1" t="n">
        <f aca="false">GH19</f>
        <v>5.09554140127389</v>
      </c>
      <c r="IX19" s="1" t="n">
        <f aca="false">IX$6*(1+IX$5*(-1)^$FQ19)*EXP(-$FQ19/IX$4)</f>
        <v>7.67291977930713</v>
      </c>
      <c r="IY19" s="1" t="n">
        <f aca="false">(IW19-IX19)^2</f>
        <v>6.64287930355328</v>
      </c>
      <c r="IZ19" s="1" t="n">
        <f aca="false">EXP($FQ19/$JG$4)*IW19</f>
        <v>33.0335859784012</v>
      </c>
      <c r="JA19" s="1" t="n">
        <f aca="false">EXP($FQ19/$JG$4)*(-1)^$FQ19*IW19</f>
        <v>33.0335859784012</v>
      </c>
      <c r="JB19" s="1" t="n">
        <f aca="false">(-1)^IV19*IW19</f>
        <v>5.09554140127389</v>
      </c>
      <c r="JC19" s="1" t="n">
        <v>2.881623</v>
      </c>
      <c r="JE19" s="1" t="n">
        <f aca="false">$AM19</f>
        <v>8</v>
      </c>
      <c r="JF19" s="1" t="n">
        <f aca="false">GL19</f>
        <v>7.03517587939699</v>
      </c>
      <c r="JG19" s="1" t="n">
        <f aca="false">JG$6*(1+JG$5*(-1)^$FQ19)*EXP(-$FQ19/JG$4)</f>
        <v>7.70225582239112</v>
      </c>
      <c r="JH19" s="1" t="n">
        <f aca="false">(JF19-JG19)^2</f>
        <v>0.444995650345058</v>
      </c>
      <c r="JI19" s="1" t="n">
        <f aca="false">EXP($FQ19/$JG$4)*JF19</f>
        <v>45.6079283797273</v>
      </c>
      <c r="JJ19" s="1" t="n">
        <f aca="false">EXP($FQ19/$JG$4)*(-1)^$FQ19*JF19</f>
        <v>45.6079283797273</v>
      </c>
      <c r="JK19" s="1" t="n">
        <f aca="false">(-1)^JE19*JF19</f>
        <v>7.03517587939699</v>
      </c>
      <c r="JL19" s="1" t="n">
        <v>1.830657</v>
      </c>
      <c r="JO19" s="1" t="n">
        <f aca="false">$AM19</f>
        <v>8</v>
      </c>
      <c r="JP19" s="1" t="n">
        <f aca="false">GM19</f>
        <v>8.04020100502513</v>
      </c>
      <c r="JQ19" s="1" t="n">
        <f aca="false">JQ$6*(1+JQ$5*(-1)^$FQ19)*EXP(-$FQ19/JQ$4)</f>
        <v>7.58417509933858</v>
      </c>
      <c r="JR19" s="1" t="n">
        <f aca="false">(JP19-JQ19)^2</f>
        <v>0.207959626657233</v>
      </c>
      <c r="JS19" s="1" t="n">
        <f aca="false">EXP($FQ19/$JG$4)*JP19</f>
        <v>52.1233467196883</v>
      </c>
      <c r="JT19" s="1" t="n">
        <f aca="false">EXP($FQ19/$JG$4)*(-1)^$FQ19*JP19</f>
        <v>52.1233467196883</v>
      </c>
      <c r="JU19" s="1" t="n">
        <f aca="false">(-1)^JO19*JP19</f>
        <v>8.04020100502513</v>
      </c>
    </row>
    <row r="20" customFormat="false" ht="16" hidden="false" customHeight="false" outlineLevel="0" collapsed="false">
      <c r="A20" s="1" t="n">
        <v>2</v>
      </c>
      <c r="B20" s="1" t="n">
        <v>2</v>
      </c>
      <c r="C20" s="1" t="n">
        <f aca="false">B20-A20</f>
        <v>0</v>
      </c>
      <c r="D20" s="1" t="n">
        <v>2</v>
      </c>
      <c r="E20" s="1" t="n">
        <v>2</v>
      </c>
      <c r="F20" s="1" t="n">
        <f aca="false">E20-D20</f>
        <v>0</v>
      </c>
      <c r="G20" s="1" t="n">
        <v>2</v>
      </c>
      <c r="H20" s="1" t="n">
        <v>2</v>
      </c>
      <c r="I20" s="1" t="n">
        <f aca="false">H20-G20</f>
        <v>0</v>
      </c>
      <c r="J20" s="1" t="n">
        <v>2</v>
      </c>
      <c r="K20" s="1" t="n">
        <v>2</v>
      </c>
      <c r="L20" s="1" t="n">
        <f aca="false">K20-J20</f>
        <v>0</v>
      </c>
      <c r="M20" s="1" t="n">
        <v>2</v>
      </c>
      <c r="N20" s="1" t="n">
        <v>2</v>
      </c>
      <c r="O20" s="1" t="n">
        <f aca="false">N20-M20</f>
        <v>0</v>
      </c>
      <c r="P20" s="1" t="n">
        <v>1</v>
      </c>
      <c r="Q20" s="1" t="n">
        <v>2</v>
      </c>
      <c r="R20" s="1" t="n">
        <f aca="false">Q20-P20</f>
        <v>1</v>
      </c>
      <c r="S20" s="1" t="n">
        <v>3</v>
      </c>
      <c r="T20" s="1" t="n">
        <v>3</v>
      </c>
      <c r="U20" s="1" t="n">
        <f aca="false">T20-S20</f>
        <v>0</v>
      </c>
      <c r="V20" s="1" t="n">
        <v>1</v>
      </c>
      <c r="W20" s="1" t="n">
        <v>1</v>
      </c>
      <c r="X20" s="1" t="n">
        <f aca="false">W20-V20</f>
        <v>0</v>
      </c>
      <c r="Y20" s="1" t="n">
        <v>16</v>
      </c>
      <c r="Z20" s="1" t="n">
        <v>20</v>
      </c>
      <c r="AA20" s="1" t="n">
        <f aca="false">Z20-Y20</f>
        <v>4</v>
      </c>
      <c r="AB20" s="1" t="n">
        <v>1</v>
      </c>
      <c r="AC20" s="1" t="n">
        <v>3</v>
      </c>
      <c r="AD20" s="1" t="n">
        <f aca="false">AC20-AB20</f>
        <v>2</v>
      </c>
      <c r="AE20" s="1" t="n">
        <v>8</v>
      </c>
      <c r="AF20" s="1" t="n">
        <v>14</v>
      </c>
      <c r="AG20" s="1" t="n">
        <f aca="false">AF20-AE20</f>
        <v>6</v>
      </c>
      <c r="AM20" s="1" t="n">
        <v>9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1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2</v>
      </c>
      <c r="BG20" s="1" t="n">
        <v>8</v>
      </c>
      <c r="BH20" s="1" t="n">
        <v>1</v>
      </c>
      <c r="BI20" s="1" t="n">
        <v>0</v>
      </c>
      <c r="BJ20" s="1" t="n">
        <v>0</v>
      </c>
      <c r="BK20" s="1" t="n">
        <v>0</v>
      </c>
      <c r="BL20" s="1" t="n">
        <v>2</v>
      </c>
      <c r="BM20" s="1" t="n">
        <v>7</v>
      </c>
      <c r="BN20" s="1" t="n">
        <v>1</v>
      </c>
      <c r="BO20" s="1" t="n">
        <v>0</v>
      </c>
      <c r="BP20" s="1" t="n">
        <v>6</v>
      </c>
      <c r="BQ20" s="1" t="n">
        <v>0</v>
      </c>
      <c r="BR20" s="1" t="n">
        <v>1</v>
      </c>
      <c r="BS20" s="1" t="n">
        <v>5</v>
      </c>
      <c r="BT20" s="1" t="n">
        <v>5</v>
      </c>
      <c r="BW20" s="1" t="n">
        <f aca="false">$AM20</f>
        <v>9</v>
      </c>
      <c r="BX20" s="1" t="n">
        <f aca="false">MAX(BX19-AN20/AN$9*100,0)</f>
        <v>0</v>
      </c>
      <c r="BY20" s="1" t="n">
        <f aca="false">MAX(BY19-AO20/AO$9*100,0)</f>
        <v>0</v>
      </c>
      <c r="BZ20" s="1" t="n">
        <f aca="false">MAX(BZ19-AQ20/AQ$9*100,0)</f>
        <v>0</v>
      </c>
      <c r="CA20" s="1" t="n">
        <f aca="false">MAX(CA19-AR20/AR$9*100,0)</f>
        <v>0</v>
      </c>
      <c r="CB20" s="1" t="n">
        <f aca="false">CB$7*EXP(-$AM20/CB$8)</f>
        <v>0.00175378768884449</v>
      </c>
      <c r="CC20" s="1" t="n">
        <f aca="false">(BZ20-CB20)^2</f>
        <v>3.0757712575425E-006</v>
      </c>
      <c r="CD20" s="1" t="n">
        <f aca="false">MAX(CD19-AT20/AT$9*100,0)</f>
        <v>0</v>
      </c>
      <c r="CE20" s="1" t="n">
        <f aca="false">MAX(CE19-AU20/AU$9*100,0)</f>
        <v>5.32907051820075E-015</v>
      </c>
      <c r="CF20" s="1" t="n">
        <f aca="false">CF$7*EXP(-$AM20/CF$8)</f>
        <v>0.00235769504906556</v>
      </c>
      <c r="CG20" s="1" t="n">
        <f aca="false">(CD20-CF20)^2</f>
        <v>5.55872594438825E-006</v>
      </c>
      <c r="CH20" s="1" t="n">
        <f aca="false">$AM20</f>
        <v>9</v>
      </c>
      <c r="CI20" s="1" t="n">
        <f aca="false">MAX(CI19-AW20/AW$9*100,0)</f>
        <v>0</v>
      </c>
      <c r="CJ20" s="1" t="n">
        <f aca="false">MAX(CJ19-AX20/AX$9*100,0)</f>
        <v>0</v>
      </c>
      <c r="CK20" s="1" t="n">
        <f aca="false">CK$7*EXP(-$AM20/CK$8)</f>
        <v>0.0812256543034235</v>
      </c>
      <c r="CL20" s="1" t="n">
        <f aca="false">(CI20-CK20)^2</f>
        <v>0.00659760691701926</v>
      </c>
      <c r="CM20" s="1" t="n">
        <f aca="false">MAX(CM19-AZ20/AZ$9*100,0)</f>
        <v>0</v>
      </c>
      <c r="CN20" s="1" t="n">
        <f aca="false">MAX(CN19-BA20/BA$9*100,0)</f>
        <v>1.52284263959391</v>
      </c>
      <c r="CO20" s="1" t="n">
        <f aca="false">CO$7*EXP(-$AM20/CO$8)</f>
        <v>1.75668068037897</v>
      </c>
      <c r="CP20" s="1" t="n">
        <f aca="false">(CM20-CO20)^2</f>
        <v>3.08592701281672</v>
      </c>
      <c r="CQ20" s="1" t="n">
        <f aca="false">$AM20</f>
        <v>9</v>
      </c>
      <c r="CR20" s="1" t="n">
        <f aca="false">MAX(CR19-BC20/BC$9*100,0)</f>
        <v>0</v>
      </c>
      <c r="CS20" s="1" t="n">
        <f aca="false">MAX(CS19-BD20/BD$9*100,0)</f>
        <v>0.628930817610055</v>
      </c>
      <c r="CT20" s="1" t="n">
        <f aca="false">CT$7*EXP(-$AM20/CT$8)</f>
        <v>0.122924911399936</v>
      </c>
      <c r="CU20" s="1" t="n">
        <f aca="false">(CR20-CT20)^2</f>
        <v>0.0151105338426821</v>
      </c>
      <c r="CV20" s="1" t="n">
        <f aca="false">MAX(CV19-BF20/BF$9*100,0)</f>
        <v>2.51256281407036</v>
      </c>
      <c r="CW20" s="1" t="n">
        <f aca="false">MAX(CW19-BG20/BG$9*100,0)</f>
        <v>16.5829145728643</v>
      </c>
      <c r="CX20" s="1" t="n">
        <f aca="false">CX$7*EXP(-$AM20/CX$8)</f>
        <v>3.26998021363725</v>
      </c>
      <c r="CY20" s="1" t="n">
        <f aca="false">(CV20-CX20)^2</f>
        <v>0.573681117166669</v>
      </c>
      <c r="CZ20" s="1" t="n">
        <f aca="false">$AM20</f>
        <v>9</v>
      </c>
      <c r="DA20" s="1" t="n">
        <f aca="false">MAX(DA19-BI20/BI$9*100,0)</f>
        <v>0</v>
      </c>
      <c r="DB20" s="1" t="n">
        <f aca="false">MAX(DB19-BJ20/BJ$9*100,0)</f>
        <v>0.684931506849325</v>
      </c>
      <c r="DC20" s="1" t="n">
        <f aca="false">DC$7*EXP(-$AM20/DC$8)</f>
        <v>0.224434976559287</v>
      </c>
      <c r="DD20" s="1" t="n">
        <f aca="false">(DA20-DC20)^2</f>
        <v>0.0503710587031677</v>
      </c>
      <c r="DE20" s="1" t="n">
        <f aca="false">MAX(DE19-BL20/BL$9*100,0)</f>
        <v>12.1019108280255</v>
      </c>
      <c r="DF20" s="1" t="n">
        <f aca="false">MAX(DF19-BM20/BM$9*100,0)</f>
        <v>35.6687898089172</v>
      </c>
      <c r="DG20" s="1" t="n">
        <f aca="false">DG$7*EXP(-$AM20/DG$8)</f>
        <v>12.7006065597047</v>
      </c>
      <c r="DH20" s="1" t="n">
        <f aca="false">(DE20-DG20)^2</f>
        <v>0.358436579130925</v>
      </c>
      <c r="DI20" s="1" t="n">
        <f aca="false">$AM20</f>
        <v>9</v>
      </c>
      <c r="DJ20" s="1" t="n">
        <f aca="false">MAX(DJ19-BO20/BO$9*100,0)</f>
        <v>0</v>
      </c>
      <c r="DK20" s="1" t="n">
        <f aca="false">MAX(DK19-BP20/BP$9*100,0)</f>
        <v>6.15384615384616</v>
      </c>
      <c r="DL20" s="1" t="n">
        <f aca="false">DL$7*EXP(-$AM20/DL$8)</f>
        <v>0.599993115174027</v>
      </c>
      <c r="DM20" s="1" t="n">
        <f aca="false">(DJ20-DL20)^2</f>
        <v>0.359991738256233</v>
      </c>
      <c r="DN20" s="1" t="n">
        <f aca="false">MAX(DN19-BR20/BR$9*100,0)</f>
        <v>11.5577889447236</v>
      </c>
      <c r="DO20" s="1" t="n">
        <f aca="false">MAX(DO19-BS20/BS$9*100,0)</f>
        <v>49.748743718593</v>
      </c>
      <c r="DP20" s="1" t="n">
        <f aca="false">DP$7*EXP(-$AM20/DP$8)</f>
        <v>9.53001197202824</v>
      </c>
      <c r="DQ20" s="1" t="n">
        <f aca="false">(DN20-DP20)^2</f>
        <v>4.11187945099365</v>
      </c>
      <c r="DS20" s="1" t="n">
        <f aca="false">$AM20</f>
        <v>9</v>
      </c>
      <c r="DT20" s="1" t="n">
        <f aca="false">CA20</f>
        <v>0</v>
      </c>
      <c r="DU20" s="1" t="n">
        <f aca="false">DU$7*EXP(-DS20/DU$8)</f>
        <v>0.0152282912505396</v>
      </c>
      <c r="DV20" s="1" t="n">
        <f aca="false">(DT20-DU20)^2</f>
        <v>0.000231900854411261</v>
      </c>
      <c r="DX20" s="1" t="n">
        <f aca="false">$AM20</f>
        <v>9</v>
      </c>
      <c r="DY20" s="1" t="n">
        <f aca="false">CM20</f>
        <v>0</v>
      </c>
      <c r="DZ20" s="1" t="n">
        <f aca="false">DZ$7*EXP(-DX20/DZ$8)</f>
        <v>1.0064358795866</v>
      </c>
      <c r="EA20" s="1" t="n">
        <f aca="false">(DY20-DZ20)^2</f>
        <v>1.01291317971925</v>
      </c>
      <c r="EC20" s="1" t="n">
        <f aca="false">$AM20</f>
        <v>9</v>
      </c>
      <c r="ED20" s="1" t="n">
        <f aca="false">CV20</f>
        <v>2.51256281407036</v>
      </c>
      <c r="EE20" s="1" t="n">
        <f aca="false">EE$7*EXP(-EC20/EE$8)</f>
        <v>2.78903610269266</v>
      </c>
      <c r="EF20" s="1" t="n">
        <f aca="false">(ED20-EE20)^2</f>
        <v>0.0764374793216294</v>
      </c>
      <c r="EH20" s="1" t="n">
        <f aca="false">$AM20</f>
        <v>9</v>
      </c>
      <c r="EI20" s="1" t="n">
        <f aca="false">DE20</f>
        <v>12.1019108280255</v>
      </c>
      <c r="EJ20" s="1" t="n">
        <f aca="false">EJ$7*EXP(-EH20/EJ$8)</f>
        <v>12.6479069474237</v>
      </c>
      <c r="EK20" s="1" t="n">
        <f aca="false">(EI20-EJ20)^2</f>
        <v>0.298111762397921</v>
      </c>
      <c r="EM20" s="1" t="n">
        <f aca="false">AM20</f>
        <v>9</v>
      </c>
      <c r="EN20" s="1" t="n">
        <f aca="false">DN20</f>
        <v>11.5577889447236</v>
      </c>
      <c r="EO20" s="1" t="n">
        <f aca="false">EO$7*EXP(-EM20/EO$8)</f>
        <v>10.1933782482324</v>
      </c>
      <c r="EP20" s="1" t="n">
        <f aca="false">(EN20-EO20)^2</f>
        <v>1.86161654869966</v>
      </c>
      <c r="ER20" s="1" t="n">
        <f aca="false">$AM20</f>
        <v>9</v>
      </c>
      <c r="ES20" s="1" t="n">
        <f aca="false">BZ20</f>
        <v>0</v>
      </c>
      <c r="ET20" s="1" t="n">
        <f aca="false">ET$7*EXP(-ER20/ET$8)</f>
        <v>0.00406720372362435</v>
      </c>
      <c r="EU20" s="1" t="n">
        <f aca="false">(ES20-ET20)^2</f>
        <v>1.65421461294638E-005</v>
      </c>
      <c r="EW20" s="1" t="n">
        <f aca="false">$AM20</f>
        <v>9</v>
      </c>
      <c r="EX20" s="1" t="n">
        <f aca="false">CI20</f>
        <v>0</v>
      </c>
      <c r="EY20" s="1" t="n">
        <f aca="false">EY$7*EXP(-EW20/EY$8)</f>
        <v>0.0124149774103923</v>
      </c>
      <c r="EZ20" s="1" t="n">
        <f aca="false">(EX20-EY20)^2</f>
        <v>0.000154131664100551</v>
      </c>
      <c r="FB20" s="1" t="n">
        <f aca="false">$AM20</f>
        <v>9</v>
      </c>
      <c r="FC20" s="1" t="n">
        <f aca="false">CR20</f>
        <v>0</v>
      </c>
      <c r="FD20" s="1" t="n">
        <f aca="false">FD$7*EXP(-FB20/FD$8)</f>
        <v>0.0337206448914552</v>
      </c>
      <c r="FE20" s="1" t="n">
        <f aca="false">(FC20-FD20)^2</f>
        <v>0.00113708189189562</v>
      </c>
      <c r="FG20" s="1" t="n">
        <f aca="false">$AM20</f>
        <v>9</v>
      </c>
      <c r="FH20" s="1" t="n">
        <f aca="false">DA20</f>
        <v>0</v>
      </c>
      <c r="FI20" s="1" t="n">
        <f aca="false">FI$7*EXP(-FG20/FI$8)</f>
        <v>0.109451926315154</v>
      </c>
      <c r="FJ20" s="1" t="n">
        <f aca="false">(FH20-FI20)^2</f>
        <v>0.0119797241740979</v>
      </c>
      <c r="FL20" s="1" t="n">
        <f aca="false">EM20</f>
        <v>9</v>
      </c>
      <c r="FM20" s="1" t="n">
        <f aca="false">DJ20</f>
        <v>0</v>
      </c>
      <c r="FN20" s="1" t="n">
        <f aca="false">FN$7*EXP(-FL20/FN$8)</f>
        <v>0.421387870033281</v>
      </c>
      <c r="FO20" s="1" t="n">
        <f aca="false">(FM20-FN20)^2</f>
        <v>0.177567737011185</v>
      </c>
      <c r="FQ20" s="1" t="n">
        <f aca="false">AM20</f>
        <v>9</v>
      </c>
      <c r="FR20" s="1" t="n">
        <f aca="false">AN20/AN$9*100</f>
        <v>0</v>
      </c>
      <c r="FS20" s="1" t="n">
        <f aca="false">AO20/AO$9*100</f>
        <v>0</v>
      </c>
      <c r="FT20" s="1" t="n">
        <f aca="false">AQ20/AQ$9*100</f>
        <v>0</v>
      </c>
      <c r="FU20" s="1" t="n">
        <f aca="false">AR20/AR$9*100</f>
        <v>0</v>
      </c>
      <c r="FV20" s="1" t="n">
        <f aca="false">AT20/AT$9*100</f>
        <v>0</v>
      </c>
      <c r="FW20" s="1" t="n">
        <f aca="false">AU20/AU$9*100</f>
        <v>0</v>
      </c>
      <c r="FX20" s="1" t="n">
        <f aca="false">AW20/AW$9*100</f>
        <v>0</v>
      </c>
      <c r="FY20" s="1" t="n">
        <f aca="false">AX20/AX$9*100</f>
        <v>0</v>
      </c>
      <c r="FZ20" s="1" t="n">
        <f aca="false">AZ20/AZ$9*100</f>
        <v>0</v>
      </c>
      <c r="GA20" s="1" t="n">
        <f aca="false">BA20/BA$9*100</f>
        <v>0.50761421319797</v>
      </c>
      <c r="GB20" s="1" t="n">
        <f aca="false">BC20/BC$9*100</f>
        <v>0</v>
      </c>
      <c r="GC20" s="1" t="n">
        <f aca="false">BD20/BD$9*100</f>
        <v>0</v>
      </c>
      <c r="GD20" s="1" t="n">
        <f aca="false">BF20/BF$9*100</f>
        <v>1.00502512562814</v>
      </c>
      <c r="GE20" s="1" t="n">
        <f aca="false">BG20/BG$9*100</f>
        <v>4.02010050251256</v>
      </c>
      <c r="GF20" s="1" t="n">
        <f aca="false">BI20/BI$9*100</f>
        <v>0</v>
      </c>
      <c r="GG20" s="1" t="n">
        <f aca="false">BJ20/BJ$9*100</f>
        <v>0</v>
      </c>
      <c r="GH20" s="1" t="n">
        <f aca="false">BL20/BL$9*100</f>
        <v>1.27388535031847</v>
      </c>
      <c r="GI20" s="1" t="n">
        <f aca="false">BM20/BM$9*100</f>
        <v>4.45859872611465</v>
      </c>
      <c r="GJ20" s="1" t="n">
        <f aca="false">BO20/BO$9*100</f>
        <v>0</v>
      </c>
      <c r="GK20" s="1" t="n">
        <f aca="false">BP20/BP$9*100</f>
        <v>3.07692307692308</v>
      </c>
      <c r="GL20" s="1" t="n">
        <f aca="false">BR20/BR$9*100</f>
        <v>0.50251256281407</v>
      </c>
      <c r="GM20" s="1" t="n">
        <f aca="false">BS20/BS$9*100</f>
        <v>2.51256281407035</v>
      </c>
      <c r="GO20" s="1" t="n">
        <f aca="false">$AM20</f>
        <v>9</v>
      </c>
      <c r="GP20" s="1" t="n">
        <f aca="false">FT20</f>
        <v>0</v>
      </c>
      <c r="GQ20" s="1" t="n">
        <f aca="false">GQ$6*(1+GQ$5*(-1)^$FQ20)*EXP(-$FQ20/GQ$4)</f>
        <v>0.0768157973112093</v>
      </c>
      <c r="GR20" s="1" t="n">
        <f aca="false">(GP20-GQ20)^2</f>
        <v>0.00590066671655679</v>
      </c>
      <c r="GS20" s="1" t="n">
        <f aca="false">EXP($FQ20/$JG$4)*GP20</f>
        <v>0</v>
      </c>
      <c r="GT20" s="1" t="n">
        <f aca="false">EXP($FQ20/$JG$4)*(-1)^$FQ20*GP20</f>
        <v>-0</v>
      </c>
      <c r="GU20" s="1" t="n">
        <f aca="false">(-1)^GO20*GP20</f>
        <v>-0</v>
      </c>
      <c r="GW20" s="1" t="n">
        <f aca="false">$AM20</f>
        <v>9</v>
      </c>
      <c r="GX20" s="1" t="n">
        <f aca="false">FX20</f>
        <v>0</v>
      </c>
      <c r="GY20" s="1" t="n">
        <f aca="false">GY$6*(1+GY$5*(-1)^$FQ20)*EXP(-$FQ20/GY$4)</f>
        <v>0.0768157973112093</v>
      </c>
      <c r="GZ20" s="1" t="n">
        <f aca="false">(GX20-GY20)^2</f>
        <v>0.00590066671655679</v>
      </c>
      <c r="HA20" s="1" t="n">
        <f aca="false">EXP($FQ20/$JG$4)*GX20</f>
        <v>0</v>
      </c>
      <c r="HB20" s="1" t="n">
        <f aca="false">EXP($FQ20/$JG$4)*(-1)^$FQ20*GX20</f>
        <v>-0</v>
      </c>
      <c r="HC20" s="1" t="n">
        <f aca="false">(-1)^GW20*GX20</f>
        <v>-0</v>
      </c>
      <c r="HE20" s="1" t="n">
        <f aca="false">$AM20</f>
        <v>9</v>
      </c>
      <c r="HF20" s="1" t="n">
        <f aca="false">GB20</f>
        <v>0</v>
      </c>
      <c r="HG20" s="1" t="n">
        <f aca="false">HG$6*(1+HG$5*(-1)^$FQ20)*EXP(-$FQ20/HG$4)</f>
        <v>0.0768157973112093</v>
      </c>
      <c r="HH20" s="1" t="n">
        <f aca="false">(HF20-HG20)^2</f>
        <v>0.00590066671655679</v>
      </c>
      <c r="HI20" s="1" t="n">
        <f aca="false">EXP($FQ20/$JG$4)*HF20</f>
        <v>0</v>
      </c>
      <c r="HJ20" s="1" t="n">
        <f aca="false">EXP($FQ20/$JG$4)*(-1)^$FQ20*HF20</f>
        <v>-0</v>
      </c>
      <c r="HK20" s="1" t="n">
        <f aca="false">(-1)^HE20*HF20</f>
        <v>-0</v>
      </c>
      <c r="HM20" s="1" t="n">
        <f aca="false">$AM20</f>
        <v>9</v>
      </c>
      <c r="HN20" s="1" t="n">
        <f aca="false">GF20</f>
        <v>0</v>
      </c>
      <c r="HO20" s="1" t="n">
        <f aca="false">HO$6*(1+HO$5*(-1)^$FQ20)*EXP(-$FQ20/HO$4)</f>
        <v>0.165576056570162</v>
      </c>
      <c r="HP20" s="1" t="n">
        <f aca="false">(HN20-HO20)^2</f>
        <v>0.0274154305093255</v>
      </c>
      <c r="HQ20" s="1" t="n">
        <f aca="false">EXP($FQ20/$JG$4)*HN20</f>
        <v>0</v>
      </c>
      <c r="HR20" s="1" t="n">
        <f aca="false">EXP($FQ20/$JG$4)*(-1)^$FQ20*HN20</f>
        <v>-0</v>
      </c>
      <c r="HS20" s="1" t="n">
        <f aca="false">(-1)^HM20*HN20</f>
        <v>-0</v>
      </c>
      <c r="HU20" s="1" t="n">
        <f aca="false">$AM20</f>
        <v>9</v>
      </c>
      <c r="HV20" s="1" t="n">
        <f aca="false">GJ20</f>
        <v>0</v>
      </c>
      <c r="HW20" s="1" t="n">
        <f aca="false">HW$6*(1+HW$5*(-1)^$FQ20)*EXP(-$FQ20/HW$4)</f>
        <v>0.582155598837587</v>
      </c>
      <c r="HX20" s="1" t="n">
        <f aca="false">(HV20-HW20)^2</f>
        <v>0.33890514125795</v>
      </c>
      <c r="HY20" s="1" t="n">
        <f aca="false">EXP($FQ20/$JG$4)*HV20</f>
        <v>0</v>
      </c>
      <c r="HZ20" s="1" t="n">
        <f aca="false">EXP($FQ20/$JG$4)*(-1)^$FQ20*HV20</f>
        <v>-0</v>
      </c>
      <c r="IA20" s="1" t="n">
        <f aca="false">(-1)^HU20*HV20</f>
        <v>-0</v>
      </c>
      <c r="IB20" s="1" t="n">
        <v>0.158012</v>
      </c>
      <c r="ID20" s="1" t="n">
        <f aca="false">$AM20</f>
        <v>9</v>
      </c>
      <c r="IE20" s="1" t="n">
        <f aca="false">FZ20</f>
        <v>0</v>
      </c>
      <c r="IF20" s="1" t="n">
        <f aca="false">IF$6*(1+IF$5*(-1)^$FQ20)*EXP(-$FQ20/IF$4)</f>
        <v>1.41408105132781</v>
      </c>
      <c r="IG20" s="1" t="n">
        <f aca="false">(IE20-IF20)^2</f>
        <v>1.99962521972436</v>
      </c>
      <c r="IH20" s="1" t="n">
        <f aca="false">EXP($FQ20/$JG$4)*IE20</f>
        <v>0</v>
      </c>
      <c r="II20" s="1" t="n">
        <f aca="false">EXP($FQ20/$JG$4)*(-1)^$FQ20*IE20</f>
        <v>-0</v>
      </c>
      <c r="IJ20" s="1" t="n">
        <f aca="false">(-1)^ID20*IE20</f>
        <v>-0</v>
      </c>
      <c r="IK20" s="1" t="n">
        <v>0.356926</v>
      </c>
      <c r="IM20" s="1" t="n">
        <f aca="false">$AM20</f>
        <v>9</v>
      </c>
      <c r="IN20" s="1" t="n">
        <f aca="false">GD20</f>
        <v>1.00502512562814</v>
      </c>
      <c r="IO20" s="1" t="n">
        <f aca="false">IO$6*(1+IO$5*(-1)^$FQ20)*EXP(-$FQ20/IO$4)</f>
        <v>1.68056194645289</v>
      </c>
      <c r="IP20" s="1" t="n">
        <f aca="false">(IN20-IO20)^2</f>
        <v>0.45634999629001</v>
      </c>
      <c r="IQ20" s="1" t="n">
        <f aca="false">EXP($FQ20/$JG$4)*IN20</f>
        <v>8.23024908844199</v>
      </c>
      <c r="IR20" s="1" t="n">
        <f aca="false">EXP($FQ20/$JG$4)*(-1)^$FQ20*IN20</f>
        <v>-8.23024908844199</v>
      </c>
      <c r="IS20" s="1" t="n">
        <f aca="false">(-1)^IM20*IN20</f>
        <v>-1.00502512562814</v>
      </c>
      <c r="IT20" s="1" t="n">
        <v>0.801454</v>
      </c>
      <c r="IV20" s="1" t="n">
        <f aca="false">$AM20</f>
        <v>9</v>
      </c>
      <c r="IW20" s="1" t="n">
        <f aca="false">GH20</f>
        <v>1.27388535031847</v>
      </c>
      <c r="IX20" s="1" t="n">
        <f aca="false">IX$6*(1+IX$5*(-1)^$FQ20)*EXP(-$FQ20/IX$4)</f>
        <v>1.63240990190038</v>
      </c>
      <c r="IY20" s="1" t="n">
        <f aca="false">(IW20-IX20)^2</f>
        <v>0.128539854087009</v>
      </c>
      <c r="IZ20" s="1" t="n">
        <f aca="false">EXP($FQ20/$JG$4)*IW20</f>
        <v>10.431971774522</v>
      </c>
      <c r="JA20" s="1" t="n">
        <f aca="false">EXP($FQ20/$JG$4)*(-1)^$FQ20*IW20</f>
        <v>-10.431971774522</v>
      </c>
      <c r="JB20" s="1" t="n">
        <f aca="false">(-1)^IV20*IW20</f>
        <v>-1.27388535031847</v>
      </c>
      <c r="JC20" s="1" t="n">
        <v>4.522585</v>
      </c>
      <c r="JE20" s="1" t="n">
        <f aca="false">$AM20</f>
        <v>9</v>
      </c>
      <c r="JF20" s="1" t="n">
        <f aca="false">GL20</f>
        <v>0.50251256281407</v>
      </c>
      <c r="JG20" s="1" t="n">
        <f aca="false">JG$6*(1+JG$5*(-1)^$FQ20)*EXP(-$FQ20/JG$4)</f>
        <v>0.931308701314085</v>
      </c>
      <c r="JH20" s="1" t="n">
        <f aca="false">(JF20-JG20)^2</f>
        <v>0.183866128392524</v>
      </c>
      <c r="JI20" s="1" t="n">
        <f aca="false">EXP($FQ20/$JG$4)*JF20</f>
        <v>4.11512454422099</v>
      </c>
      <c r="JJ20" s="1" t="n">
        <f aca="false">EXP($FQ20/$JG$4)*(-1)^$FQ20*JF20</f>
        <v>-4.11512454422099</v>
      </c>
      <c r="JK20" s="1" t="n">
        <f aca="false">(-1)^JE20*JF20</f>
        <v>-0.50251256281407</v>
      </c>
      <c r="JL20" s="1" t="n">
        <v>4.522543</v>
      </c>
      <c r="JO20" s="1" t="n">
        <f aca="false">$AM20</f>
        <v>9</v>
      </c>
      <c r="JP20" s="1" t="n">
        <f aca="false">GM20</f>
        <v>2.51256281407035</v>
      </c>
      <c r="JQ20" s="1" t="n">
        <f aca="false">JQ$6*(1+JQ$5*(-1)^$FQ20)*EXP(-$FQ20/JQ$4)</f>
        <v>1.33353828724913</v>
      </c>
      <c r="JR20" s="1" t="n">
        <f aca="false">(JP20-JQ20)^2</f>
        <v>1.39009883484601</v>
      </c>
      <c r="JS20" s="1" t="n">
        <f aca="false">EXP($FQ20/$JG$4)*JP20</f>
        <v>20.575622721105</v>
      </c>
      <c r="JT20" s="1" t="n">
        <f aca="false">EXP($FQ20/$JG$4)*(-1)^$FQ20*JP20</f>
        <v>-20.575622721105</v>
      </c>
      <c r="JU20" s="1" t="n">
        <f aca="false">(-1)^JO20*JP20</f>
        <v>-2.51256281407035</v>
      </c>
    </row>
    <row r="21" customFormat="false" ht="16" hidden="false" customHeight="false" outlineLevel="0" collapsed="false">
      <c r="A21" s="1" t="n">
        <v>2</v>
      </c>
      <c r="B21" s="1" t="n">
        <v>2</v>
      </c>
      <c r="C21" s="1" t="n">
        <f aca="false">B21-A21</f>
        <v>0</v>
      </c>
      <c r="D21" s="1" t="n">
        <v>2</v>
      </c>
      <c r="E21" s="1" t="n">
        <v>2</v>
      </c>
      <c r="F21" s="1" t="n">
        <f aca="false">E21-D21</f>
        <v>0</v>
      </c>
      <c r="G21" s="1" t="n">
        <v>1</v>
      </c>
      <c r="H21" s="1" t="n">
        <v>1</v>
      </c>
      <c r="I21" s="1" t="n">
        <f aca="false">H21-G21</f>
        <v>0</v>
      </c>
      <c r="J21" s="1" t="n">
        <v>1</v>
      </c>
      <c r="K21" s="1" t="n">
        <v>1</v>
      </c>
      <c r="L21" s="1" t="n">
        <f aca="false">K21-J21</f>
        <v>0</v>
      </c>
      <c r="M21" s="1" t="n">
        <v>8</v>
      </c>
      <c r="N21" s="1" t="n">
        <v>8</v>
      </c>
      <c r="O21" s="1" t="n">
        <f aca="false">N21-M21</f>
        <v>0</v>
      </c>
      <c r="P21" s="1" t="n">
        <v>1</v>
      </c>
      <c r="Q21" s="1" t="n">
        <v>1</v>
      </c>
      <c r="R21" s="1" t="n">
        <f aca="false">Q21-P21</f>
        <v>0</v>
      </c>
      <c r="S21" s="1" t="n">
        <v>1</v>
      </c>
      <c r="T21" s="1" t="n">
        <v>1</v>
      </c>
      <c r="U21" s="1" t="n">
        <f aca="false">T21-S21</f>
        <v>0</v>
      </c>
      <c r="V21" s="1" t="n">
        <v>1</v>
      </c>
      <c r="W21" s="1" t="n">
        <v>3</v>
      </c>
      <c r="X21" s="1" t="n">
        <f aca="false">W21-V21</f>
        <v>2</v>
      </c>
      <c r="Y21" s="1" t="n">
        <v>16</v>
      </c>
      <c r="Z21" s="1" t="n">
        <v>20</v>
      </c>
      <c r="AA21" s="1" t="n">
        <f aca="false">Z21-Y21</f>
        <v>4</v>
      </c>
      <c r="AB21" s="1" t="n">
        <v>1</v>
      </c>
      <c r="AC21" s="1" t="n">
        <v>1</v>
      </c>
      <c r="AD21" s="1" t="n">
        <f aca="false">AC21-AB21</f>
        <v>0</v>
      </c>
      <c r="AE21" s="1" t="n">
        <v>14</v>
      </c>
      <c r="AF21" s="1" t="n">
        <v>23</v>
      </c>
      <c r="AG21" s="1" t="n">
        <f aca="false">AF21-AE21</f>
        <v>9</v>
      </c>
      <c r="AI21" s="1" t="s">
        <v>72</v>
      </c>
      <c r="AM21" s="1" t="n">
        <v>10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2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3</v>
      </c>
      <c r="BG21" s="1" t="n">
        <v>15</v>
      </c>
      <c r="BH21" s="1" t="n">
        <v>1</v>
      </c>
      <c r="BI21" s="1" t="n">
        <v>0</v>
      </c>
      <c r="BJ21" s="1" t="n">
        <v>1</v>
      </c>
      <c r="BK21" s="1" t="n">
        <v>0</v>
      </c>
      <c r="BL21" s="1" t="n">
        <v>3</v>
      </c>
      <c r="BM21" s="1" t="n">
        <v>16</v>
      </c>
      <c r="BN21" s="1" t="n">
        <v>6</v>
      </c>
      <c r="BO21" s="1" t="n">
        <v>0</v>
      </c>
      <c r="BP21" s="1" t="n">
        <v>6</v>
      </c>
      <c r="BQ21" s="1" t="n">
        <v>1</v>
      </c>
      <c r="BR21" s="1" t="n">
        <v>10</v>
      </c>
      <c r="BS21" s="1" t="n">
        <v>28</v>
      </c>
      <c r="BT21" s="1" t="n">
        <v>10</v>
      </c>
      <c r="BW21" s="1" t="n">
        <f aca="false">$AM21</f>
        <v>10</v>
      </c>
      <c r="BX21" s="1" t="n">
        <f aca="false">MAX(BX20-AN21/AN$9*100,0)</f>
        <v>0</v>
      </c>
      <c r="BY21" s="1" t="n">
        <f aca="false">MAX(BY20-AO21/AO$9*100,0)</f>
        <v>0</v>
      </c>
      <c r="BZ21" s="1" t="n">
        <f aca="false">MAX(BZ20-AQ21/AQ$9*100,0)</f>
        <v>0</v>
      </c>
      <c r="CA21" s="1" t="n">
        <f aca="false">MAX(CA20-AR21/AR$9*100,0)</f>
        <v>0</v>
      </c>
      <c r="CB21" s="1" t="n">
        <f aca="false">CB$7*EXP(-$AM21/CB$8)</f>
        <v>0.00047858403773185</v>
      </c>
      <c r="CC21" s="1" t="n">
        <f aca="false">(BZ21-CB21)^2</f>
        <v>2.29042681171721E-007</v>
      </c>
      <c r="CD21" s="1" t="n">
        <f aca="false">MAX(CD20-AT21/AT$9*100,0)</f>
        <v>0</v>
      </c>
      <c r="CE21" s="1" t="n">
        <f aca="false">MAX(CE20-AU21/AU$9*100,0)</f>
        <v>5.32907051820075E-015</v>
      </c>
      <c r="CF21" s="1" t="n">
        <f aca="false">CF$7*EXP(-$AM21/CF$8)</f>
        <v>0.000664886907196975</v>
      </c>
      <c r="CG21" s="1" t="n">
        <f aca="false">(CD21-CF21)^2</f>
        <v>4.42074599361959E-007</v>
      </c>
      <c r="CH21" s="1" t="n">
        <f aca="false">$AM21</f>
        <v>10</v>
      </c>
      <c r="CI21" s="1" t="n">
        <f aca="false">MAX(CI20-AW21/AW$9*100,0)</f>
        <v>0</v>
      </c>
      <c r="CJ21" s="1" t="n">
        <f aca="false">MAX(CJ20-AX21/AX$9*100,0)</f>
        <v>0</v>
      </c>
      <c r="CK21" s="1" t="n">
        <f aca="false">CK$7*EXP(-$AM21/CK$8)</f>
        <v>0.0345542406526231</v>
      </c>
      <c r="CL21" s="1" t="n">
        <f aca="false">(CI21-CK21)^2</f>
        <v>0.00119399554707939</v>
      </c>
      <c r="CM21" s="1" t="n">
        <f aca="false">MAX(CM20-AZ21/AZ$9*100,0)</f>
        <v>0</v>
      </c>
      <c r="CN21" s="1" t="n">
        <f aca="false">MAX(CN20-BA21/BA$9*100,0)</f>
        <v>0.507614213197975</v>
      </c>
      <c r="CO21" s="1" t="n">
        <f aca="false">CO$7*EXP(-$AM21/CO$8)</f>
        <v>1.08616899368051</v>
      </c>
      <c r="CP21" s="1" t="n">
        <f aca="false">(CM21-CO21)^2</f>
        <v>1.17976308283293</v>
      </c>
      <c r="CQ21" s="1" t="n">
        <f aca="false">$AM21</f>
        <v>10</v>
      </c>
      <c r="CR21" s="1" t="n">
        <f aca="false">MAX(CR20-BC21/BC$9*100,0)</f>
        <v>0</v>
      </c>
      <c r="CS21" s="1" t="n">
        <f aca="false">MAX(CS20-BD21/BD$9*100,0)</f>
        <v>0.628930817610055</v>
      </c>
      <c r="CT21" s="1" t="n">
        <f aca="false">CT$7*EXP(-$AM21/CT$8)</f>
        <v>0.0559339828553523</v>
      </c>
      <c r="CU21" s="1" t="n">
        <f aca="false">(CR21-CT21)^2</f>
        <v>0.00312861043806285</v>
      </c>
      <c r="CV21" s="1" t="n">
        <f aca="false">MAX(CV20-BF21/BF$9*100,0)</f>
        <v>1.00502512562815</v>
      </c>
      <c r="CW21" s="1" t="n">
        <f aca="false">MAX(CW20-BG21/BG$9*100,0)</f>
        <v>9.04522613065327</v>
      </c>
      <c r="CX21" s="1" t="n">
        <f aca="false">CX$7*EXP(-$AM21/CX$8)</f>
        <v>2.16313983500451</v>
      </c>
      <c r="CY21" s="1" t="n">
        <f aca="false">(CV21-CX21)^2</f>
        <v>1.34122968007389</v>
      </c>
      <c r="CZ21" s="1" t="n">
        <f aca="false">$AM21</f>
        <v>10</v>
      </c>
      <c r="DA21" s="1" t="n">
        <f aca="false">MAX(DA20-BI21/BI$9*100,0)</f>
        <v>0</v>
      </c>
      <c r="DB21" s="1" t="n">
        <f aca="false">MAX(DB20-BJ21/BJ$9*100,0)</f>
        <v>9.88098491916389E-015</v>
      </c>
      <c r="DC21" s="1" t="n">
        <f aca="false">DC$7*EXP(-$AM21/DC$8)</f>
        <v>0.108165127871271</v>
      </c>
      <c r="DD21" s="1" t="n">
        <f aca="false">(DA21-DC21)^2</f>
        <v>0.0116996948874084</v>
      </c>
      <c r="DE21" s="1" t="n">
        <f aca="false">MAX(DE20-BL21/BL$9*100,0)</f>
        <v>10.1910828025478</v>
      </c>
      <c r="DF21" s="1" t="n">
        <f aca="false">MAX(DF20-BM21/BM$9*100,0)</f>
        <v>25.4777070063694</v>
      </c>
      <c r="DG21" s="1" t="n">
        <f aca="false">DG$7*EXP(-$AM21/DG$8)</f>
        <v>9.89124233417981</v>
      </c>
      <c r="DH21" s="1" t="n">
        <f aca="false">(DE21-DG21)^2</f>
        <v>0.0899043064711161</v>
      </c>
      <c r="DI21" s="1" t="n">
        <f aca="false">$AM21</f>
        <v>10</v>
      </c>
      <c r="DJ21" s="1" t="n">
        <f aca="false">MAX(DJ20-BO21/BO$9*100,0)</f>
        <v>0</v>
      </c>
      <c r="DK21" s="1" t="n">
        <f aca="false">MAX(DK20-BP21/BP$9*100,0)</f>
        <v>3.07692307692309</v>
      </c>
      <c r="DL21" s="1" t="n">
        <f aca="false">DL$7*EXP(-$AM21/DL$8)</f>
        <v>0.324868747828885</v>
      </c>
      <c r="DM21" s="1" t="n">
        <f aca="false">(DJ21-DL21)^2</f>
        <v>0.105539703315908</v>
      </c>
      <c r="DN21" s="1" t="n">
        <f aca="false">MAX(DN20-BR21/BR$9*100,0)</f>
        <v>6.53266331658292</v>
      </c>
      <c r="DO21" s="1" t="n">
        <f aca="false">MAX(DO20-BS21/BS$9*100,0)</f>
        <v>35.678391959799</v>
      </c>
      <c r="DP21" s="1" t="n">
        <f aca="false">DP$7*EXP(-$AM21/DP$8)</f>
        <v>7.17899825792405</v>
      </c>
      <c r="DQ21" s="1" t="n">
        <f aca="false">(DN21-DP21)^2</f>
        <v>0.417748856398446</v>
      </c>
      <c r="DS21" s="1" t="n">
        <f aca="false">$AM21</f>
        <v>10</v>
      </c>
      <c r="DT21" s="1" t="n">
        <f aca="false">CA21</f>
        <v>0</v>
      </c>
      <c r="DU21" s="1" t="n">
        <f aca="false">DU$7*EXP(-DS21/DU$8)</f>
        <v>0.00543156403983609</v>
      </c>
      <c r="DV21" s="1" t="n">
        <f aca="false">(DT21-DU21)^2</f>
        <v>2.95018879188405E-005</v>
      </c>
      <c r="DX21" s="1" t="n">
        <f aca="false">$AM21</f>
        <v>10</v>
      </c>
      <c r="DY21" s="1" t="n">
        <f aca="false">CM21</f>
        <v>0</v>
      </c>
      <c r="DZ21" s="1" t="n">
        <f aca="false">DZ$7*EXP(-DX21/DZ$8)</f>
        <v>0.573852723379511</v>
      </c>
      <c r="EA21" s="1" t="n">
        <f aca="false">(DY21-DZ21)^2</f>
        <v>0.329306948130082</v>
      </c>
      <c r="EC21" s="1" t="n">
        <f aca="false">$AM21</f>
        <v>10</v>
      </c>
      <c r="ED21" s="1" t="n">
        <f aca="false">CV21</f>
        <v>1.00502512562815</v>
      </c>
      <c r="EE21" s="1" t="n">
        <f aca="false">EE$7*EXP(-EC21/EE$8)</f>
        <v>1.80221205623249</v>
      </c>
      <c r="EF21" s="1" t="n">
        <f aca="false">(ED21-EE21)^2</f>
        <v>0.63550700232637</v>
      </c>
      <c r="EH21" s="1" t="n">
        <f aca="false">$AM21</f>
        <v>10</v>
      </c>
      <c r="EI21" s="1" t="n">
        <f aca="false">DE21</f>
        <v>10.1910828025478</v>
      </c>
      <c r="EJ21" s="1" t="n">
        <f aca="false">EJ$7*EXP(-EH21/EJ$8)</f>
        <v>9.85019983486786</v>
      </c>
      <c r="EK21" s="1" t="n">
        <f aca="false">(EI21-EJ21)^2</f>
        <v>0.11620119765426</v>
      </c>
      <c r="EM21" s="1" t="n">
        <f aca="false">AM21</f>
        <v>10</v>
      </c>
      <c r="EN21" s="1" t="n">
        <f aca="false">DN21</f>
        <v>6.53266331658292</v>
      </c>
      <c r="EO21" s="1" t="n">
        <f aca="false">EO$7*EXP(-EM21/EO$8)</f>
        <v>7.75056477872939</v>
      </c>
      <c r="EP21" s="1" t="n">
        <f aca="false">(EN21-EO21)^2</f>
        <v>1.48328397149852</v>
      </c>
      <c r="ER21" s="1" t="n">
        <f aca="false">$AM21</f>
        <v>10</v>
      </c>
      <c r="ES21" s="1" t="n">
        <f aca="false">BZ21</f>
        <v>0</v>
      </c>
      <c r="ET21" s="1" t="n">
        <f aca="false">ET$7*EXP(-ER21/ET$8)</f>
        <v>0.00123674079358808</v>
      </c>
      <c r="EU21" s="1" t="n">
        <f aca="false">(ES21-ET21)^2</f>
        <v>1.52952779052487E-006</v>
      </c>
      <c r="EW21" s="1" t="n">
        <f aca="false">$AM21</f>
        <v>10</v>
      </c>
      <c r="EX21" s="1" t="n">
        <f aca="false">CI21</f>
        <v>0</v>
      </c>
      <c r="EY21" s="1" t="n">
        <f aca="false">EY$7*EXP(-EW21/EY$8)</f>
        <v>0.00413713078519966</v>
      </c>
      <c r="EZ21" s="1" t="n">
        <f aca="false">(EX21-EY21)^2</f>
        <v>1.71158511338468E-005</v>
      </c>
      <c r="FB21" s="1" t="n">
        <f aca="false">$AM21</f>
        <v>10</v>
      </c>
      <c r="FC21" s="1" t="n">
        <f aca="false">CR21</f>
        <v>0</v>
      </c>
      <c r="FD21" s="1" t="n">
        <f aca="false">FD$7*EXP(-FB21/FD$8)</f>
        <v>0.0130101432791421</v>
      </c>
      <c r="FE21" s="1" t="n">
        <f aca="false">(FC21-FD21)^2</f>
        <v>0.000169263828143806</v>
      </c>
      <c r="FG21" s="1" t="n">
        <f aca="false">$AM21</f>
        <v>10</v>
      </c>
      <c r="FH21" s="1" t="n">
        <f aca="false">DA21</f>
        <v>0</v>
      </c>
      <c r="FI21" s="1" t="n">
        <f aca="false">FI$7*EXP(-FG21/FI$8)</f>
        <v>0.0478963424171486</v>
      </c>
      <c r="FJ21" s="1" t="n">
        <f aca="false">(FH21-FI21)^2</f>
        <v>0.00229405961694075</v>
      </c>
      <c r="FL21" s="1" t="n">
        <f aca="false">EM21</f>
        <v>10</v>
      </c>
      <c r="FM21" s="1" t="n">
        <f aca="false">DJ21</f>
        <v>0</v>
      </c>
      <c r="FN21" s="1" t="n">
        <f aca="false">FN$7*EXP(-FL21/FN$8)</f>
        <v>0.216347746227767</v>
      </c>
      <c r="FO21" s="1" t="n">
        <f aca="false">(FM21-FN21)^2</f>
        <v>0.0468063472978343</v>
      </c>
      <c r="FQ21" s="1" t="n">
        <f aca="false">AM21</f>
        <v>10</v>
      </c>
      <c r="FR21" s="1" t="n">
        <f aca="false">AN21/AN$9*100</f>
        <v>0</v>
      </c>
      <c r="FS21" s="1" t="n">
        <f aca="false">AO21/AO$9*100</f>
        <v>0</v>
      </c>
      <c r="FT21" s="1" t="n">
        <f aca="false">AQ21/AQ$9*100</f>
        <v>0</v>
      </c>
      <c r="FU21" s="1" t="n">
        <f aca="false">AR21/AR$9*100</f>
        <v>0</v>
      </c>
      <c r="FV21" s="1" t="n">
        <f aca="false">AT21/AT$9*100</f>
        <v>0</v>
      </c>
      <c r="FW21" s="1" t="n">
        <f aca="false">AU21/AU$9*100</f>
        <v>0</v>
      </c>
      <c r="FX21" s="1" t="n">
        <f aca="false">AW21/AW$9*100</f>
        <v>0</v>
      </c>
      <c r="FY21" s="1" t="n">
        <f aca="false">AX21/AX$9*100</f>
        <v>0</v>
      </c>
      <c r="FZ21" s="1" t="n">
        <f aca="false">AZ21/AZ$9*100</f>
        <v>0</v>
      </c>
      <c r="GA21" s="1" t="n">
        <f aca="false">BA21/BA$9*100</f>
        <v>1.01522842639594</v>
      </c>
      <c r="GB21" s="1" t="n">
        <f aca="false">BC21/BC$9*100</f>
        <v>0</v>
      </c>
      <c r="GC21" s="1" t="n">
        <f aca="false">BD21/BD$9*100</f>
        <v>0</v>
      </c>
      <c r="GD21" s="1" t="n">
        <f aca="false">BF21/BF$9*100</f>
        <v>1.50753768844221</v>
      </c>
      <c r="GE21" s="1" t="n">
        <f aca="false">BG21/BG$9*100</f>
        <v>7.53768844221106</v>
      </c>
      <c r="GF21" s="1" t="n">
        <f aca="false">BI21/BI$9*100</f>
        <v>0</v>
      </c>
      <c r="GG21" s="1" t="n">
        <f aca="false">BJ21/BJ$9*100</f>
        <v>0.684931506849315</v>
      </c>
      <c r="GH21" s="1" t="n">
        <f aca="false">BL21/BL$9*100</f>
        <v>1.91082802547771</v>
      </c>
      <c r="GI21" s="1" t="n">
        <f aca="false">BM21/BM$9*100</f>
        <v>10.1910828025478</v>
      </c>
      <c r="GJ21" s="1" t="n">
        <f aca="false">BO21/BO$9*100</f>
        <v>0</v>
      </c>
      <c r="GK21" s="1" t="n">
        <f aca="false">BP21/BP$9*100</f>
        <v>3.07692307692308</v>
      </c>
      <c r="GL21" s="1" t="n">
        <f aca="false">BR21/BR$9*100</f>
        <v>5.0251256281407</v>
      </c>
      <c r="GM21" s="1" t="n">
        <f aca="false">BS21/BS$9*100</f>
        <v>14.070351758794</v>
      </c>
      <c r="GO21" s="1" t="n">
        <f aca="false">$AM21</f>
        <v>10</v>
      </c>
      <c r="GP21" s="1" t="n">
        <f aca="false">FT21</f>
        <v>0</v>
      </c>
      <c r="GQ21" s="1" t="n">
        <f aca="false">GQ$6*(1+GQ$5*(-1)^$FQ21)*EXP(-$FQ21/GQ$4)</f>
        <v>0.105209671322688</v>
      </c>
      <c r="GR21" s="1" t="n">
        <f aca="false">(GP21-GQ21)^2</f>
        <v>0.011069074939828</v>
      </c>
      <c r="GS21" s="1" t="n">
        <f aca="false">EXP($FQ21/$JG$4)*GP21</f>
        <v>0</v>
      </c>
      <c r="GT21" s="1" t="n">
        <f aca="false">EXP($FQ21/$JG$4)*(-1)^$FQ21*GP21</f>
        <v>0</v>
      </c>
      <c r="GU21" s="1" t="n">
        <f aca="false">(-1)^GO21*GP21</f>
        <v>0</v>
      </c>
      <c r="GW21" s="1" t="n">
        <f aca="false">$AM21</f>
        <v>10</v>
      </c>
      <c r="GX21" s="1" t="n">
        <f aca="false">FX21</f>
        <v>0</v>
      </c>
      <c r="GY21" s="1" t="n">
        <f aca="false">GY$6*(1+GY$5*(-1)^$FQ21)*EXP(-$FQ21/GY$4)</f>
        <v>0.105209671322688</v>
      </c>
      <c r="GZ21" s="1" t="n">
        <f aca="false">(GX21-GY21)^2</f>
        <v>0.011069074939828</v>
      </c>
      <c r="HA21" s="1" t="n">
        <f aca="false">EXP($FQ21/$JG$4)*GX21</f>
        <v>0</v>
      </c>
      <c r="HB21" s="1" t="n">
        <f aca="false">EXP($FQ21/$JG$4)*(-1)^$FQ21*GX21</f>
        <v>0</v>
      </c>
      <c r="HC21" s="1" t="n">
        <f aca="false">(-1)^GW21*GX21</f>
        <v>0</v>
      </c>
      <c r="HE21" s="1" t="n">
        <f aca="false">$AM21</f>
        <v>10</v>
      </c>
      <c r="HF21" s="1" t="n">
        <f aca="false">GB21</f>
        <v>0</v>
      </c>
      <c r="HG21" s="1" t="n">
        <f aca="false">HG$6*(1+HG$5*(-1)^$FQ21)*EXP(-$FQ21/HG$4)</f>
        <v>0.105209671322688</v>
      </c>
      <c r="HH21" s="1" t="n">
        <f aca="false">(HF21-HG21)^2</f>
        <v>0.011069074939828</v>
      </c>
      <c r="HI21" s="1" t="n">
        <f aca="false">EXP($FQ21/$JG$4)*HF21</f>
        <v>0</v>
      </c>
      <c r="HJ21" s="1" t="n">
        <f aca="false">EXP($FQ21/$JG$4)*(-1)^$FQ21*HF21</f>
        <v>0</v>
      </c>
      <c r="HK21" s="1" t="n">
        <f aca="false">(-1)^HE21*HF21</f>
        <v>0</v>
      </c>
      <c r="HM21" s="1" t="n">
        <f aca="false">$AM21</f>
        <v>10</v>
      </c>
      <c r="HN21" s="1" t="n">
        <f aca="false">GF21</f>
        <v>0</v>
      </c>
      <c r="HO21" s="1" t="n">
        <f aca="false">HO$6*(1+HO$5*(-1)^$FQ21)*EXP(-$FQ21/HO$4)</f>
        <v>0.414459698114822</v>
      </c>
      <c r="HP21" s="1" t="n">
        <f aca="false">(HN21-HO21)^2</f>
        <v>0.171776841361429</v>
      </c>
      <c r="HQ21" s="1" t="n">
        <f aca="false">EXP($FQ21/$JG$4)*HN21</f>
        <v>0</v>
      </c>
      <c r="HR21" s="1" t="n">
        <f aca="false">EXP($FQ21/$JG$4)*(-1)^$FQ21*HN21</f>
        <v>0</v>
      </c>
      <c r="HS21" s="1" t="n">
        <f aca="false">(-1)^HM21*HN21</f>
        <v>0</v>
      </c>
      <c r="HU21" s="1" t="n">
        <f aca="false">$AM21</f>
        <v>10</v>
      </c>
      <c r="HV21" s="1" t="n">
        <f aca="false">GJ21</f>
        <v>0</v>
      </c>
      <c r="HW21" s="1" t="n">
        <f aca="false">HW$6*(1+HW$5*(-1)^$FQ21)*EXP(-$FQ21/HW$4)</f>
        <v>1.12200458947539</v>
      </c>
      <c r="HX21" s="1" t="n">
        <f aca="false">(HV21-HW21)^2</f>
        <v>1.25889429880384</v>
      </c>
      <c r="HY21" s="1" t="n">
        <f aca="false">EXP($FQ21/$JG$4)*HV21</f>
        <v>0</v>
      </c>
      <c r="HZ21" s="1" t="n">
        <f aca="false">EXP($FQ21/$JG$4)*(-1)^$FQ21*HV21</f>
        <v>0</v>
      </c>
      <c r="IA21" s="1" t="n">
        <f aca="false">(-1)^HU21*HV21</f>
        <v>0</v>
      </c>
      <c r="IB21" s="1" t="n">
        <v>0.067461</v>
      </c>
      <c r="ID21" s="1" t="n">
        <f aca="false">$AM21</f>
        <v>10</v>
      </c>
      <c r="IE21" s="1" t="n">
        <f aca="false">FZ21</f>
        <v>0</v>
      </c>
      <c r="IF21" s="1" t="n">
        <f aca="false">IF$6*(1+IF$5*(-1)^$FQ21)*EXP(-$FQ21/IF$4)</f>
        <v>1.9668647362271</v>
      </c>
      <c r="IG21" s="1" t="n">
        <f aca="false">(IE21-IF21)^2</f>
        <v>3.8685568906137</v>
      </c>
      <c r="IH21" s="1" t="n">
        <f aca="false">EXP($FQ21/$JG$4)*IE21</f>
        <v>0</v>
      </c>
      <c r="II21" s="1" t="n">
        <f aca="false">EXP($FQ21/$JG$4)*(-1)^$FQ21*IE21</f>
        <v>0</v>
      </c>
      <c r="IJ21" s="1" t="n">
        <f aca="false">(-1)^ID21*IE21</f>
        <v>0</v>
      </c>
      <c r="IK21" s="1" t="n">
        <v>0.172214</v>
      </c>
      <c r="IM21" s="1" t="n">
        <f aca="false">$AM21</f>
        <v>10</v>
      </c>
      <c r="IN21" s="1" t="n">
        <f aca="false">GD21</f>
        <v>1.50753768844221</v>
      </c>
      <c r="IO21" s="1" t="n">
        <f aca="false">IO$6*(1+IO$5*(-1)^$FQ21)*EXP(-$FQ21/IO$4)</f>
        <v>2.74631535720806</v>
      </c>
      <c r="IP21" s="1" t="n">
        <f aca="false">(IN21-IO21)^2</f>
        <v>1.53457011263295</v>
      </c>
      <c r="IQ21" s="1" t="n">
        <f aca="false">EXP($FQ21/$JG$4)*IN21</f>
        <v>15.594624133883</v>
      </c>
      <c r="IR21" s="1" t="n">
        <f aca="false">EXP($FQ21/$JG$4)*(-1)^$FQ21*IN21</f>
        <v>15.594624133883</v>
      </c>
      <c r="IS21" s="1" t="n">
        <f aca="false">(-1)^IM21*IN21</f>
        <v>1.50753768844221</v>
      </c>
      <c r="IT21" s="1" t="n">
        <v>0.440926</v>
      </c>
      <c r="IV21" s="1" t="n">
        <f aca="false">$AM21</f>
        <v>10</v>
      </c>
      <c r="IW21" s="1" t="n">
        <f aca="false">GH21</f>
        <v>1.91082802547771</v>
      </c>
      <c r="IX21" s="1" t="n">
        <f aca="false">IX$6*(1+IX$5*(-1)^$FQ21)*EXP(-$FQ21/IX$4)</f>
        <v>5.2230516251151</v>
      </c>
      <c r="IY21" s="1" t="n">
        <f aca="false">(IW21-IX21)^2</f>
        <v>10.9708251739949</v>
      </c>
      <c r="IZ21" s="1" t="n">
        <f aca="false">EXP($FQ21/$JG$4)*IW21</f>
        <v>19.766434411737</v>
      </c>
      <c r="JA21" s="1" t="n">
        <f aca="false">EXP($FQ21/$JG$4)*(-1)^$FQ21*IW21</f>
        <v>19.766434411737</v>
      </c>
      <c r="JB21" s="1" t="n">
        <f aca="false">(-1)^IV21*IW21</f>
        <v>1.91082802547771</v>
      </c>
      <c r="JC21" s="1" t="n">
        <v>1.76712</v>
      </c>
      <c r="JE21" s="1" t="n">
        <f aca="false">$AM21</f>
        <v>10</v>
      </c>
      <c r="JF21" s="1" t="n">
        <f aca="false">GL21</f>
        <v>5.0251256281407</v>
      </c>
      <c r="JG21" s="1" t="n">
        <f aca="false">JG$6*(1+JG$5*(-1)^$FQ21)*EXP(-$FQ21/JG$4)</f>
        <v>4.82699214935647</v>
      </c>
      <c r="JH21" s="1" t="n">
        <f aca="false">(JF21-JG21)^2</f>
        <v>0.0392568754151425</v>
      </c>
      <c r="JI21" s="1" t="n">
        <f aca="false">EXP($FQ21/$JG$4)*JF21</f>
        <v>51.9820804462766</v>
      </c>
      <c r="JJ21" s="1" t="n">
        <f aca="false">EXP($FQ21/$JG$4)*(-1)^$FQ21*JF21</f>
        <v>51.9820804462766</v>
      </c>
      <c r="JK21" s="1" t="n">
        <f aca="false">(-1)^JE21*JF21</f>
        <v>5.0251256281407</v>
      </c>
      <c r="JL21" s="1" t="n">
        <v>1.118929</v>
      </c>
      <c r="JO21" s="1" t="n">
        <f aca="false">$AM21</f>
        <v>10</v>
      </c>
      <c r="JP21" s="1" t="n">
        <f aca="false">GM21</f>
        <v>14.070351758794</v>
      </c>
      <c r="JQ21" s="1" t="n">
        <f aca="false">JQ$6*(1+JQ$5*(-1)^$FQ21)*EXP(-$FQ21/JQ$4)</f>
        <v>6.46280770533357</v>
      </c>
      <c r="JR21" s="1" t="n">
        <f aca="false">(JP21-JQ21)^2</f>
        <v>57.8747265253407</v>
      </c>
      <c r="JS21" s="1" t="n">
        <f aca="false">EXP($FQ21/$JG$4)*JP21</f>
        <v>145.549825249575</v>
      </c>
      <c r="JT21" s="1" t="n">
        <f aca="false">EXP($FQ21/$JG$4)*(-1)^$FQ21*JP21</f>
        <v>145.549825249575</v>
      </c>
      <c r="JU21" s="1" t="n">
        <f aca="false">(-1)^JO21*JP21</f>
        <v>14.070351758794</v>
      </c>
    </row>
    <row r="22" customFormat="false" ht="16" hidden="false" customHeight="false" outlineLevel="0" collapsed="false">
      <c r="A22" s="1" t="n">
        <v>2</v>
      </c>
      <c r="B22" s="1" t="n">
        <v>2</v>
      </c>
      <c r="C22" s="1" t="n">
        <f aca="false">B22-A22</f>
        <v>0</v>
      </c>
      <c r="D22" s="1" t="n">
        <v>1</v>
      </c>
      <c r="E22" s="1" t="n">
        <v>1</v>
      </c>
      <c r="F22" s="1" t="n">
        <f aca="false">E22-D22</f>
        <v>0</v>
      </c>
      <c r="G22" s="1" t="n">
        <v>1</v>
      </c>
      <c r="H22" s="1" t="n">
        <v>1</v>
      </c>
      <c r="I22" s="1" t="n">
        <f aca="false">H22-G22</f>
        <v>0</v>
      </c>
      <c r="J22" s="1" t="n">
        <v>2</v>
      </c>
      <c r="K22" s="1" t="n">
        <v>2</v>
      </c>
      <c r="L22" s="1" t="n">
        <f aca="false">K22-J22</f>
        <v>0</v>
      </c>
      <c r="M22" s="1" t="n">
        <v>3</v>
      </c>
      <c r="N22" s="1" t="n">
        <v>3</v>
      </c>
      <c r="O22" s="1" t="n">
        <f aca="false">N22-M22</f>
        <v>0</v>
      </c>
      <c r="P22" s="1" t="n">
        <v>2</v>
      </c>
      <c r="Q22" s="1" t="n">
        <v>2</v>
      </c>
      <c r="R22" s="1" t="n">
        <f aca="false">Q22-P22</f>
        <v>0</v>
      </c>
      <c r="S22" s="1" t="n">
        <v>7</v>
      </c>
      <c r="T22" s="1" t="n">
        <v>10</v>
      </c>
      <c r="U22" s="1" t="n">
        <f aca="false">T22-S22</f>
        <v>3</v>
      </c>
      <c r="V22" s="1" t="n">
        <v>4</v>
      </c>
      <c r="W22" s="1" t="n">
        <v>6</v>
      </c>
      <c r="X22" s="1" t="n">
        <f aca="false">W22-V22</f>
        <v>2</v>
      </c>
      <c r="Y22" s="1" t="n">
        <v>4</v>
      </c>
      <c r="Z22" s="1" t="n">
        <v>6</v>
      </c>
      <c r="AA22" s="1" t="n">
        <f aca="false">Z22-Y22</f>
        <v>2</v>
      </c>
      <c r="AB22" s="1" t="n">
        <v>4</v>
      </c>
      <c r="AC22" s="1" t="n">
        <v>7</v>
      </c>
      <c r="AD22" s="1" t="n">
        <f aca="false">AC22-AB22</f>
        <v>3</v>
      </c>
      <c r="AE22" s="1" t="n">
        <v>8</v>
      </c>
      <c r="AF22" s="1" t="n">
        <v>13</v>
      </c>
      <c r="AG22" s="1" t="n">
        <f aca="false">AF22-AE22</f>
        <v>5</v>
      </c>
      <c r="AI22" s="1" t="s">
        <v>41</v>
      </c>
      <c r="AJ22" s="1" t="n">
        <f aca="false">COUNTIFS(N$2:N$1000,2,M$2:M$1000,2)</f>
        <v>35</v>
      </c>
      <c r="AM22" s="1" t="n">
        <v>11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1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1</v>
      </c>
      <c r="BG22" s="1" t="n">
        <v>2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1</v>
      </c>
      <c r="BN22" s="1" t="n">
        <v>0</v>
      </c>
      <c r="BO22" s="1" t="n">
        <v>0</v>
      </c>
      <c r="BP22" s="1" t="n">
        <v>2</v>
      </c>
      <c r="BQ22" s="1" t="n">
        <v>0</v>
      </c>
      <c r="BR22" s="1" t="n">
        <v>0</v>
      </c>
      <c r="BS22" s="1" t="n">
        <v>2</v>
      </c>
      <c r="BT22" s="1" t="n">
        <v>0</v>
      </c>
      <c r="BW22" s="1" t="n">
        <f aca="false">$AM22</f>
        <v>11</v>
      </c>
      <c r="BX22" s="1" t="n">
        <f aca="false">MAX(BX21-AN22/AN$9*100,0)</f>
        <v>0</v>
      </c>
      <c r="BY22" s="1" t="n">
        <f aca="false">MAX(BY21-AO22/AO$9*100,0)</f>
        <v>0</v>
      </c>
      <c r="BZ22" s="1" t="n">
        <f aca="false">MAX(BZ21-AQ22/AQ$9*100,0)</f>
        <v>0</v>
      </c>
      <c r="CA22" s="1" t="n">
        <f aca="false">MAX(CA21-AR22/AR$9*100,0)</f>
        <v>0</v>
      </c>
      <c r="CB22" s="1" t="n">
        <f aca="false">CB$7*EXP(-$AM22/CB$8)</f>
        <v>0.000130598864747779</v>
      </c>
      <c r="CC22" s="1" t="n">
        <f aca="false">(BZ22-CB22)^2</f>
        <v>1.70560634734087E-008</v>
      </c>
      <c r="CD22" s="1" t="n">
        <f aca="false">MAX(CD21-AT22/AT$9*100,0)</f>
        <v>0</v>
      </c>
      <c r="CE22" s="1" t="n">
        <f aca="false">MAX(CE21-AU22/AU$9*100,0)</f>
        <v>5.32907051820075E-015</v>
      </c>
      <c r="CF22" s="1" t="n">
        <f aca="false">CF$7*EXP(-$AM22/CF$8)</f>
        <v>0.000187502874698392</v>
      </c>
      <c r="CG22" s="1" t="n">
        <f aca="false">(CD22-CF22)^2</f>
        <v>3.51573280201609E-008</v>
      </c>
      <c r="CH22" s="1" t="n">
        <f aca="false">$AM22</f>
        <v>11</v>
      </c>
      <c r="CI22" s="1" t="n">
        <f aca="false">MAX(CI21-AW22/AW$9*100,0)</f>
        <v>0</v>
      </c>
      <c r="CJ22" s="1" t="n">
        <f aca="false">MAX(CJ21-AX22/AX$9*100,0)</f>
        <v>0</v>
      </c>
      <c r="CK22" s="1" t="n">
        <f aca="false">CK$7*EXP(-$AM22/CK$8)</f>
        <v>0.0146997344289668</v>
      </c>
      <c r="CL22" s="1" t="n">
        <f aca="false">(CI22-CK22)^2</f>
        <v>0.000216082192282152</v>
      </c>
      <c r="CM22" s="1" t="n">
        <f aca="false">MAX(CM21-AZ22/AZ$9*100,0)</f>
        <v>0</v>
      </c>
      <c r="CN22" s="1" t="n">
        <f aca="false">MAX(CN21-BA22/BA$9*100,0)</f>
        <v>5.32907051820075E-015</v>
      </c>
      <c r="CO22" s="1" t="n">
        <f aca="false">CO$7*EXP(-$AM22/CO$8)</f>
        <v>0.671586530215849</v>
      </c>
      <c r="CP22" s="1" t="n">
        <f aca="false">(CM22-CO22)^2</f>
        <v>0.451028467567364</v>
      </c>
      <c r="CQ22" s="1" t="n">
        <f aca="false">$AM22</f>
        <v>11</v>
      </c>
      <c r="CR22" s="1" t="n">
        <f aca="false">MAX(CR21-BC22/BC$9*100,0)</f>
        <v>0</v>
      </c>
      <c r="CS22" s="1" t="n">
        <f aca="false">MAX(CS21-BD22/BD$9*100,0)</f>
        <v>0.628930817610055</v>
      </c>
      <c r="CT22" s="1" t="n">
        <f aca="false">CT$7*EXP(-$AM22/CT$8)</f>
        <v>0.025451394696425</v>
      </c>
      <c r="CU22" s="1" t="n">
        <f aca="false">(CR22-CT22)^2</f>
        <v>0.000647773491993211</v>
      </c>
      <c r="CV22" s="1" t="n">
        <f aca="false">MAX(CV21-BF22/BF$9*100,0)</f>
        <v>0.502512562814079</v>
      </c>
      <c r="CW22" s="1" t="n">
        <f aca="false">MAX(CW21-BG22/BG$9*100,0)</f>
        <v>8.04020100502513</v>
      </c>
      <c r="CX22" s="1" t="n">
        <f aca="false">CX$7*EXP(-$AM22/CX$8)</f>
        <v>1.43094870307446</v>
      </c>
      <c r="CY22" s="1" t="n">
        <f aca="false">(CV22-CX22)^2</f>
        <v>0.861993666541594</v>
      </c>
      <c r="CZ22" s="1" t="n">
        <f aca="false">$AM22</f>
        <v>11</v>
      </c>
      <c r="DA22" s="1" t="n">
        <f aca="false">MAX(DA21-BI22/BI$9*100,0)</f>
        <v>0</v>
      </c>
      <c r="DB22" s="1" t="n">
        <f aca="false">MAX(DB21-BJ22/BJ$9*100,0)</f>
        <v>9.88098491916389E-015</v>
      </c>
      <c r="DC22" s="1" t="n">
        <f aca="false">DC$7*EXP(-$AM22/DC$8)</f>
        <v>0.0521295524733766</v>
      </c>
      <c r="DD22" s="1" t="n">
        <f aca="false">(DA22-DC22)^2</f>
        <v>0.00271749024107452</v>
      </c>
      <c r="DE22" s="1" t="n">
        <f aca="false">MAX(DE21-BL22/BL$9*100,0)</f>
        <v>10.1910828025478</v>
      </c>
      <c r="DF22" s="1" t="n">
        <f aca="false">MAX(DF21-BM22/BM$9*100,0)</f>
        <v>24.8407643312102</v>
      </c>
      <c r="DG22" s="1" t="n">
        <f aca="false">DG$7*EXP(-$AM22/DG$8)</f>
        <v>7.70330727540826</v>
      </c>
      <c r="DH22" s="1" t="n">
        <f aca="false">(DE22-DG22)^2</f>
        <v>6.18902707343425</v>
      </c>
      <c r="DI22" s="1" t="n">
        <f aca="false">$AM22</f>
        <v>11</v>
      </c>
      <c r="DJ22" s="1" t="n">
        <f aca="false">MAX(DJ21-BO22/BO$9*100,0)</f>
        <v>0</v>
      </c>
      <c r="DK22" s="1" t="n">
        <f aca="false">MAX(DK21-BP22/BP$9*100,0)</f>
        <v>2.05128205128206</v>
      </c>
      <c r="DL22" s="1" t="n">
        <f aca="false">DL$7*EXP(-$AM22/DL$8)</f>
        <v>0.175901523945481</v>
      </c>
      <c r="DM22" s="1" t="n">
        <f aca="false">(DJ22-DL22)^2</f>
        <v>0.0309413461263426</v>
      </c>
      <c r="DN22" s="1" t="n">
        <f aca="false">MAX(DN21-BR22/BR$9*100,0)</f>
        <v>6.53266331658292</v>
      </c>
      <c r="DO22" s="1" t="n">
        <f aca="false">MAX(DO21-BS22/BS$9*100,0)</f>
        <v>34.6733668341709</v>
      </c>
      <c r="DP22" s="1" t="n">
        <f aca="false">DP$7*EXP(-$AM22/DP$8)</f>
        <v>5.40796970020048</v>
      </c>
      <c r="DQ22" s="1" t="n">
        <f aca="false">(DN22-DP22)^2</f>
        <v>1.2649357307314</v>
      </c>
      <c r="DS22" s="1" t="n">
        <f aca="false">$AM22</f>
        <v>11</v>
      </c>
      <c r="DT22" s="1" t="n">
        <f aca="false">CA22</f>
        <v>0</v>
      </c>
      <c r="DU22" s="1" t="n">
        <f aca="false">DU$7*EXP(-DS22/DU$8)</f>
        <v>0.00193730783273502</v>
      </c>
      <c r="DV22" s="1" t="n">
        <f aca="false">(DT22-DU22)^2</f>
        <v>3.75316163877646E-006</v>
      </c>
      <c r="DX22" s="1" t="n">
        <f aca="false">$AM22</f>
        <v>11</v>
      </c>
      <c r="DY22" s="1" t="n">
        <f aca="false">CM22</f>
        <v>0</v>
      </c>
      <c r="DZ22" s="1" t="n">
        <f aca="false">DZ$7*EXP(-DX22/DZ$8)</f>
        <v>0.327201121113992</v>
      </c>
      <c r="EA22" s="1" t="n">
        <f aca="false">(DY22-DZ22)^2</f>
        <v>0.107060573658253</v>
      </c>
      <c r="EC22" s="1" t="n">
        <f aca="false">$AM22</f>
        <v>11</v>
      </c>
      <c r="ED22" s="1" t="n">
        <f aca="false">CV22</f>
        <v>0.502512562814079</v>
      </c>
      <c r="EE22" s="1" t="n">
        <f aca="false">EE$7*EXP(-EC22/EE$8)</f>
        <v>1.16454867417959</v>
      </c>
      <c r="EF22" s="1" t="n">
        <f aca="false">(ED22-EE22)^2</f>
        <v>0.438291812751967</v>
      </c>
      <c r="EH22" s="1" t="n">
        <f aca="false">$AM22</f>
        <v>11</v>
      </c>
      <c r="EI22" s="1" t="n">
        <f aca="false">DE22</f>
        <v>10.1910828025478</v>
      </c>
      <c r="EJ22" s="1" t="n">
        <f aca="false">EJ$7*EXP(-EH22/EJ$8)</f>
        <v>7.67134334480491</v>
      </c>
      <c r="EK22" s="1" t="n">
        <f aca="false">(EI22-EJ22)^2</f>
        <v>6.34908693490626</v>
      </c>
      <c r="EM22" s="1" t="n">
        <f aca="false">AM22</f>
        <v>11</v>
      </c>
      <c r="EN22" s="1" t="n">
        <f aca="false">DN22</f>
        <v>6.53266331658292</v>
      </c>
      <c r="EO22" s="1" t="n">
        <f aca="false">EO$7*EXP(-EM22/EO$8)</f>
        <v>5.89316445700397</v>
      </c>
      <c r="EP22" s="1" t="n">
        <f aca="false">(EN22-EO22)^2</f>
        <v>0.408958791402773</v>
      </c>
      <c r="ER22" s="1" t="n">
        <f aca="false">$AM22</f>
        <v>11</v>
      </c>
      <c r="ES22" s="1" t="n">
        <f aca="false">BZ22</f>
        <v>0</v>
      </c>
      <c r="ET22" s="1" t="n">
        <f aca="false">ET$7*EXP(-ER22/ET$8)</f>
        <v>0.000376063726938636</v>
      </c>
      <c r="EU22" s="1" t="n">
        <f aca="false">(ES22-ET22)^2</f>
        <v>1.41423926718977E-007</v>
      </c>
      <c r="EW22" s="1" t="n">
        <f aca="false">$AM22</f>
        <v>11</v>
      </c>
      <c r="EX22" s="1" t="n">
        <f aca="false">CI22</f>
        <v>0</v>
      </c>
      <c r="EY22" s="1" t="n">
        <f aca="false">EY$7*EXP(-EW22/EY$8)</f>
        <v>0.00137864537067297</v>
      </c>
      <c r="EZ22" s="1" t="n">
        <f aca="false">(EX22-EY22)^2</f>
        <v>1.90066305807801E-006</v>
      </c>
      <c r="FB22" s="1" t="n">
        <f aca="false">$AM22</f>
        <v>11</v>
      </c>
      <c r="FC22" s="1" t="n">
        <f aca="false">CR22</f>
        <v>0</v>
      </c>
      <c r="FD22" s="1" t="n">
        <f aca="false">FD$7*EXP(-FB22/FD$8)</f>
        <v>0.00501959048199274</v>
      </c>
      <c r="FE22" s="1" t="n">
        <f aca="false">(FC22-FD22)^2</f>
        <v>2.51962886069121E-005</v>
      </c>
      <c r="FG22" s="1" t="n">
        <f aca="false">$AM22</f>
        <v>11</v>
      </c>
      <c r="FH22" s="1" t="n">
        <f aca="false">DA22</f>
        <v>0</v>
      </c>
      <c r="FI22" s="1" t="n">
        <f aca="false">FI$7*EXP(-FG22/FI$8)</f>
        <v>0.0209595179744509</v>
      </c>
      <c r="FJ22" s="1" t="n">
        <f aca="false">(FH22-FI22)^2</f>
        <v>0.00043930139372133</v>
      </c>
      <c r="FL22" s="1" t="n">
        <f aca="false">EM22</f>
        <v>11</v>
      </c>
      <c r="FM22" s="1" t="n">
        <f aca="false">DJ22</f>
        <v>0</v>
      </c>
      <c r="FN22" s="1" t="n">
        <f aca="false">FN$7*EXP(-FL22/FN$8)</f>
        <v>0.111076636577455</v>
      </c>
      <c r="FO22" s="1" t="n">
        <f aca="false">(FM22-FN22)^2</f>
        <v>0.01233801919336</v>
      </c>
      <c r="FQ22" s="1" t="n">
        <f aca="false">AM22</f>
        <v>11</v>
      </c>
      <c r="FR22" s="1" t="n">
        <f aca="false">AN22/AN$9*100</f>
        <v>0</v>
      </c>
      <c r="FS22" s="1" t="n">
        <f aca="false">AO22/AO$9*100</f>
        <v>0</v>
      </c>
      <c r="FT22" s="1" t="n">
        <f aca="false">AQ22/AQ$9*100</f>
        <v>0</v>
      </c>
      <c r="FU22" s="1" t="n">
        <f aca="false">AR22/AR$9*100</f>
        <v>0</v>
      </c>
      <c r="FV22" s="1" t="n">
        <f aca="false">AT22/AT$9*100</f>
        <v>0</v>
      </c>
      <c r="FW22" s="1" t="n">
        <f aca="false">AU22/AU$9*100</f>
        <v>0</v>
      </c>
      <c r="FX22" s="1" t="n">
        <f aca="false">AW22/AW$9*100</f>
        <v>0</v>
      </c>
      <c r="FY22" s="1" t="n">
        <f aca="false">AX22/AX$9*100</f>
        <v>0</v>
      </c>
      <c r="FZ22" s="1" t="n">
        <f aca="false">AZ22/AZ$9*100</f>
        <v>0</v>
      </c>
      <c r="GA22" s="1" t="n">
        <f aca="false">BA22/BA$9*100</f>
        <v>0.50761421319797</v>
      </c>
      <c r="GB22" s="1" t="n">
        <f aca="false">BC22/BC$9*100</f>
        <v>0</v>
      </c>
      <c r="GC22" s="1" t="n">
        <f aca="false">BD22/BD$9*100</f>
        <v>0</v>
      </c>
      <c r="GD22" s="1" t="n">
        <f aca="false">BF22/BF$9*100</f>
        <v>0.50251256281407</v>
      </c>
      <c r="GE22" s="1" t="n">
        <f aca="false">BG22/BG$9*100</f>
        <v>1.00502512562814</v>
      </c>
      <c r="GF22" s="1" t="n">
        <f aca="false">BI22/BI$9*100</f>
        <v>0</v>
      </c>
      <c r="GG22" s="1" t="n">
        <f aca="false">BJ22/BJ$9*100</f>
        <v>0</v>
      </c>
      <c r="GH22" s="1" t="n">
        <f aca="false">BL22/BL$9*100</f>
        <v>0</v>
      </c>
      <c r="GI22" s="1" t="n">
        <f aca="false">BM22/BM$9*100</f>
        <v>0.636942675159236</v>
      </c>
      <c r="GJ22" s="1" t="n">
        <f aca="false">BO22/BO$9*100</f>
        <v>0</v>
      </c>
      <c r="GK22" s="1" t="n">
        <f aca="false">BP22/BP$9*100</f>
        <v>1.02564102564103</v>
      </c>
      <c r="GL22" s="1" t="n">
        <f aca="false">BR22/BR$9*100</f>
        <v>0</v>
      </c>
      <c r="GM22" s="1" t="n">
        <f aca="false">BS22/BS$9*100</f>
        <v>1.00502512562814</v>
      </c>
      <c r="GO22" s="1" t="n">
        <f aca="false">$AM22</f>
        <v>11</v>
      </c>
      <c r="GP22" s="1" t="n">
        <f aca="false">FT22</f>
        <v>0</v>
      </c>
      <c r="GQ22" s="1" t="n">
        <f aca="false">GQ$6*(1+GQ$5*(-1)^$FQ22)*EXP(-$FQ22/GQ$4)</f>
        <v>0.0168821828743238</v>
      </c>
      <c r="GR22" s="1" t="n">
        <f aca="false">(GP22-GQ22)^2</f>
        <v>0.000285008098602112</v>
      </c>
      <c r="GS22" s="1" t="n">
        <f aca="false">EXP($FQ22/$JG$4)*GP22</f>
        <v>0</v>
      </c>
      <c r="GT22" s="1" t="n">
        <f aca="false">EXP($FQ22/$JG$4)*(-1)^$FQ22*GP22</f>
        <v>-0</v>
      </c>
      <c r="GU22" s="1" t="n">
        <f aca="false">(-1)^GO22*GP22</f>
        <v>-0</v>
      </c>
      <c r="GW22" s="1" t="n">
        <f aca="false">$AM22</f>
        <v>11</v>
      </c>
      <c r="GX22" s="1" t="n">
        <f aca="false">FX22</f>
        <v>0</v>
      </c>
      <c r="GY22" s="1" t="n">
        <f aca="false">GY$6*(1+GY$5*(-1)^$FQ22)*EXP(-$FQ22/GY$4)</f>
        <v>0.0168821828743238</v>
      </c>
      <c r="GZ22" s="1" t="n">
        <f aca="false">(GX22-GY22)^2</f>
        <v>0.000285008098602112</v>
      </c>
      <c r="HA22" s="1" t="n">
        <f aca="false">EXP($FQ22/$JG$4)*GX22</f>
        <v>0</v>
      </c>
      <c r="HB22" s="1" t="n">
        <f aca="false">EXP($FQ22/$JG$4)*(-1)^$FQ22*GX22</f>
        <v>-0</v>
      </c>
      <c r="HC22" s="1" t="n">
        <f aca="false">(-1)^GW22*GX22</f>
        <v>-0</v>
      </c>
      <c r="HE22" s="1" t="n">
        <f aca="false">$AM22</f>
        <v>11</v>
      </c>
      <c r="HF22" s="1" t="n">
        <f aca="false">GB22</f>
        <v>0</v>
      </c>
      <c r="HG22" s="1" t="n">
        <f aca="false">HG$6*(1+HG$5*(-1)^$FQ22)*EXP(-$FQ22/HG$4)</f>
        <v>0.0168821828743238</v>
      </c>
      <c r="HH22" s="1" t="n">
        <f aca="false">(HF22-HG22)^2</f>
        <v>0.000285008098602112</v>
      </c>
      <c r="HI22" s="1" t="n">
        <f aca="false">EXP($FQ22/$JG$4)*HF22</f>
        <v>0</v>
      </c>
      <c r="HJ22" s="1" t="n">
        <f aca="false">EXP($FQ22/$JG$4)*(-1)^$FQ22*HF22</f>
        <v>-0</v>
      </c>
      <c r="HK22" s="1" t="n">
        <f aca="false">(-1)^HE22*HF22</f>
        <v>-0</v>
      </c>
      <c r="HM22" s="1" t="n">
        <f aca="false">$AM22</f>
        <v>11</v>
      </c>
      <c r="HN22" s="1" t="n">
        <f aca="false">GF22</f>
        <v>0</v>
      </c>
      <c r="HO22" s="1" t="n">
        <f aca="false">HO$6*(1+HO$5*(-1)^$FQ22)*EXP(-$FQ22/HO$4)</f>
        <v>0.0499901434577081</v>
      </c>
      <c r="HP22" s="1" t="n">
        <f aca="false">(HN22-HO22)^2</f>
        <v>0.00249901444292224</v>
      </c>
      <c r="HQ22" s="1" t="n">
        <f aca="false">EXP($FQ22/$JG$4)*HN22</f>
        <v>0</v>
      </c>
      <c r="HR22" s="1" t="n">
        <f aca="false">EXP($FQ22/$JG$4)*(-1)^$FQ22*HN22</f>
        <v>-0</v>
      </c>
      <c r="HS22" s="1" t="n">
        <f aca="false">(-1)^HM22*HN22</f>
        <v>-0</v>
      </c>
      <c r="HU22" s="1" t="n">
        <f aca="false">$AM22</f>
        <v>11</v>
      </c>
      <c r="HV22" s="1" t="n">
        <f aca="false">GJ22</f>
        <v>0</v>
      </c>
      <c r="HW22" s="1" t="n">
        <f aca="false">HW$6*(1+HW$5*(-1)^$FQ22)*EXP(-$FQ22/HW$4)</f>
        <v>0.240274498073774</v>
      </c>
      <c r="HX22" s="1" t="n">
        <f aca="false">(HV22-HW22)^2</f>
        <v>0.057731834424604</v>
      </c>
      <c r="HY22" s="1" t="n">
        <f aca="false">EXP($FQ22/$JG$4)*HV22</f>
        <v>0</v>
      </c>
      <c r="HZ22" s="1" t="n">
        <f aca="false">EXP($FQ22/$JG$4)*(-1)^$FQ22*HV22</f>
        <v>-0</v>
      </c>
      <c r="IA22" s="1" t="n">
        <f aca="false">(-1)^HU22*HV22</f>
        <v>-0</v>
      </c>
      <c r="IB22" s="1" t="n">
        <v>0.032409</v>
      </c>
      <c r="ID22" s="1" t="n">
        <f aca="false">$AM22</f>
        <v>11</v>
      </c>
      <c r="IE22" s="1" t="n">
        <f aca="false">FZ22</f>
        <v>0</v>
      </c>
      <c r="IF22" s="1" t="n">
        <f aca="false">IF$6*(1+IF$5*(-1)^$FQ22)*EXP(-$FQ22/IF$4)</f>
        <v>0.726013419451303</v>
      </c>
      <c r="IG22" s="1" t="n">
        <f aca="false">(IE22-IF22)^2</f>
        <v>0.527095485223374</v>
      </c>
      <c r="IH22" s="1" t="n">
        <f aca="false">EXP($FQ22/$JG$4)*IE22</f>
        <v>0</v>
      </c>
      <c r="II22" s="1" t="n">
        <f aca="false">EXP($FQ22/$JG$4)*(-1)^$FQ22*IE22</f>
        <v>-0</v>
      </c>
      <c r="IJ22" s="1" t="n">
        <f aca="false">(-1)^ID22*IE22</f>
        <v>-0</v>
      </c>
      <c r="IK22" s="1" t="n">
        <v>0.074775</v>
      </c>
      <c r="IM22" s="1" t="n">
        <f aca="false">$AM22</f>
        <v>11</v>
      </c>
      <c r="IN22" s="1" t="n">
        <f aca="false">GD22</f>
        <v>0.50251256281407</v>
      </c>
      <c r="IO22" s="1" t="n">
        <f aca="false">IO$6*(1+IO$5*(-1)^$FQ22)*EXP(-$FQ22/IO$4)</f>
        <v>0.94904378631858</v>
      </c>
      <c r="IP22" s="1" t="n">
        <f aca="false">(IN22-IO22)^2</f>
        <v>0.199390133564434</v>
      </c>
      <c r="IQ22" s="1" t="n">
        <f aca="false">EXP($FQ22/$JG$4)*IN22</f>
        <v>6.5663545744147</v>
      </c>
      <c r="IR22" s="1" t="n">
        <f aca="false">EXP($FQ22/$JG$4)*(-1)^$FQ22*IN22</f>
        <v>-6.5663545744147</v>
      </c>
      <c r="IS22" s="1" t="n">
        <f aca="false">(-1)^IM22*IN22</f>
        <v>-0.50251256281407</v>
      </c>
      <c r="IT22" s="1" t="n">
        <v>0.242579</v>
      </c>
      <c r="IV22" s="1" t="n">
        <f aca="false">$AM22</f>
        <v>11</v>
      </c>
      <c r="IW22" s="1" t="n">
        <f aca="false">GH22</f>
        <v>0</v>
      </c>
      <c r="IX22" s="1" t="n">
        <f aca="false">IX$6*(1+IX$5*(-1)^$FQ22)*EXP(-$FQ22/IX$4)</f>
        <v>1.11120165936945</v>
      </c>
      <c r="IY22" s="1" t="n">
        <f aca="false">(IW22-IX22)^2</f>
        <v>1.23476912778542</v>
      </c>
      <c r="IZ22" s="1" t="n">
        <f aca="false">EXP($FQ22/$JG$4)*IW22</f>
        <v>0</v>
      </c>
      <c r="JA22" s="1" t="n">
        <f aca="false">EXP($FQ22/$JG$4)*(-1)^$FQ22*IW22</f>
        <v>-0</v>
      </c>
      <c r="JB22" s="1" t="n">
        <f aca="false">(-1)^IV22*IW22</f>
        <v>-0</v>
      </c>
      <c r="JC22" s="1" t="n">
        <v>2.397317</v>
      </c>
      <c r="JE22" s="1" t="n">
        <f aca="false">$AM22</f>
        <v>11</v>
      </c>
      <c r="JF22" s="1" t="n">
        <f aca="false">GL22</f>
        <v>0</v>
      </c>
      <c r="JG22" s="1" t="n">
        <f aca="false">JG$6*(1+JG$5*(-1)^$FQ22)*EXP(-$FQ22/JG$4)</f>
        <v>0.58364976359288</v>
      </c>
      <c r="JH22" s="1" t="n">
        <f aca="false">(JF22-JG22)^2</f>
        <v>0.340647046542025</v>
      </c>
      <c r="JI22" s="1" t="n">
        <f aca="false">EXP($FQ22/$JG$4)*JF22</f>
        <v>0</v>
      </c>
      <c r="JJ22" s="1" t="n">
        <f aca="false">EXP($FQ22/$JG$4)*(-1)^$FQ22*JF22</f>
        <v>-0</v>
      </c>
      <c r="JK22" s="1" t="n">
        <f aca="false">(-1)^JE22*JF22</f>
        <v>-0</v>
      </c>
      <c r="JL22" s="1" t="n">
        <v>2.348965</v>
      </c>
      <c r="JO22" s="1" t="n">
        <f aca="false">$AM22</f>
        <v>11</v>
      </c>
      <c r="JP22" s="1" t="n">
        <f aca="false">GM22</f>
        <v>1.00502512562814</v>
      </c>
      <c r="JQ22" s="1" t="n">
        <f aca="false">JQ$6*(1+JQ$5*(-1)^$FQ22)*EXP(-$FQ22/JQ$4)</f>
        <v>1.13636636882799</v>
      </c>
      <c r="JR22" s="1" t="n">
        <f aca="false">(JP22-JQ22)^2</f>
        <v>0.017250522165282</v>
      </c>
      <c r="JS22" s="1" t="n">
        <f aca="false">EXP($FQ22/$JG$4)*JP22</f>
        <v>13.1327091488294</v>
      </c>
      <c r="JT22" s="1" t="n">
        <f aca="false">EXP($FQ22/$JG$4)*(-1)^$FQ22*JP22</f>
        <v>-13.1327091488294</v>
      </c>
      <c r="JU22" s="1" t="n">
        <f aca="false">(-1)^JO22*JP22</f>
        <v>-1.00502512562814</v>
      </c>
    </row>
    <row r="23" customFormat="false" ht="16" hidden="false" customHeight="false" outlineLevel="0" collapsed="false">
      <c r="A23" s="1" t="n">
        <v>1</v>
      </c>
      <c r="B23" s="1" t="n">
        <v>1</v>
      </c>
      <c r="C23" s="1" t="n">
        <f aca="false">B23-A23</f>
        <v>0</v>
      </c>
      <c r="D23" s="1" t="n">
        <v>1</v>
      </c>
      <c r="E23" s="1" t="n">
        <v>1</v>
      </c>
      <c r="F23" s="1" t="n">
        <f aca="false">E23-D23</f>
        <v>0</v>
      </c>
      <c r="G23" s="1" t="n">
        <v>1</v>
      </c>
      <c r="H23" s="1" t="n">
        <v>1</v>
      </c>
      <c r="I23" s="1" t="n">
        <f aca="false">H23-G23</f>
        <v>0</v>
      </c>
      <c r="J23" s="1" t="n">
        <v>2</v>
      </c>
      <c r="K23" s="1" t="n">
        <v>4</v>
      </c>
      <c r="L23" s="1" t="n">
        <f aca="false">K23-J23</f>
        <v>2</v>
      </c>
      <c r="M23" s="1" t="n">
        <v>4</v>
      </c>
      <c r="N23" s="1" t="n">
        <v>4</v>
      </c>
      <c r="O23" s="1" t="n">
        <f aca="false">N23-M23</f>
        <v>0</v>
      </c>
      <c r="P23" s="1" t="n">
        <v>3</v>
      </c>
      <c r="Q23" s="1" t="n">
        <v>4</v>
      </c>
      <c r="R23" s="1" t="n">
        <f aca="false">Q23-P23</f>
        <v>1</v>
      </c>
      <c r="S23" s="1" t="n">
        <v>2</v>
      </c>
      <c r="T23" s="1" t="n">
        <v>2</v>
      </c>
      <c r="U23" s="1" t="n">
        <f aca="false">T23-S23</f>
        <v>0</v>
      </c>
      <c r="V23" s="1" t="n">
        <v>2</v>
      </c>
      <c r="W23" s="1" t="n">
        <v>3</v>
      </c>
      <c r="X23" s="1" t="n">
        <f aca="false">W23-V23</f>
        <v>1</v>
      </c>
      <c r="Y23" s="1" t="n">
        <v>10</v>
      </c>
      <c r="Z23" s="1" t="n">
        <v>16</v>
      </c>
      <c r="AA23" s="1" t="n">
        <f aca="false">Z23-Y23</f>
        <v>6</v>
      </c>
      <c r="AB23" s="1" t="n">
        <v>6</v>
      </c>
      <c r="AC23" s="1" t="n">
        <v>10</v>
      </c>
      <c r="AD23" s="1" t="n">
        <f aca="false">AC23-AB23</f>
        <v>4</v>
      </c>
      <c r="AE23" s="1" t="n">
        <v>8</v>
      </c>
      <c r="AF23" s="1" t="n">
        <v>16</v>
      </c>
      <c r="AG23" s="1" t="n">
        <f aca="false">AF23-AE23</f>
        <v>8</v>
      </c>
      <c r="AI23" s="1" t="s">
        <v>48</v>
      </c>
      <c r="AJ23" s="1" t="n">
        <f aca="false">COUNTIFS(N$2:N$1000,2,M$2:M$1000,1)</f>
        <v>12</v>
      </c>
      <c r="AM23" s="1" t="n">
        <v>12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1</v>
      </c>
      <c r="BE23" s="1" t="n">
        <v>0</v>
      </c>
      <c r="BF23" s="1" t="n">
        <v>1</v>
      </c>
      <c r="BG23" s="1" t="n">
        <v>5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5</v>
      </c>
      <c r="BM23" s="1" t="n">
        <v>8</v>
      </c>
      <c r="BN23" s="1" t="n">
        <v>5</v>
      </c>
      <c r="BO23" s="1" t="n">
        <v>0</v>
      </c>
      <c r="BP23" s="1" t="n">
        <v>3</v>
      </c>
      <c r="BQ23" s="1" t="n">
        <v>0</v>
      </c>
      <c r="BR23" s="1" t="n">
        <v>5</v>
      </c>
      <c r="BS23" s="1" t="n">
        <v>16</v>
      </c>
      <c r="BT23" s="1" t="n">
        <v>1</v>
      </c>
      <c r="BW23" s="1" t="n">
        <f aca="false">$AM23</f>
        <v>12</v>
      </c>
      <c r="BX23" s="1" t="n">
        <f aca="false">MAX(BX22-AN23/AN$9*100,0)</f>
        <v>0</v>
      </c>
      <c r="BY23" s="1" t="n">
        <f aca="false">MAX(BY22-AO23/AO$9*100,0)</f>
        <v>0</v>
      </c>
      <c r="BZ23" s="1" t="n">
        <f aca="false">MAX(BZ22-AQ23/AQ$9*100,0)</f>
        <v>0</v>
      </c>
      <c r="CA23" s="1" t="n">
        <f aca="false">MAX(CA22-AR23/AR$9*100,0)</f>
        <v>0</v>
      </c>
      <c r="CB23" s="1" t="n">
        <f aca="false">CB$7*EXP(-$AM23/CB$8)</f>
        <v>3.56385966281747E-005</v>
      </c>
      <c r="CC23" s="1" t="n">
        <f aca="false">(BZ23-CB23)^2</f>
        <v>1.27010956962575E-009</v>
      </c>
      <c r="CD23" s="1" t="n">
        <f aca="false">MAX(CD22-AT23/AT$9*100,0)</f>
        <v>0</v>
      </c>
      <c r="CE23" s="1" t="n">
        <f aca="false">MAX(CE22-AU23/AU$9*100,0)</f>
        <v>5.32907051820075E-015</v>
      </c>
      <c r="CF23" s="1" t="n">
        <f aca="false">CF$7*EXP(-$AM23/CF$8)</f>
        <v>5.28771549561366E-005</v>
      </c>
      <c r="CG23" s="1" t="n">
        <f aca="false">(CD23-CF23)^2</f>
        <v>2.79599351625528E-009</v>
      </c>
      <c r="CH23" s="1" t="n">
        <f aca="false">$AM23</f>
        <v>12</v>
      </c>
      <c r="CI23" s="1" t="n">
        <f aca="false">MAX(CI22-AW23/AW$9*100,0)</f>
        <v>0</v>
      </c>
      <c r="CJ23" s="1" t="n">
        <f aca="false">MAX(CJ22-AX23/AX$9*100,0)</f>
        <v>0</v>
      </c>
      <c r="CK23" s="1" t="n">
        <f aca="false">CK$7*EXP(-$AM23/CK$8)</f>
        <v>0.00625342036754466</v>
      </c>
      <c r="CL23" s="1" t="n">
        <f aca="false">(CI23-CK23)^2</f>
        <v>3.91052662932224E-005</v>
      </c>
      <c r="CM23" s="1" t="n">
        <f aca="false">MAX(CM22-AZ23/AZ$9*100,0)</f>
        <v>0</v>
      </c>
      <c r="CN23" s="1" t="n">
        <f aca="false">MAX(CN22-BA23/BA$9*100,0)</f>
        <v>5.32907051820075E-015</v>
      </c>
      <c r="CO23" s="1" t="n">
        <f aca="false">CO$7*EXP(-$AM23/CO$8)</f>
        <v>0.41524704736695</v>
      </c>
      <c r="CP23" s="1" t="n">
        <f aca="false">(CM23-CO23)^2</f>
        <v>0.17243011034697</v>
      </c>
      <c r="CQ23" s="1" t="n">
        <f aca="false">$AM23</f>
        <v>12</v>
      </c>
      <c r="CR23" s="1" t="n">
        <f aca="false">MAX(CR22-BC23/BC$9*100,0)</f>
        <v>0</v>
      </c>
      <c r="CS23" s="1" t="n">
        <f aca="false">MAX(CS22-BD23/BD$9*100,0)</f>
        <v>0</v>
      </c>
      <c r="CT23" s="1" t="n">
        <f aca="false">CT$7*EXP(-$AM23/CT$8)</f>
        <v>0.0115810364098045</v>
      </c>
      <c r="CU23" s="1" t="n">
        <f aca="false">(CR23-CT23)^2</f>
        <v>0.000134120404325218</v>
      </c>
      <c r="CV23" s="1" t="n">
        <f aca="false">MAX(CV22-BF23/BF$9*100,0)</f>
        <v>8.88178419700125E-015</v>
      </c>
      <c r="CW23" s="1" t="n">
        <f aca="false">MAX(CW22-BG23/BG$9*100,0)</f>
        <v>5.52763819095478</v>
      </c>
      <c r="CX23" s="1" t="n">
        <f aca="false">CX$7*EXP(-$AM23/CX$8)</f>
        <v>0.946593538566218</v>
      </c>
      <c r="CY23" s="1" t="n">
        <f aca="false">(CV23-CX23)^2</f>
        <v>0.896039327255297</v>
      </c>
      <c r="CZ23" s="1" t="n">
        <f aca="false">$AM23</f>
        <v>12</v>
      </c>
      <c r="DA23" s="1" t="n">
        <f aca="false">MAX(DA22-BI23/BI$9*100,0)</f>
        <v>0</v>
      </c>
      <c r="DB23" s="1" t="n">
        <f aca="false">MAX(DB22-BJ23/BJ$9*100,0)</f>
        <v>9.88098491916389E-015</v>
      </c>
      <c r="DC23" s="1" t="n">
        <f aca="false">DC$7*EXP(-$AM23/DC$8)</f>
        <v>0.0251235337539531</v>
      </c>
      <c r="DD23" s="1" t="n">
        <f aca="false">(DA23-DC23)^2</f>
        <v>0.000631191948286021</v>
      </c>
      <c r="DE23" s="1" t="n">
        <f aca="false">MAX(DE22-BL23/BL$9*100,0)</f>
        <v>7.00636942675159</v>
      </c>
      <c r="DF23" s="1" t="n">
        <f aca="false">MAX(DF22-BM23/BM$9*100,0)</f>
        <v>19.7452229299363</v>
      </c>
      <c r="DG23" s="1" t="n">
        <f aca="false">DG$7*EXP(-$AM23/DG$8)</f>
        <v>5.99934173832761</v>
      </c>
      <c r="DH23" s="1" t="n">
        <f aca="false">(DE23-DG23)^2</f>
        <v>1.01410476525254</v>
      </c>
      <c r="DI23" s="1" t="n">
        <f aca="false">$AM23</f>
        <v>12</v>
      </c>
      <c r="DJ23" s="1" t="n">
        <f aca="false">MAX(DJ22-BO23/BO$9*100,0)</f>
        <v>0</v>
      </c>
      <c r="DK23" s="1" t="n">
        <f aca="false">MAX(DK22-BP23/BP$9*100,0)</f>
        <v>0.512820512820523</v>
      </c>
      <c r="DL23" s="1" t="n">
        <f aca="false">DL$7*EXP(-$AM23/DL$8)</f>
        <v>0.0952426059235465</v>
      </c>
      <c r="DM23" s="1" t="n">
        <f aca="false">(DJ23-DL23)^2</f>
        <v>0.00907115398310797</v>
      </c>
      <c r="DN23" s="1" t="n">
        <f aca="false">MAX(DN22-BR23/BR$9*100,0)</f>
        <v>4.02010050251256</v>
      </c>
      <c r="DO23" s="1" t="n">
        <f aca="false">MAX(DO22-BS23/BS$9*100,0)</f>
        <v>26.6331658291457</v>
      </c>
      <c r="DP23" s="1" t="n">
        <f aca="false">DP$7*EXP(-$AM23/DP$8)</f>
        <v>4.0738464097</v>
      </c>
      <c r="DQ23" s="1" t="n">
        <f aca="false">(DN23-DP23)^2</f>
        <v>0.00288862253940044</v>
      </c>
      <c r="DS23" s="1" t="n">
        <f aca="false">$AM23</f>
        <v>12</v>
      </c>
      <c r="DT23" s="1" t="n">
        <f aca="false">CA23</f>
        <v>0</v>
      </c>
      <c r="DU23" s="1" t="n">
        <f aca="false">DU$7*EXP(-DS23/DU$8)</f>
        <v>0.000690990957899064</v>
      </c>
      <c r="DV23" s="1" t="n">
        <f aca="false">(DT23-DU23)^2</f>
        <v>4.77468503898266E-007</v>
      </c>
      <c r="DX23" s="1" t="n">
        <f aca="false">$AM23</f>
        <v>12</v>
      </c>
      <c r="DY23" s="1" t="n">
        <f aca="false">CM23</f>
        <v>0</v>
      </c>
      <c r="DZ23" s="1" t="n">
        <f aca="false">DZ$7*EXP(-DX23/DZ$8)</f>
        <v>0.186564547481375</v>
      </c>
      <c r="EA23" s="1" t="n">
        <f aca="false">(DY23-DZ23)^2</f>
        <v>0.0348063303769302</v>
      </c>
      <c r="EC23" s="1" t="n">
        <f aca="false">$AM23</f>
        <v>12</v>
      </c>
      <c r="ED23" s="1" t="n">
        <f aca="false">CV23</f>
        <v>8.88178419700125E-015</v>
      </c>
      <c r="EE23" s="1" t="n">
        <f aca="false">EE$7*EXP(-EC23/EE$8)</f>
        <v>0.752505017288868</v>
      </c>
      <c r="EF23" s="1" t="n">
        <f aca="false">(ED23-EE23)^2</f>
        <v>0.566263801044906</v>
      </c>
      <c r="EH23" s="1" t="n">
        <f aca="false">$AM23</f>
        <v>12</v>
      </c>
      <c r="EI23" s="1" t="n">
        <f aca="false">DE23</f>
        <v>7.00636942675159</v>
      </c>
      <c r="EJ23" s="1" t="n">
        <f aca="false">EJ$7*EXP(-EH23/EJ$8)</f>
        <v>5.97444820414367</v>
      </c>
      <c r="EK23" s="1" t="n">
        <f aca="false">(EI23-EJ23)^2</f>
        <v>1.06486140966862</v>
      </c>
      <c r="EM23" s="1" t="n">
        <f aca="false">AM23</f>
        <v>12</v>
      </c>
      <c r="EN23" s="1" t="n">
        <f aca="false">DN23</f>
        <v>4.02010050251256</v>
      </c>
      <c r="EO23" s="1" t="n">
        <f aca="false">EO$7*EXP(-EM23/EO$8)</f>
        <v>4.48088472373085</v>
      </c>
      <c r="EP23" s="1" t="n">
        <f aca="false">(EN23-EO23)^2</f>
        <v>0.212322098523742</v>
      </c>
      <c r="ER23" s="1" t="n">
        <f aca="false">$AM23</f>
        <v>12</v>
      </c>
      <c r="ES23" s="1" t="n">
        <f aca="false">BZ23</f>
        <v>0</v>
      </c>
      <c r="ET23" s="1" t="n">
        <f aca="false">ET$7*EXP(-ER23/ET$8)</f>
        <v>0.000114352116023174</v>
      </c>
      <c r="EU23" s="1" t="n">
        <f aca="false">(ES23-ET23)^2</f>
        <v>1.30764064389774E-008</v>
      </c>
      <c r="EW23" s="1" t="n">
        <f aca="false">$AM23</f>
        <v>12</v>
      </c>
      <c r="EX23" s="1" t="n">
        <f aca="false">CI23</f>
        <v>0</v>
      </c>
      <c r="EY23" s="1" t="n">
        <f aca="false">EY$7*EXP(-EW23/EY$8)</f>
        <v>0.000459415753758019</v>
      </c>
      <c r="EZ23" s="1" t="n">
        <f aca="false">(EX23-EY23)^2</f>
        <v>2.11062834801049E-007</v>
      </c>
      <c r="FB23" s="1" t="n">
        <f aca="false">$AM23</f>
        <v>12</v>
      </c>
      <c r="FC23" s="1" t="n">
        <f aca="false">CR23</f>
        <v>0</v>
      </c>
      <c r="FD23" s="1" t="n">
        <f aca="false">FD$7*EXP(-FB23/FD$8)</f>
        <v>0.00193666495950947</v>
      </c>
      <c r="FE23" s="1" t="n">
        <f aca="false">(FC23-FD23)^2</f>
        <v>3.75067116539182E-006</v>
      </c>
      <c r="FG23" s="1" t="n">
        <f aca="false">$AM23</f>
        <v>12</v>
      </c>
      <c r="FH23" s="1" t="n">
        <f aca="false">DA23</f>
        <v>0</v>
      </c>
      <c r="FI23" s="1" t="n">
        <f aca="false">FI$7*EXP(-FG23/FI$8)</f>
        <v>0.00917191943166095</v>
      </c>
      <c r="FJ23" s="1" t="n">
        <f aca="false">(FH23-FI23)^2</f>
        <v>8.41241060608797E-005</v>
      </c>
      <c r="FL23" s="1" t="n">
        <f aca="false">EM23</f>
        <v>12</v>
      </c>
      <c r="FM23" s="1" t="n">
        <f aca="false">DJ23</f>
        <v>0</v>
      </c>
      <c r="FN23" s="1" t="n">
        <f aca="false">FN$7*EXP(-FL23/FN$8)</f>
        <v>0.057028646743427</v>
      </c>
      <c r="FO23" s="1" t="n">
        <f aca="false">(FM23-FN23)^2</f>
        <v>0.00325226654938659</v>
      </c>
      <c r="FQ23" s="1" t="n">
        <f aca="false">AM23</f>
        <v>12</v>
      </c>
      <c r="FR23" s="1" t="n">
        <f aca="false">AN23/AN$9*100</f>
        <v>0</v>
      </c>
      <c r="FS23" s="1" t="n">
        <f aca="false">AO23/AO$9*100</f>
        <v>0</v>
      </c>
      <c r="FT23" s="1" t="n">
        <f aca="false">AQ23/AQ$9*100</f>
        <v>0</v>
      </c>
      <c r="FU23" s="1" t="n">
        <f aca="false">AR23/AR$9*100</f>
        <v>0</v>
      </c>
      <c r="FV23" s="1" t="n">
        <f aca="false">AT23/AT$9*100</f>
        <v>0</v>
      </c>
      <c r="FW23" s="1" t="n">
        <f aca="false">AU23/AU$9*100</f>
        <v>0</v>
      </c>
      <c r="FX23" s="1" t="n">
        <f aca="false">AW23/AW$9*100</f>
        <v>0</v>
      </c>
      <c r="FY23" s="1" t="n">
        <f aca="false">AX23/AX$9*100</f>
        <v>0</v>
      </c>
      <c r="FZ23" s="1" t="n">
        <f aca="false">AZ23/AZ$9*100</f>
        <v>0</v>
      </c>
      <c r="GA23" s="1" t="n">
        <f aca="false">BA23/BA$9*100</f>
        <v>0</v>
      </c>
      <c r="GB23" s="1" t="n">
        <f aca="false">BC23/BC$9*100</f>
        <v>0</v>
      </c>
      <c r="GC23" s="1" t="n">
        <f aca="false">BD23/BD$9*100</f>
        <v>0.628930817610063</v>
      </c>
      <c r="GD23" s="1" t="n">
        <f aca="false">BF23/BF$9*100</f>
        <v>0.50251256281407</v>
      </c>
      <c r="GE23" s="1" t="n">
        <f aca="false">BG23/BG$9*100</f>
        <v>2.51256281407035</v>
      </c>
      <c r="GF23" s="1" t="n">
        <f aca="false">BI23/BI$9*100</f>
        <v>0</v>
      </c>
      <c r="GG23" s="1" t="n">
        <f aca="false">BJ23/BJ$9*100</f>
        <v>0</v>
      </c>
      <c r="GH23" s="1" t="n">
        <f aca="false">BL23/BL$9*100</f>
        <v>3.18471337579618</v>
      </c>
      <c r="GI23" s="1" t="n">
        <f aca="false">BM23/BM$9*100</f>
        <v>5.09554140127389</v>
      </c>
      <c r="GJ23" s="1" t="n">
        <f aca="false">BO23/BO$9*100</f>
        <v>0</v>
      </c>
      <c r="GK23" s="1" t="n">
        <f aca="false">BP23/BP$9*100</f>
        <v>1.53846153846154</v>
      </c>
      <c r="GL23" s="1" t="n">
        <f aca="false">BR23/BR$9*100</f>
        <v>2.51256281407035</v>
      </c>
      <c r="GM23" s="1" t="n">
        <f aca="false">BS23/BS$9*100</f>
        <v>8.04020100502513</v>
      </c>
      <c r="GO23" s="1" t="n">
        <f aca="false">$AM23</f>
        <v>12</v>
      </c>
      <c r="GP23" s="1" t="n">
        <f aca="false">FT23</f>
        <v>0</v>
      </c>
      <c r="GQ23" s="1" t="n">
        <f aca="false">GQ$6*(1+GQ$5*(-1)^$FQ23)*EXP(-$FQ23/GQ$4)</f>
        <v>0.02312244321596</v>
      </c>
      <c r="GR23" s="1" t="n">
        <f aca="false">(GP23-GQ23)^2</f>
        <v>0.000534647380275295</v>
      </c>
      <c r="GS23" s="1" t="n">
        <f aca="false">EXP($FQ23/$JG$4)*GP23</f>
        <v>0</v>
      </c>
      <c r="GT23" s="1" t="n">
        <f aca="false">EXP($FQ23/$JG$4)*(-1)^$FQ23*GP23</f>
        <v>0</v>
      </c>
      <c r="GU23" s="1" t="n">
        <f aca="false">(-1)^GO23*GP23</f>
        <v>0</v>
      </c>
      <c r="GW23" s="1" t="n">
        <f aca="false">$AM23</f>
        <v>12</v>
      </c>
      <c r="GX23" s="1" t="n">
        <f aca="false">FX23</f>
        <v>0</v>
      </c>
      <c r="GY23" s="1" t="n">
        <f aca="false">GY$6*(1+GY$5*(-1)^$FQ23)*EXP(-$FQ23/GY$4)</f>
        <v>0.02312244321596</v>
      </c>
      <c r="GZ23" s="1" t="n">
        <f aca="false">(GX23-GY23)^2</f>
        <v>0.000534647380275295</v>
      </c>
      <c r="HA23" s="1" t="n">
        <f aca="false">EXP($FQ23/$JG$4)*GX23</f>
        <v>0</v>
      </c>
      <c r="HB23" s="1" t="n">
        <f aca="false">EXP($FQ23/$JG$4)*(-1)^$FQ23*GX23</f>
        <v>0</v>
      </c>
      <c r="HC23" s="1" t="n">
        <f aca="false">(-1)^GW23*GX23</f>
        <v>0</v>
      </c>
      <c r="HE23" s="1" t="n">
        <f aca="false">$AM23</f>
        <v>12</v>
      </c>
      <c r="HF23" s="1" t="n">
        <f aca="false">GB23</f>
        <v>0</v>
      </c>
      <c r="HG23" s="1" t="n">
        <f aca="false">HG$6*(1+HG$5*(-1)^$FQ23)*EXP(-$FQ23/HG$4)</f>
        <v>0.02312244321596</v>
      </c>
      <c r="HH23" s="1" t="n">
        <f aca="false">(HF23-HG23)^2</f>
        <v>0.000534647380275295</v>
      </c>
      <c r="HI23" s="1" t="n">
        <f aca="false">EXP($FQ23/$JG$4)*HF23</f>
        <v>0</v>
      </c>
      <c r="HJ23" s="1" t="n">
        <f aca="false">EXP($FQ23/$JG$4)*(-1)^$FQ23*HF23</f>
        <v>0</v>
      </c>
      <c r="HK23" s="1" t="n">
        <f aca="false">(-1)^HE23*HF23</f>
        <v>0</v>
      </c>
      <c r="HM23" s="1" t="n">
        <f aca="false">$AM23</f>
        <v>12</v>
      </c>
      <c r="HN23" s="1" t="n">
        <f aca="false">GF23</f>
        <v>0</v>
      </c>
      <c r="HO23" s="1" t="n">
        <f aca="false">HO$6*(1+HO$5*(-1)^$FQ23)*EXP(-$FQ23/HO$4)</f>
        <v>0.12513222138141</v>
      </c>
      <c r="HP23" s="1" t="n">
        <f aca="false">(HN23-HO23)^2</f>
        <v>0.0156580728278462</v>
      </c>
      <c r="HQ23" s="1" t="n">
        <f aca="false">EXP($FQ23/$JG$4)*HN23</f>
        <v>0</v>
      </c>
      <c r="HR23" s="1" t="n">
        <f aca="false">EXP($FQ23/$JG$4)*(-1)^$FQ23*HN23</f>
        <v>0</v>
      </c>
      <c r="HS23" s="1" t="n">
        <f aca="false">(-1)^HM23*HN23</f>
        <v>0</v>
      </c>
      <c r="HU23" s="1" t="n">
        <f aca="false">$AM23</f>
        <v>12</v>
      </c>
      <c r="HV23" s="1" t="n">
        <f aca="false">GJ23</f>
        <v>0</v>
      </c>
      <c r="HW23" s="1" t="n">
        <f aca="false">HW$6*(1+HW$5*(-1)^$FQ23)*EXP(-$FQ23/HW$4)</f>
        <v>0.463087686712918</v>
      </c>
      <c r="HX23" s="1" t="n">
        <f aca="false">(HV23-HW23)^2</f>
        <v>0.214450205585122</v>
      </c>
      <c r="HY23" s="1" t="n">
        <f aca="false">EXP($FQ23/$JG$4)*HV23</f>
        <v>0</v>
      </c>
      <c r="HZ23" s="1" t="n">
        <f aca="false">EXP($FQ23/$JG$4)*(-1)^$FQ23*HV23</f>
        <v>0</v>
      </c>
      <c r="IA23" s="1" t="n">
        <f aca="false">(-1)^HU23*HV23</f>
        <v>0</v>
      </c>
      <c r="IB23" s="1" t="n">
        <v>0.01224</v>
      </c>
      <c r="ID23" s="1" t="n">
        <f aca="false">$AM23</f>
        <v>12</v>
      </c>
      <c r="IE23" s="1" t="n">
        <f aca="false">FZ23</f>
        <v>0</v>
      </c>
      <c r="IF23" s="1" t="n">
        <f aca="false">IF$6*(1+IF$5*(-1)^$FQ23)*EXP(-$FQ23/IF$4)</f>
        <v>1.00982202640052</v>
      </c>
      <c r="IG23" s="1" t="n">
        <f aca="false">(IE23-IF23)^2</f>
        <v>1.01974052500365</v>
      </c>
      <c r="IH23" s="1" t="n">
        <f aca="false">EXP($FQ23/$JG$4)*IE23</f>
        <v>0</v>
      </c>
      <c r="II23" s="1" t="n">
        <f aca="false">EXP($FQ23/$JG$4)*(-1)^$FQ23*IE23</f>
        <v>0</v>
      </c>
      <c r="IJ23" s="1" t="n">
        <f aca="false">(-1)^ID23*IE23</f>
        <v>0</v>
      </c>
      <c r="IK23" s="1" t="n">
        <v>0.03707</v>
      </c>
      <c r="IM23" s="1" t="n">
        <f aca="false">$AM23</f>
        <v>12</v>
      </c>
      <c r="IN23" s="1" t="n">
        <f aca="false">GD23</f>
        <v>0.50251256281407</v>
      </c>
      <c r="IO23" s="1" t="n">
        <f aca="false">IO$6*(1+IO$5*(-1)^$FQ23)*EXP(-$FQ23/IO$4)</f>
        <v>1.5508940509636</v>
      </c>
      <c r="IP23" s="1" t="n">
        <f aca="false">(IN23-IO23)^2</f>
        <v>1.09910374469462</v>
      </c>
      <c r="IQ23" s="1" t="n">
        <f aca="false">EXP($FQ23/$JG$4)*IN23</f>
        <v>8.29459152591983</v>
      </c>
      <c r="IR23" s="1" t="n">
        <f aca="false">EXP($FQ23/$JG$4)*(-1)^$FQ23*IN23</f>
        <v>8.29459152591983</v>
      </c>
      <c r="IS23" s="1" t="n">
        <f aca="false">(-1)^IM23*IN23</f>
        <v>0.50251256281407</v>
      </c>
      <c r="IT23" s="1" t="n">
        <v>0.128546</v>
      </c>
      <c r="IV23" s="1" t="n">
        <f aca="false">$AM23</f>
        <v>12</v>
      </c>
      <c r="IW23" s="1" t="n">
        <f aca="false">GH23</f>
        <v>3.18471337579618</v>
      </c>
      <c r="IX23" s="1" t="n">
        <f aca="false">IX$6*(1+IX$5*(-1)^$FQ23)*EXP(-$FQ23/IX$4)</f>
        <v>3.55539599829895</v>
      </c>
      <c r="IY23" s="1" t="n">
        <f aca="false">(IW23-IX23)^2</f>
        <v>0.137405606625532</v>
      </c>
      <c r="IZ23" s="1" t="n">
        <f aca="false">EXP($FQ23/$JG$4)*IW23</f>
        <v>52.5676341929314</v>
      </c>
      <c r="JA23" s="1" t="n">
        <f aca="false">EXP($FQ23/$JG$4)*(-1)^$FQ23*IW23</f>
        <v>52.5676341929314</v>
      </c>
      <c r="JB23" s="1" t="n">
        <f aca="false">(-1)^IV23*IW23</f>
        <v>3.18471337579618</v>
      </c>
      <c r="JC23" s="1" t="n">
        <v>0.993127</v>
      </c>
      <c r="JE23" s="1" t="n">
        <f aca="false">$AM23</f>
        <v>12</v>
      </c>
      <c r="JF23" s="1" t="n">
        <f aca="false">GL23</f>
        <v>2.51256281407035</v>
      </c>
      <c r="JG23" s="1" t="n">
        <f aca="false">JG$6*(1+JG$5*(-1)^$FQ23)*EXP(-$FQ23/JG$4)</f>
        <v>3.02506872625736</v>
      </c>
      <c r="JH23" s="1" t="n">
        <f aca="false">(JF23-JG23)^2</f>
        <v>0.262662310026637</v>
      </c>
      <c r="JI23" s="1" t="n">
        <f aca="false">EXP($FQ23/$JG$4)*JF23</f>
        <v>41.4729576295992</v>
      </c>
      <c r="JJ23" s="1" t="n">
        <f aca="false">EXP($FQ23/$JG$4)*(-1)^$FQ23*JF23</f>
        <v>41.4729576295992</v>
      </c>
      <c r="JK23" s="1" t="n">
        <f aca="false">(-1)^JE23*JF23</f>
        <v>2.51256281407035</v>
      </c>
      <c r="JL23" s="1" t="n">
        <v>0.595676</v>
      </c>
      <c r="JO23" s="1" t="n">
        <f aca="false">$AM23</f>
        <v>12</v>
      </c>
      <c r="JP23" s="1" t="n">
        <f aca="false">GM23</f>
        <v>8.04020100502513</v>
      </c>
      <c r="JQ23" s="1" t="n">
        <f aca="false">JQ$6*(1+JQ$5*(-1)^$FQ23)*EXP(-$FQ23/JQ$4)</f>
        <v>5.50724144538297</v>
      </c>
      <c r="JR23" s="1" t="n">
        <f aca="false">(JP23-JQ23)^2</f>
        <v>6.41588413078258</v>
      </c>
      <c r="JS23" s="1" t="n">
        <f aca="false">EXP($FQ23/$JG$4)*JP23</f>
        <v>132.713464414717</v>
      </c>
      <c r="JT23" s="1" t="n">
        <f aca="false">EXP($FQ23/$JG$4)*(-1)^$FQ23*JP23</f>
        <v>132.713464414717</v>
      </c>
      <c r="JU23" s="1" t="n">
        <f aca="false">(-1)^JO23*JP23</f>
        <v>8.04020100502513</v>
      </c>
    </row>
    <row r="24" customFormat="false" ht="16" hidden="false" customHeight="false" outlineLevel="0" collapsed="false">
      <c r="A24" s="1" t="n">
        <v>1</v>
      </c>
      <c r="B24" s="1" t="n">
        <v>1</v>
      </c>
      <c r="C24" s="1" t="n">
        <f aca="false">B24-A24</f>
        <v>0</v>
      </c>
      <c r="D24" s="1" t="n">
        <v>2</v>
      </c>
      <c r="E24" s="1" t="n">
        <v>2</v>
      </c>
      <c r="F24" s="1" t="n">
        <f aca="false">E24-D24</f>
        <v>0</v>
      </c>
      <c r="G24" s="1" t="n">
        <v>1</v>
      </c>
      <c r="H24" s="1" t="n">
        <v>1</v>
      </c>
      <c r="I24" s="1" t="n">
        <f aca="false">H24-G24</f>
        <v>0</v>
      </c>
      <c r="J24" s="1" t="n">
        <v>3</v>
      </c>
      <c r="K24" s="1" t="n">
        <v>5</v>
      </c>
      <c r="L24" s="1" t="n">
        <f aca="false">K24-J24</f>
        <v>2</v>
      </c>
      <c r="M24" s="1" t="n">
        <v>3</v>
      </c>
      <c r="N24" s="1" t="n">
        <v>3</v>
      </c>
      <c r="O24" s="1" t="n">
        <f aca="false">N24-M24</f>
        <v>0</v>
      </c>
      <c r="P24" s="1" t="n">
        <v>2</v>
      </c>
      <c r="Q24" s="1" t="n">
        <v>2</v>
      </c>
      <c r="R24" s="1" t="n">
        <f aca="false">Q24-P24</f>
        <v>0</v>
      </c>
      <c r="S24" s="1" t="n">
        <v>4</v>
      </c>
      <c r="T24" s="1" t="n">
        <v>4</v>
      </c>
      <c r="U24" s="1" t="n">
        <f aca="false">T24-S24</f>
        <v>0</v>
      </c>
      <c r="V24" s="1" t="n">
        <v>2</v>
      </c>
      <c r="W24" s="1" t="n">
        <v>2</v>
      </c>
      <c r="X24" s="1" t="n">
        <f aca="false">W24-V24</f>
        <v>0</v>
      </c>
      <c r="Y24" s="1" t="n">
        <v>14</v>
      </c>
      <c r="Z24" s="1" t="n">
        <v>20</v>
      </c>
      <c r="AA24" s="1" t="n">
        <f aca="false">Z24-Y24</f>
        <v>6</v>
      </c>
      <c r="AB24" s="1" t="n">
        <v>2</v>
      </c>
      <c r="AC24" s="1" t="n">
        <v>6</v>
      </c>
      <c r="AD24" s="1" t="n">
        <f aca="false">AC24-AB24</f>
        <v>4</v>
      </c>
      <c r="AE24" s="1" t="n">
        <v>13</v>
      </c>
      <c r="AF24" s="1" t="n">
        <v>17</v>
      </c>
      <c r="AG24" s="1" t="n">
        <f aca="false">AF24-AE24</f>
        <v>4</v>
      </c>
      <c r="AI24" s="1" t="s">
        <v>52</v>
      </c>
      <c r="AJ24" s="1" t="n">
        <f aca="false">COUNTIFS(N$2:N$1000,2,M$2:M$1000,0)</f>
        <v>0</v>
      </c>
      <c r="AM24" s="1" t="n">
        <v>13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3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2</v>
      </c>
      <c r="BM24" s="1" t="n">
        <v>1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1</v>
      </c>
      <c r="BS24" s="1" t="n">
        <v>3</v>
      </c>
      <c r="BT24" s="1" t="n">
        <v>2</v>
      </c>
      <c r="BW24" s="1" t="n">
        <f aca="false">$AM24</f>
        <v>13</v>
      </c>
      <c r="BX24" s="1" t="n">
        <f aca="false">MAX(BX23-AN24/AN$9*100,0)</f>
        <v>0</v>
      </c>
      <c r="BY24" s="1" t="n">
        <f aca="false">MAX(BY23-AO24/AO$9*100,0)</f>
        <v>0</v>
      </c>
      <c r="BZ24" s="1" t="n">
        <f aca="false">MAX(BZ23-AQ24/AQ$9*100,0)</f>
        <v>0</v>
      </c>
      <c r="CA24" s="1" t="n">
        <f aca="false">MAX(CA23-AR24/AR$9*100,0)</f>
        <v>0</v>
      </c>
      <c r="CB24" s="1" t="n">
        <f aca="false">CB$7*EXP(-$AM24/CB$8)</f>
        <v>9.7252726666397E-006</v>
      </c>
      <c r="CC24" s="1" t="n">
        <f aca="false">(BZ24-CB24)^2</f>
        <v>9.45809284404893E-011</v>
      </c>
      <c r="CD24" s="1" t="n">
        <f aca="false">MAX(CD23-AT24/AT$9*100,0)</f>
        <v>0</v>
      </c>
      <c r="CE24" s="1" t="n">
        <f aca="false">MAX(CE23-AU24/AU$9*100,0)</f>
        <v>5.32907051820075E-015</v>
      </c>
      <c r="CF24" s="1" t="n">
        <f aca="false">CF$7*EXP(-$AM24/CF$8)</f>
        <v>1.4911736797384E-005</v>
      </c>
      <c r="CG24" s="1" t="n">
        <f aca="false">(CD24-CF24)^2</f>
        <v>2.22359894314456E-010</v>
      </c>
      <c r="CH24" s="1" t="n">
        <f aca="false">$AM24</f>
        <v>13</v>
      </c>
      <c r="CI24" s="1" t="n">
        <f aca="false">MAX(CI23-AW24/AW$9*100,0)</f>
        <v>0</v>
      </c>
      <c r="CJ24" s="1" t="n">
        <f aca="false">MAX(CJ23-AX24/AX$9*100,0)</f>
        <v>0</v>
      </c>
      <c r="CK24" s="1" t="n">
        <f aca="false">CK$7*EXP(-$AM24/CK$8)</f>
        <v>0.00266027025741109</v>
      </c>
      <c r="CL24" s="1" t="n">
        <f aca="false">(CI24-CK24)^2</f>
        <v>7.07703784246607E-006</v>
      </c>
      <c r="CM24" s="1" t="n">
        <f aca="false">MAX(CM23-AZ24/AZ$9*100,0)</f>
        <v>0</v>
      </c>
      <c r="CN24" s="1" t="n">
        <f aca="false">MAX(CN23-BA24/BA$9*100,0)</f>
        <v>5.32907051820075E-015</v>
      </c>
      <c r="CO24" s="1" t="n">
        <f aca="false">CO$7*EXP(-$AM24/CO$8)</f>
        <v>0.256750400118285</v>
      </c>
      <c r="CP24" s="1" t="n">
        <f aca="false">(CM24-CO24)^2</f>
        <v>0.0659207679608994</v>
      </c>
      <c r="CQ24" s="1" t="n">
        <f aca="false">$AM24</f>
        <v>13</v>
      </c>
      <c r="CR24" s="1" t="n">
        <f aca="false">MAX(CR23-BC24/BC$9*100,0)</f>
        <v>0</v>
      </c>
      <c r="CS24" s="1" t="n">
        <f aca="false">MAX(CS23-BD24/BD$9*100,0)</f>
        <v>0</v>
      </c>
      <c r="CT24" s="1" t="n">
        <f aca="false">CT$7*EXP(-$AM24/CT$8)</f>
        <v>0.00526966816258817</v>
      </c>
      <c r="CU24" s="1" t="n">
        <f aca="false">(CR24-CT24)^2</f>
        <v>2.77694025437954E-005</v>
      </c>
      <c r="CV24" s="1" t="n">
        <f aca="false">MAX(CV23-BF24/BF$9*100,0)</f>
        <v>8.88178419700125E-015</v>
      </c>
      <c r="CW24" s="1" t="n">
        <f aca="false">MAX(CW23-BG24/BG$9*100,0)</f>
        <v>4.02010050251257</v>
      </c>
      <c r="CX24" s="1" t="n">
        <f aca="false">CX$7*EXP(-$AM24/CX$8)</f>
        <v>0.626185498704555</v>
      </c>
      <c r="CY24" s="1" t="n">
        <f aca="false">(CV24-CX24)^2</f>
        <v>0.392108278787861</v>
      </c>
      <c r="CZ24" s="1" t="n">
        <f aca="false">$AM24</f>
        <v>13</v>
      </c>
      <c r="DA24" s="1" t="n">
        <f aca="false">MAX(DA23-BI24/BI$9*100,0)</f>
        <v>0</v>
      </c>
      <c r="DB24" s="1" t="n">
        <f aca="false">MAX(DB23-BJ24/BJ$9*100,0)</f>
        <v>9.88098491916389E-015</v>
      </c>
      <c r="DC24" s="1" t="n">
        <f aca="false">DC$7*EXP(-$AM24/DC$8)</f>
        <v>0.0121081405524895</v>
      </c>
      <c r="DD24" s="1" t="n">
        <f aca="false">(DA24-DC24)^2</f>
        <v>0.000146607067638841</v>
      </c>
      <c r="DE24" s="1" t="n">
        <f aca="false">MAX(DE23-BL24/BL$9*100,0)</f>
        <v>5.73248407643312</v>
      </c>
      <c r="DF24" s="1" t="n">
        <f aca="false">MAX(DF23-BM24/BM$9*100,0)</f>
        <v>19.1082802547771</v>
      </c>
      <c r="DG24" s="1" t="n">
        <f aca="false">DG$7*EXP(-$AM24/DG$8)</f>
        <v>4.6722920437225</v>
      </c>
      <c r="DH24" s="1" t="n">
        <f aca="false">(DE24-DG24)^2</f>
        <v>1.12400714622307</v>
      </c>
      <c r="DI24" s="1" t="n">
        <f aca="false">$AM24</f>
        <v>13</v>
      </c>
      <c r="DJ24" s="1" t="n">
        <f aca="false">MAX(DJ23-BO24/BO$9*100,0)</f>
        <v>0</v>
      </c>
      <c r="DK24" s="1" t="n">
        <f aca="false">MAX(DK23-BP24/BP$9*100,0)</f>
        <v>0.512820512820523</v>
      </c>
      <c r="DL24" s="1" t="n">
        <f aca="false">DL$7*EXP(-$AM24/DL$8)</f>
        <v>0.0515695019556482</v>
      </c>
      <c r="DM24" s="1" t="n">
        <f aca="false">(DJ24-DL24)^2</f>
        <v>0.0026594135319536</v>
      </c>
      <c r="DN24" s="1" t="n">
        <f aca="false">MAX(DN23-BR24/BR$9*100,0)</f>
        <v>3.51758793969849</v>
      </c>
      <c r="DO24" s="1" t="n">
        <f aca="false">MAX(DO23-BS24/BS$9*100,0)</f>
        <v>25.1256281407035</v>
      </c>
      <c r="DP24" s="1" t="n">
        <f aca="false">DP$7*EXP(-$AM24/DP$8)</f>
        <v>3.06884570178164</v>
      </c>
      <c r="DQ24" s="1" t="n">
        <f aca="false">(DN24-DP24)^2</f>
        <v>0.201369596090626</v>
      </c>
      <c r="DS24" s="1" t="n">
        <f aca="false">$AM24</f>
        <v>13</v>
      </c>
      <c r="DT24" s="1" t="n">
        <f aca="false">CA24</f>
        <v>0</v>
      </c>
      <c r="DU24" s="1" t="n">
        <f aca="false">DU$7*EXP(-DS24/DU$8)</f>
        <v>0.000246459801498967</v>
      </c>
      <c r="DV24" s="1" t="n">
        <f aca="false">(DT24-DU24)^2</f>
        <v>6.07424337549102E-008</v>
      </c>
      <c r="DX24" s="1" t="n">
        <f aca="false">$AM24</f>
        <v>13</v>
      </c>
      <c r="DY24" s="1" t="n">
        <f aca="false">CM24</f>
        <v>0</v>
      </c>
      <c r="DZ24" s="1" t="n">
        <f aca="false">DZ$7*EXP(-DX24/DZ$8)</f>
        <v>0.106375950847688</v>
      </c>
      <c r="EA24" s="1" t="n">
        <f aca="false">(DY24-DZ24)^2</f>
        <v>0.0113158429187497</v>
      </c>
      <c r="EC24" s="1" t="n">
        <f aca="false">$AM24</f>
        <v>13</v>
      </c>
      <c r="ED24" s="1" t="n">
        <f aca="false">CV24</f>
        <v>8.88178419700125E-015</v>
      </c>
      <c r="EE24" s="1" t="n">
        <f aca="false">EE$7*EXP(-EC24/EE$8)</f>
        <v>0.48625172446643</v>
      </c>
      <c r="EF24" s="1" t="n">
        <f aca="false">(ED24-EE24)^2</f>
        <v>0.236440739546568</v>
      </c>
      <c r="EH24" s="1" t="n">
        <f aca="false">$AM24</f>
        <v>13</v>
      </c>
      <c r="EI24" s="1" t="n">
        <f aca="false">DE24</f>
        <v>5.73248407643312</v>
      </c>
      <c r="EJ24" s="1" t="n">
        <f aca="false">EJ$7*EXP(-EH24/EJ$8)</f>
        <v>4.65290493980664</v>
      </c>
      <c r="EK24" s="1" t="n">
        <f aca="false">(EI24-EJ24)^2</f>
        <v>1.16549111223917</v>
      </c>
      <c r="EM24" s="1" t="n">
        <f aca="false">AM24</f>
        <v>13</v>
      </c>
      <c r="EN24" s="1" t="n">
        <f aca="false">DN24</f>
        <v>3.51758793969849</v>
      </c>
      <c r="EO24" s="1" t="n">
        <f aca="false">EO$7*EXP(-EM24/EO$8)</f>
        <v>3.40705372365802</v>
      </c>
      <c r="EP24" s="1" t="n">
        <f aca="false">(EN24-EO24)^2</f>
        <v>0.0122178129156822</v>
      </c>
      <c r="ER24" s="1" t="n">
        <f aca="false">$AM24</f>
        <v>13</v>
      </c>
      <c r="ES24" s="1" t="n">
        <f aca="false">BZ24</f>
        <v>0</v>
      </c>
      <c r="ET24" s="1" t="n">
        <f aca="false">ET$7*EXP(-ER24/ET$8)</f>
        <v>3.47717833501961E-005</v>
      </c>
      <c r="EU24" s="1" t="n">
        <f aca="false">(ES24-ET24)^2</f>
        <v>1.20907691735297E-009</v>
      </c>
      <c r="EW24" s="1" t="n">
        <f aca="false">$AM24</f>
        <v>13</v>
      </c>
      <c r="EX24" s="1" t="n">
        <f aca="false">CI24</f>
        <v>0</v>
      </c>
      <c r="EY24" s="1" t="n">
        <f aca="false">EY$7*EXP(-EW24/EY$8)</f>
        <v>0.000153094362981846</v>
      </c>
      <c r="EZ24" s="1" t="n">
        <f aca="false">(EX24-EY24)^2</f>
        <v>2.34378839768172E-008</v>
      </c>
      <c r="FB24" s="1" t="n">
        <f aca="false">$AM24</f>
        <v>13</v>
      </c>
      <c r="FC24" s="1" t="n">
        <f aca="false">CR24</f>
        <v>0</v>
      </c>
      <c r="FD24" s="1" t="n">
        <f aca="false">FD$7*EXP(-FB24/FD$8)</f>
        <v>0.000747206605568118</v>
      </c>
      <c r="FE24" s="1" t="n">
        <f aca="false">(FC24-FD24)^2</f>
        <v>5.58317711404629E-007</v>
      </c>
      <c r="FG24" s="1" t="n">
        <f aca="false">$AM24</f>
        <v>13</v>
      </c>
      <c r="FH24" s="1" t="n">
        <f aca="false">DA24</f>
        <v>0</v>
      </c>
      <c r="FI24" s="1" t="n">
        <f aca="false">FI$7*EXP(-FG24/FI$8)</f>
        <v>0.00401364698193082</v>
      </c>
      <c r="FJ24" s="1" t="n">
        <f aca="false">(FH24-FI24)^2</f>
        <v>1.61093620955624E-005</v>
      </c>
      <c r="FL24" s="1" t="n">
        <f aca="false">EM24</f>
        <v>13</v>
      </c>
      <c r="FM24" s="1" t="n">
        <f aca="false">DJ24</f>
        <v>0</v>
      </c>
      <c r="FN24" s="1" t="n">
        <f aca="false">FN$7*EXP(-FL24/FN$8)</f>
        <v>0.0292794835133377</v>
      </c>
      <c r="FO24" s="1" t="n">
        <f aca="false">(FM24-FN24)^2</f>
        <v>0.000857288154807814</v>
      </c>
      <c r="FQ24" s="1" t="n">
        <f aca="false">AM24</f>
        <v>13</v>
      </c>
      <c r="FR24" s="1" t="n">
        <f aca="false">AN24/AN$9*100</f>
        <v>0</v>
      </c>
      <c r="FS24" s="1" t="n">
        <f aca="false">AO24/AO$9*100</f>
        <v>0</v>
      </c>
      <c r="FT24" s="1" t="n">
        <f aca="false">AQ24/AQ$9*100</f>
        <v>0</v>
      </c>
      <c r="FU24" s="1" t="n">
        <f aca="false">AR24/AR$9*100</f>
        <v>0</v>
      </c>
      <c r="FV24" s="1" t="n">
        <f aca="false">AT24/AT$9*100</f>
        <v>0</v>
      </c>
      <c r="FW24" s="1" t="n">
        <f aca="false">AU24/AU$9*100</f>
        <v>0</v>
      </c>
      <c r="FX24" s="1" t="n">
        <f aca="false">AW24/AW$9*100</f>
        <v>0</v>
      </c>
      <c r="FY24" s="1" t="n">
        <f aca="false">AX24/AX$9*100</f>
        <v>0</v>
      </c>
      <c r="FZ24" s="1" t="n">
        <f aca="false">AZ24/AZ$9*100</f>
        <v>0</v>
      </c>
      <c r="GA24" s="1" t="n">
        <f aca="false">BA24/BA$9*100</f>
        <v>0</v>
      </c>
      <c r="GB24" s="1" t="n">
        <f aca="false">BC24/BC$9*100</f>
        <v>0</v>
      </c>
      <c r="GC24" s="1" t="n">
        <f aca="false">BD24/BD$9*100</f>
        <v>0</v>
      </c>
      <c r="GD24" s="1" t="n">
        <f aca="false">BF24/BF$9*100</f>
        <v>0</v>
      </c>
      <c r="GE24" s="1" t="n">
        <f aca="false">BG24/BG$9*100</f>
        <v>1.50753768844221</v>
      </c>
      <c r="GF24" s="1" t="n">
        <f aca="false">BI24/BI$9*100</f>
        <v>0</v>
      </c>
      <c r="GG24" s="1" t="n">
        <f aca="false">BJ24/BJ$9*100</f>
        <v>0</v>
      </c>
      <c r="GH24" s="1" t="n">
        <f aca="false">BL24/BL$9*100</f>
        <v>1.27388535031847</v>
      </c>
      <c r="GI24" s="1" t="n">
        <f aca="false">BM24/BM$9*100</f>
        <v>0.636942675159236</v>
      </c>
      <c r="GJ24" s="1" t="n">
        <f aca="false">BO24/BO$9*100</f>
        <v>0</v>
      </c>
      <c r="GK24" s="1" t="n">
        <f aca="false">BP24/BP$9*100</f>
        <v>0</v>
      </c>
      <c r="GL24" s="1" t="n">
        <f aca="false">BR24/BR$9*100</f>
        <v>0.50251256281407</v>
      </c>
      <c r="GM24" s="1" t="n">
        <f aca="false">BS24/BS$9*100</f>
        <v>1.50753768844221</v>
      </c>
      <c r="GO24" s="1" t="n">
        <f aca="false">$AM24</f>
        <v>13</v>
      </c>
      <c r="GP24" s="1" t="n">
        <f aca="false">FT24</f>
        <v>0</v>
      </c>
      <c r="GQ24" s="1" t="n">
        <f aca="false">GQ$6*(1+GQ$5*(-1)^$FQ24)*EXP(-$FQ24/GQ$4)</f>
        <v>0.00371027976768162</v>
      </c>
      <c r="GR24" s="1" t="n">
        <f aca="false">(GP24-GQ24)^2</f>
        <v>1.37661759544676E-005</v>
      </c>
      <c r="GS24" s="1" t="n">
        <f aca="false">EXP($FQ24/$JG$4)*GP24</f>
        <v>0</v>
      </c>
      <c r="GT24" s="1" t="n">
        <f aca="false">EXP($FQ24/$JG$4)*(-1)^$FQ24*GP24</f>
        <v>-0</v>
      </c>
      <c r="GU24" s="1" t="n">
        <f aca="false">(-1)^GO24*GP24</f>
        <v>-0</v>
      </c>
      <c r="GW24" s="1" t="n">
        <f aca="false">$AM24</f>
        <v>13</v>
      </c>
      <c r="GX24" s="1" t="n">
        <f aca="false">FX24</f>
        <v>0</v>
      </c>
      <c r="GY24" s="1" t="n">
        <f aca="false">GY$6*(1+GY$5*(-1)^$FQ24)*EXP(-$FQ24/GY$4)</f>
        <v>0.00371027976768162</v>
      </c>
      <c r="GZ24" s="1" t="n">
        <f aca="false">(GX24-GY24)^2</f>
        <v>1.37661759544676E-005</v>
      </c>
      <c r="HA24" s="1" t="n">
        <f aca="false">EXP($FQ24/$JG$4)*GX24</f>
        <v>0</v>
      </c>
      <c r="HB24" s="1" t="n">
        <f aca="false">EXP($FQ24/$JG$4)*(-1)^$FQ24*GX24</f>
        <v>-0</v>
      </c>
      <c r="HC24" s="1" t="n">
        <f aca="false">(-1)^GW24*GX24</f>
        <v>-0</v>
      </c>
      <c r="HE24" s="1" t="n">
        <f aca="false">$AM24</f>
        <v>13</v>
      </c>
      <c r="HF24" s="1" t="n">
        <f aca="false">GB24</f>
        <v>0</v>
      </c>
      <c r="HG24" s="1" t="n">
        <f aca="false">HG$6*(1+HG$5*(-1)^$FQ24)*EXP(-$FQ24/HG$4)</f>
        <v>0.00371027976768162</v>
      </c>
      <c r="HH24" s="1" t="n">
        <f aca="false">(HF24-HG24)^2</f>
        <v>1.37661759544676E-005</v>
      </c>
      <c r="HI24" s="1" t="n">
        <f aca="false">EXP($FQ24/$JG$4)*HF24</f>
        <v>0</v>
      </c>
      <c r="HJ24" s="1" t="n">
        <f aca="false">EXP($FQ24/$JG$4)*(-1)^$FQ24*HF24</f>
        <v>-0</v>
      </c>
      <c r="HK24" s="1" t="n">
        <f aca="false">(-1)^HE24*HF24</f>
        <v>-0</v>
      </c>
      <c r="HM24" s="1" t="n">
        <f aca="false">$AM24</f>
        <v>13</v>
      </c>
      <c r="HN24" s="1" t="n">
        <f aca="false">GF24</f>
        <v>0</v>
      </c>
      <c r="HO24" s="1" t="n">
        <f aca="false">HO$6*(1+HO$5*(-1)^$FQ24)*EXP(-$FQ24/HO$4)</f>
        <v>0.0150928491394726</v>
      </c>
      <c r="HP24" s="1" t="n">
        <f aca="false">(HN24-HO24)^2</f>
        <v>0.000227794095146879</v>
      </c>
      <c r="HQ24" s="1" t="n">
        <f aca="false">EXP($FQ24/$JG$4)*HN24</f>
        <v>0</v>
      </c>
      <c r="HR24" s="1" t="n">
        <f aca="false">EXP($FQ24/$JG$4)*(-1)^$FQ24*HN24</f>
        <v>-0</v>
      </c>
      <c r="HS24" s="1" t="n">
        <f aca="false">(-1)^HM24*HN24</f>
        <v>-0</v>
      </c>
      <c r="HU24" s="1" t="n">
        <f aca="false">$AM24</f>
        <v>13</v>
      </c>
      <c r="HV24" s="1" t="n">
        <f aca="false">GJ24</f>
        <v>0</v>
      </c>
      <c r="HW24" s="1" t="n">
        <f aca="false">HW$6*(1+HW$5*(-1)^$FQ24)*EXP(-$FQ24/HW$4)</f>
        <v>0.0991690787478119</v>
      </c>
      <c r="HX24" s="1" t="n">
        <f aca="false">(HV24-HW24)^2</f>
        <v>0.00983450617968972</v>
      </c>
      <c r="HY24" s="1" t="n">
        <f aca="false">EXP($FQ24/$JG$4)*HV24</f>
        <v>0</v>
      </c>
      <c r="HZ24" s="1" t="n">
        <f aca="false">EXP($FQ24/$JG$4)*(-1)^$FQ24*HV24</f>
        <v>-0</v>
      </c>
      <c r="IA24" s="1" t="n">
        <f aca="false">(-1)^HU24*HV24</f>
        <v>-0</v>
      </c>
      <c r="IB24" s="1" t="n">
        <v>0.006398</v>
      </c>
      <c r="ID24" s="1" t="n">
        <f aca="false">$AM24</f>
        <v>13</v>
      </c>
      <c r="IE24" s="1" t="n">
        <f aca="false">FZ24</f>
        <v>0</v>
      </c>
      <c r="IF24" s="1" t="n">
        <f aca="false">IF$6*(1+IF$5*(-1)^$FQ24)*EXP(-$FQ24/IF$4)</f>
        <v>0.372747718193689</v>
      </c>
      <c r="IG24" s="1" t="n">
        <f aca="false">(IE24-IF24)^2</f>
        <v>0.138940861418602</v>
      </c>
      <c r="IH24" s="1" t="n">
        <f aca="false">EXP($FQ24/$JG$4)*IE24</f>
        <v>0</v>
      </c>
      <c r="II24" s="1" t="n">
        <f aca="false">EXP($FQ24/$JG$4)*(-1)^$FQ24*IE24</f>
        <v>-0</v>
      </c>
      <c r="IJ24" s="1" t="n">
        <f aca="false">(-1)^ID24*IE24</f>
        <v>-0</v>
      </c>
      <c r="IK24" s="1" t="n">
        <v>0.017582</v>
      </c>
      <c r="IM24" s="1" t="n">
        <f aca="false">$AM24</f>
        <v>13</v>
      </c>
      <c r="IN24" s="1" t="n">
        <f aca="false">GD24</f>
        <v>0</v>
      </c>
      <c r="IO24" s="1" t="n">
        <f aca="false">IO$6*(1+IO$5*(-1)^$FQ24)*EXP(-$FQ24/IO$4)</f>
        <v>0.535942224712961</v>
      </c>
      <c r="IP24" s="1" t="n">
        <f aca="false">(IN24-IO24)^2</f>
        <v>0.287234068230278</v>
      </c>
      <c r="IQ24" s="1" t="n">
        <f aca="false">EXP($FQ24/$JG$4)*IN24</f>
        <v>0</v>
      </c>
      <c r="IR24" s="1" t="n">
        <f aca="false">EXP($FQ24/$JG$4)*(-1)^$FQ24*IN24</f>
        <v>-0</v>
      </c>
      <c r="IS24" s="1" t="n">
        <f aca="false">(-1)^IM24*IN24</f>
        <v>-0</v>
      </c>
      <c r="IT24" s="1" t="n">
        <v>0.069341</v>
      </c>
      <c r="IV24" s="1" t="n">
        <f aca="false">$AM24</f>
        <v>13</v>
      </c>
      <c r="IW24" s="1" t="n">
        <f aca="false">GH24</f>
        <v>1.27388535031847</v>
      </c>
      <c r="IX24" s="1" t="n">
        <f aca="false">IX$6*(1+IX$5*(-1)^$FQ24)*EXP(-$FQ24/IX$4)</f>
        <v>0.756408746570304</v>
      </c>
      <c r="IY24" s="1" t="n">
        <f aca="false">(IW24-IX24)^2</f>
        <v>0.267782035426738</v>
      </c>
      <c r="IZ24" s="1" t="n">
        <f aca="false">EXP($FQ24/$JG$4)*IW24</f>
        <v>26.5612859112597</v>
      </c>
      <c r="JA24" s="1" t="n">
        <f aca="false">EXP($FQ24/$JG$4)*(-1)^$FQ24*IW24</f>
        <v>-26.5612859112597</v>
      </c>
      <c r="JB24" s="1" t="n">
        <f aca="false">(-1)^IV24*IW24</f>
        <v>-1.27388535031847</v>
      </c>
      <c r="JC24" s="1" t="n">
        <v>1.211962</v>
      </c>
      <c r="JE24" s="1" t="n">
        <f aca="false">$AM24</f>
        <v>13</v>
      </c>
      <c r="JF24" s="1" t="n">
        <f aca="false">GL24</f>
        <v>0.50251256281407</v>
      </c>
      <c r="JG24" s="1" t="n">
        <f aca="false">JG$6*(1+JG$5*(-1)^$FQ24)*EXP(-$FQ24/JG$4)</f>
        <v>0.365772429766165</v>
      </c>
      <c r="JH24" s="1" t="n">
        <f aca="false">(JF24-JG24)^2</f>
        <v>0.0186978639859589</v>
      </c>
      <c r="JI24" s="1" t="n">
        <f aca="false">EXP($FQ24/$JG$4)*JF24</f>
        <v>10.4776931860999</v>
      </c>
      <c r="JJ24" s="1" t="n">
        <f aca="false">EXP($FQ24/$JG$4)*(-1)^$FQ24*JF24</f>
        <v>-10.4776931860999</v>
      </c>
      <c r="JK24" s="1" t="n">
        <f aca="false">(-1)^JE24*JF24</f>
        <v>-0.50251256281407</v>
      </c>
      <c r="JL24" s="1" t="n">
        <v>1.098569</v>
      </c>
      <c r="JO24" s="1" t="n">
        <f aca="false">$AM24</f>
        <v>13</v>
      </c>
      <c r="JP24" s="1" t="n">
        <f aca="false">GM24</f>
        <v>1.50753768844221</v>
      </c>
      <c r="JQ24" s="1" t="n">
        <f aca="false">JQ$6*(1+JQ$5*(-1)^$FQ24)*EXP(-$FQ24/JQ$4)</f>
        <v>0.968347543186854</v>
      </c>
      <c r="JR24" s="1" t="n">
        <f aca="false">(JP24-JQ24)^2</f>
        <v>0.290726012740493</v>
      </c>
      <c r="JS24" s="1" t="n">
        <f aca="false">EXP($FQ24/$JG$4)*JP24</f>
        <v>31.4330795582998</v>
      </c>
      <c r="JT24" s="1" t="n">
        <f aca="false">EXP($FQ24/$JG$4)*(-1)^$FQ24*JP24</f>
        <v>-31.4330795582998</v>
      </c>
      <c r="JU24" s="1" t="n">
        <f aca="false">(-1)^JO24*JP24</f>
        <v>-1.50753768844221</v>
      </c>
    </row>
    <row r="25" customFormat="false" ht="16" hidden="false" customHeight="false" outlineLevel="0" collapsed="false">
      <c r="A25" s="1" t="n">
        <v>1</v>
      </c>
      <c r="B25" s="1" t="n">
        <v>1</v>
      </c>
      <c r="C25" s="1" t="n">
        <f aca="false">B25-A25</f>
        <v>0</v>
      </c>
      <c r="D25" s="1" t="n">
        <v>1</v>
      </c>
      <c r="E25" s="1" t="n">
        <v>1</v>
      </c>
      <c r="F25" s="1" t="n">
        <f aca="false">E25-D25</f>
        <v>0</v>
      </c>
      <c r="G25" s="1" t="n">
        <v>2</v>
      </c>
      <c r="H25" s="1" t="n">
        <v>2</v>
      </c>
      <c r="I25" s="1" t="n">
        <f aca="false">H25-G25</f>
        <v>0</v>
      </c>
      <c r="J25" s="1" t="n">
        <v>4</v>
      </c>
      <c r="K25" s="1" t="n">
        <v>6</v>
      </c>
      <c r="L25" s="1" t="n">
        <f aca="false">K25-J25</f>
        <v>2</v>
      </c>
      <c r="M25" s="1" t="n">
        <v>1</v>
      </c>
      <c r="N25" s="1" t="n">
        <v>4</v>
      </c>
      <c r="O25" s="1" t="n">
        <f aca="false">N25-M25</f>
        <v>3</v>
      </c>
      <c r="P25" s="1" t="n">
        <v>4</v>
      </c>
      <c r="Q25" s="1" t="n">
        <v>4</v>
      </c>
      <c r="R25" s="1" t="n">
        <f aca="false">Q25-P25</f>
        <v>0</v>
      </c>
      <c r="S25" s="1" t="n">
        <v>3</v>
      </c>
      <c r="T25" s="1" t="n">
        <v>5</v>
      </c>
      <c r="U25" s="1" t="n">
        <f aca="false">T25-S25</f>
        <v>2</v>
      </c>
      <c r="V25" s="1" t="n">
        <v>2</v>
      </c>
      <c r="W25" s="1" t="n">
        <v>4</v>
      </c>
      <c r="X25" s="1" t="n">
        <f aca="false">W25-V25</f>
        <v>2</v>
      </c>
      <c r="Y25" s="1" t="n">
        <v>2</v>
      </c>
      <c r="Z25" s="1" t="n">
        <v>2</v>
      </c>
      <c r="AA25" s="1" t="n">
        <f aca="false">Z25-Y25</f>
        <v>0</v>
      </c>
      <c r="AB25" s="1" t="n">
        <v>2</v>
      </c>
      <c r="AC25" s="1" t="n">
        <v>6</v>
      </c>
      <c r="AD25" s="1" t="n">
        <f aca="false">AC25-AB25</f>
        <v>4</v>
      </c>
      <c r="AE25" s="1" t="n">
        <v>4</v>
      </c>
      <c r="AF25" s="1" t="n">
        <v>4</v>
      </c>
      <c r="AG25" s="1" t="n">
        <f aca="false">AF25-AE25</f>
        <v>0</v>
      </c>
      <c r="AM25" s="1" t="n">
        <v>14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1</v>
      </c>
      <c r="BH25" s="1" t="n">
        <v>1</v>
      </c>
      <c r="BI25" s="1" t="n">
        <v>0</v>
      </c>
      <c r="BJ25" s="1" t="n">
        <v>0</v>
      </c>
      <c r="BK25" s="1" t="n">
        <v>0</v>
      </c>
      <c r="BL25" s="1" t="n">
        <v>3</v>
      </c>
      <c r="BM25" s="1" t="n">
        <v>3</v>
      </c>
      <c r="BN25" s="1" t="n">
        <v>1</v>
      </c>
      <c r="BO25" s="1" t="n">
        <v>0</v>
      </c>
      <c r="BP25" s="1" t="n">
        <v>1</v>
      </c>
      <c r="BQ25" s="1" t="n">
        <v>0</v>
      </c>
      <c r="BR25" s="1" t="n">
        <v>1</v>
      </c>
      <c r="BS25" s="1" t="n">
        <v>10</v>
      </c>
      <c r="BT25" s="1" t="n">
        <v>4</v>
      </c>
      <c r="BW25" s="1" t="n">
        <f aca="false">$AM25</f>
        <v>14</v>
      </c>
      <c r="BX25" s="1" t="n">
        <f aca="false">MAX(BX24-AN25/AN$9*100,0)</f>
        <v>0</v>
      </c>
      <c r="BY25" s="1" t="n">
        <f aca="false">MAX(BY24-AO25/AO$9*100,0)</f>
        <v>0</v>
      </c>
      <c r="BZ25" s="1" t="n">
        <f aca="false">MAX(BZ24-AQ25/AQ$9*100,0)</f>
        <v>0</v>
      </c>
      <c r="CA25" s="1" t="n">
        <f aca="false">MAX(CA24-AR25/AR$9*100,0)</f>
        <v>0</v>
      </c>
      <c r="CB25" s="1" t="n">
        <f aca="false">CB$7*EXP(-$AM25/CB$8)</f>
        <v>2.65389037136543E-006</v>
      </c>
      <c r="CC25" s="1" t="n">
        <f aca="false">(BZ25-CB25)^2</f>
        <v>7.04313410322614E-012</v>
      </c>
      <c r="CD25" s="1" t="n">
        <f aca="false">MAX(CD24-AT25/AT$9*100,0)</f>
        <v>0</v>
      </c>
      <c r="CE25" s="1" t="n">
        <f aca="false">MAX(CE24-AU25/AU$9*100,0)</f>
        <v>5.32907051820075E-015</v>
      </c>
      <c r="CF25" s="1" t="n">
        <f aca="false">CF$7*EXP(-$AM25/CF$8)</f>
        <v>4.20521668571067E-006</v>
      </c>
      <c r="CG25" s="1" t="n">
        <f aca="false">(CD25-CF25)^2</f>
        <v>1.76838473737794E-011</v>
      </c>
      <c r="CH25" s="1" t="n">
        <f aca="false">$AM25</f>
        <v>14</v>
      </c>
      <c r="CI25" s="1" t="n">
        <f aca="false">MAX(CI24-AW25/AW$9*100,0)</f>
        <v>0</v>
      </c>
      <c r="CJ25" s="1" t="n">
        <f aca="false">MAX(CJ24-AX25/AX$9*100,0)</f>
        <v>0</v>
      </c>
      <c r="CK25" s="1" t="n">
        <f aca="false">CK$7*EXP(-$AM25/CK$8)</f>
        <v>0.00113170671832587</v>
      </c>
      <c r="CL25" s="1" t="n">
        <f aca="false">(CI25-CK25)^2</f>
        <v>1.28076009630391E-006</v>
      </c>
      <c r="CM25" s="1" t="n">
        <f aca="false">MAX(CM24-AZ25/AZ$9*100,0)</f>
        <v>0</v>
      </c>
      <c r="CN25" s="1" t="n">
        <f aca="false">MAX(CN24-BA25/BA$9*100,0)</f>
        <v>5.32907051820075E-015</v>
      </c>
      <c r="CO25" s="1" t="n">
        <f aca="false">CO$7*EXP(-$AM25/CO$8)</f>
        <v>0.158750720514205</v>
      </c>
      <c r="CP25" s="1" t="n">
        <f aca="false">(CM25-CO25)^2</f>
        <v>0.0252017912637792</v>
      </c>
      <c r="CQ25" s="1" t="n">
        <f aca="false">$AM25</f>
        <v>14</v>
      </c>
      <c r="CR25" s="1" t="n">
        <f aca="false">MAX(CR24-BC25/BC$9*100,0)</f>
        <v>0</v>
      </c>
      <c r="CS25" s="1" t="n">
        <f aca="false">MAX(CS24-BD25/BD$9*100,0)</f>
        <v>0</v>
      </c>
      <c r="CT25" s="1" t="n">
        <f aca="false">CT$7*EXP(-$AM25/CT$8)</f>
        <v>0.00239783397281144</v>
      </c>
      <c r="CU25" s="1" t="n">
        <f aca="false">(CR25-CT25)^2</f>
        <v>5.7496077611687E-006</v>
      </c>
      <c r="CV25" s="1" t="n">
        <f aca="false">MAX(CV24-BF25/BF$9*100,0)</f>
        <v>8.88178419700125E-015</v>
      </c>
      <c r="CW25" s="1" t="n">
        <f aca="false">MAX(CW24-BG25/BG$9*100,0)</f>
        <v>3.5175879396985</v>
      </c>
      <c r="CX25" s="1" t="n">
        <f aca="false">CX$7*EXP(-$AM25/CX$8)</f>
        <v>0.414230884548175</v>
      </c>
      <c r="CY25" s="1" t="n">
        <f aca="false">(CV25-CX25)^2</f>
        <v>0.171587225713556</v>
      </c>
      <c r="CZ25" s="1" t="n">
        <f aca="false">$AM25</f>
        <v>14</v>
      </c>
      <c r="DA25" s="1" t="n">
        <f aca="false">MAX(DA24-BI25/BI$9*100,0)</f>
        <v>0</v>
      </c>
      <c r="DB25" s="1" t="n">
        <f aca="false">MAX(DB24-BJ25/BJ$9*100,0)</f>
        <v>9.88098491916389E-015</v>
      </c>
      <c r="DC25" s="1" t="n">
        <f aca="false">DC$7*EXP(-$AM25/DC$8)</f>
        <v>0.00583544771506406</v>
      </c>
      <c r="DD25" s="1" t="n">
        <f aca="false">(DA25-DC25)^2</f>
        <v>3.40524500352464E-005</v>
      </c>
      <c r="DE25" s="1" t="n">
        <f aca="false">MAX(DE24-BL25/BL$9*100,0)</f>
        <v>3.82165605095541</v>
      </c>
      <c r="DF25" s="1" t="n">
        <f aca="false">MAX(DF24-BM25/BM$9*100,0)</f>
        <v>17.1974522292994</v>
      </c>
      <c r="DG25" s="1" t="n">
        <f aca="false">DG$7*EXP(-$AM25/DG$8)</f>
        <v>3.63878470238938</v>
      </c>
      <c r="DH25" s="1" t="n">
        <f aca="false">(DE25-DG25)^2</f>
        <v>0.0334419301263585</v>
      </c>
      <c r="DI25" s="1" t="n">
        <f aca="false">$AM25</f>
        <v>14</v>
      </c>
      <c r="DJ25" s="1" t="n">
        <f aca="false">MAX(DJ24-BO25/BO$9*100,0)</f>
        <v>0</v>
      </c>
      <c r="DK25" s="1" t="n">
        <f aca="false">MAX(DK24-BP25/BP$9*100,0)</f>
        <v>9.99200722162641E-015</v>
      </c>
      <c r="DL25" s="1" t="n">
        <f aca="false">DL$7*EXP(-$AM25/DL$8)</f>
        <v>0.0279225196136316</v>
      </c>
      <c r="DM25" s="1" t="n">
        <f aca="false">(DJ25-DL25)^2</f>
        <v>0.000779667101573641</v>
      </c>
      <c r="DN25" s="1" t="n">
        <f aca="false">MAX(DN24-BR25/BR$9*100,0)</f>
        <v>3.01507537688442</v>
      </c>
      <c r="DO25" s="1" t="n">
        <f aca="false">MAX(DO24-BS25/BS$9*100,0)</f>
        <v>20.1005025125628</v>
      </c>
      <c r="DP25" s="1" t="n">
        <f aca="false">DP$7*EXP(-$AM25/DP$8)</f>
        <v>2.31177442500518</v>
      </c>
      <c r="DQ25" s="1" t="n">
        <f aca="false">(DN25-DP25)^2</f>
        <v>0.49463222891425</v>
      </c>
      <c r="DS25" s="1" t="n">
        <f aca="false">$AM25</f>
        <v>14</v>
      </c>
      <c r="DT25" s="1" t="n">
        <f aca="false">CA25</f>
        <v>0</v>
      </c>
      <c r="DU25" s="1" t="n">
        <f aca="false">DU$7*EXP(-DS25/DU$8)</f>
        <v>8.79062642723945E-005</v>
      </c>
      <c r="DV25" s="1" t="n">
        <f aca="false">(DT25-DU25)^2</f>
        <v>7.72751129832806E-009</v>
      </c>
      <c r="DX25" s="1" t="n">
        <f aca="false">$AM25</f>
        <v>14</v>
      </c>
      <c r="DY25" s="1" t="n">
        <f aca="false">CM25</f>
        <v>0</v>
      </c>
      <c r="DZ25" s="1" t="n">
        <f aca="false">DZ$7*EXP(-DX25/DZ$8)</f>
        <v>0.0606537687439213</v>
      </c>
      <c r="EA25" s="1" t="n">
        <f aca="false">(DY25-DZ25)^2</f>
        <v>0.00367887966284109</v>
      </c>
      <c r="EC25" s="1" t="n">
        <f aca="false">$AM25</f>
        <v>14</v>
      </c>
      <c r="ED25" s="1" t="n">
        <f aca="false">CV25</f>
        <v>8.88178419700125E-015</v>
      </c>
      <c r="EE25" s="1" t="n">
        <f aca="false">EE$7*EXP(-EC25/EE$8)</f>
        <v>0.314204867893676</v>
      </c>
      <c r="EF25" s="1" t="n">
        <f aca="false">(ED25-EE25)^2</f>
        <v>0.0987246990080768</v>
      </c>
      <c r="EH25" s="1" t="n">
        <f aca="false">$AM25</f>
        <v>14</v>
      </c>
      <c r="EI25" s="1" t="n">
        <f aca="false">DE25</f>
        <v>3.82165605095541</v>
      </c>
      <c r="EJ25" s="1" t="n">
        <f aca="false">EJ$7*EXP(-EH25/EJ$8)</f>
        <v>3.62368601067822</v>
      </c>
      <c r="EK25" s="1" t="n">
        <f aca="false">(EI25-EJ25)^2</f>
        <v>0.0391921368473523</v>
      </c>
      <c r="EM25" s="1" t="n">
        <f aca="false">AM25</f>
        <v>14</v>
      </c>
      <c r="EN25" s="1" t="n">
        <f aca="false">DN25</f>
        <v>3.01507537688442</v>
      </c>
      <c r="EO25" s="1" t="n">
        <f aca="false">EO$7*EXP(-EM25/EO$8)</f>
        <v>2.59056320159627</v>
      </c>
      <c r="EP25" s="1" t="n">
        <f aca="false">(EN25-EO25)^2</f>
        <v>0.18021058696788</v>
      </c>
      <c r="ER25" s="1" t="n">
        <f aca="false">$AM25</f>
        <v>14</v>
      </c>
      <c r="ES25" s="1" t="n">
        <f aca="false">BZ25</f>
        <v>0</v>
      </c>
      <c r="ET25" s="1" t="n">
        <f aca="false">ET$7*EXP(-ER25/ET$8)</f>
        <v>1.0573279790537E-005</v>
      </c>
      <c r="EU25" s="1" t="n">
        <f aca="false">(ES25-ET25)^2</f>
        <v>1.11794245528978E-010</v>
      </c>
      <c r="EW25" s="1" t="n">
        <f aca="false">$AM25</f>
        <v>14</v>
      </c>
      <c r="EX25" s="1" t="n">
        <f aca="false">CI25</f>
        <v>0</v>
      </c>
      <c r="EY25" s="1" t="n">
        <f aca="false">EY$7*EXP(-EW25/EY$8)</f>
        <v>5.10167180491643E-005</v>
      </c>
      <c r="EZ25" s="1" t="n">
        <f aca="false">(EX25-EY25)^2</f>
        <v>2.60270552050793E-009</v>
      </c>
      <c r="FB25" s="1" t="n">
        <f aca="false">$AM25</f>
        <v>14</v>
      </c>
      <c r="FC25" s="1" t="n">
        <f aca="false">CR25</f>
        <v>0</v>
      </c>
      <c r="FD25" s="1" t="n">
        <f aca="false">FD$7*EXP(-FB25/FD$8)</f>
        <v>0.000288288229031645</v>
      </c>
      <c r="FE25" s="1" t="n">
        <f aca="false">(FC25-FD25)^2</f>
        <v>8.31101029982022E-008</v>
      </c>
      <c r="FG25" s="1" t="n">
        <f aca="false">$AM25</f>
        <v>14</v>
      </c>
      <c r="FH25" s="1" t="n">
        <f aca="false">DA25</f>
        <v>0</v>
      </c>
      <c r="FI25" s="1" t="n">
        <f aca="false">FI$7*EXP(-FG25/FI$8)</f>
        <v>0.00175637850022469</v>
      </c>
      <c r="FJ25" s="1" t="n">
        <f aca="false">(FH25-FI25)^2</f>
        <v>3.08486543605153E-006</v>
      </c>
      <c r="FL25" s="1" t="n">
        <f aca="false">EM25</f>
        <v>14</v>
      </c>
      <c r="FM25" s="1" t="n">
        <f aca="false">DJ25</f>
        <v>0</v>
      </c>
      <c r="FN25" s="1" t="n">
        <f aca="false">FN$7*EXP(-FL25/FN$8)</f>
        <v>0.0150325880721801</v>
      </c>
      <c r="FO25" s="1" t="n">
        <f aca="false">(FM25-FN25)^2</f>
        <v>0.000225978704147851</v>
      </c>
      <c r="FQ25" s="1" t="n">
        <f aca="false">AM25</f>
        <v>14</v>
      </c>
      <c r="FR25" s="1" t="n">
        <f aca="false">AN25/AN$9*100</f>
        <v>0</v>
      </c>
      <c r="FS25" s="1" t="n">
        <f aca="false">AO25/AO$9*100</f>
        <v>0</v>
      </c>
      <c r="FT25" s="1" t="n">
        <f aca="false">AQ25/AQ$9*100</f>
        <v>0</v>
      </c>
      <c r="FU25" s="1" t="n">
        <f aca="false">AR25/AR$9*100</f>
        <v>0</v>
      </c>
      <c r="FV25" s="1" t="n">
        <f aca="false">AT25/AT$9*100</f>
        <v>0</v>
      </c>
      <c r="FW25" s="1" t="n">
        <f aca="false">AU25/AU$9*100</f>
        <v>0</v>
      </c>
      <c r="FX25" s="1" t="n">
        <f aca="false">AW25/AW$9*100</f>
        <v>0</v>
      </c>
      <c r="FY25" s="1" t="n">
        <f aca="false">AX25/AX$9*100</f>
        <v>0</v>
      </c>
      <c r="FZ25" s="1" t="n">
        <f aca="false">AZ25/AZ$9*100</f>
        <v>0</v>
      </c>
      <c r="GA25" s="1" t="n">
        <f aca="false">BA25/BA$9*100</f>
        <v>0</v>
      </c>
      <c r="GB25" s="1" t="n">
        <f aca="false">BC25/BC$9*100</f>
        <v>0</v>
      </c>
      <c r="GC25" s="1" t="n">
        <f aca="false">BD25/BD$9*100</f>
        <v>0</v>
      </c>
      <c r="GD25" s="1" t="n">
        <f aca="false">BF25/BF$9*100</f>
        <v>0</v>
      </c>
      <c r="GE25" s="1" t="n">
        <f aca="false">BG25/BG$9*100</f>
        <v>0.50251256281407</v>
      </c>
      <c r="GF25" s="1" t="n">
        <f aca="false">BI25/BI$9*100</f>
        <v>0</v>
      </c>
      <c r="GG25" s="1" t="n">
        <f aca="false">BJ25/BJ$9*100</f>
        <v>0</v>
      </c>
      <c r="GH25" s="1" t="n">
        <f aca="false">BL25/BL$9*100</f>
        <v>1.91082802547771</v>
      </c>
      <c r="GI25" s="1" t="n">
        <f aca="false">BM25/BM$9*100</f>
        <v>1.91082802547771</v>
      </c>
      <c r="GJ25" s="1" t="n">
        <f aca="false">BO25/BO$9*100</f>
        <v>0</v>
      </c>
      <c r="GK25" s="1" t="n">
        <f aca="false">BP25/BP$9*100</f>
        <v>0.512820512820513</v>
      </c>
      <c r="GL25" s="1" t="n">
        <f aca="false">BR25/BR$9*100</f>
        <v>0.50251256281407</v>
      </c>
      <c r="GM25" s="1" t="n">
        <f aca="false">BS25/BS$9*100</f>
        <v>5.0251256281407</v>
      </c>
      <c r="GO25" s="1" t="n">
        <f aca="false">$AM25</f>
        <v>14</v>
      </c>
      <c r="GP25" s="1" t="n">
        <f aca="false">FT25</f>
        <v>0</v>
      </c>
      <c r="GQ25" s="1" t="n">
        <f aca="false">GQ$6*(1+GQ$5*(-1)^$FQ25)*EXP(-$FQ25/GQ$4)</f>
        <v>0.00508173225477985</v>
      </c>
      <c r="GR25" s="1" t="n">
        <f aca="false">(GP25-GQ25)^2</f>
        <v>2.58240027092699E-005</v>
      </c>
      <c r="GS25" s="1" t="n">
        <f aca="false">EXP($FQ25/$JG$4)*GP25</f>
        <v>0</v>
      </c>
      <c r="GT25" s="1" t="n">
        <f aca="false">EXP($FQ25/$JG$4)*(-1)^$FQ25*GP25</f>
        <v>0</v>
      </c>
      <c r="GU25" s="1" t="n">
        <f aca="false">(-1)^GO25*GP25</f>
        <v>0</v>
      </c>
      <c r="GW25" s="1" t="n">
        <f aca="false">$AM25</f>
        <v>14</v>
      </c>
      <c r="GX25" s="1" t="n">
        <f aca="false">FX25</f>
        <v>0</v>
      </c>
      <c r="GY25" s="1" t="n">
        <f aca="false">GY$6*(1+GY$5*(-1)^$FQ25)*EXP(-$FQ25/GY$4)</f>
        <v>0.00508173225477985</v>
      </c>
      <c r="GZ25" s="1" t="n">
        <f aca="false">(GX25-GY25)^2</f>
        <v>2.58240027092699E-005</v>
      </c>
      <c r="HA25" s="1" t="n">
        <f aca="false">EXP($FQ25/$JG$4)*GX25</f>
        <v>0</v>
      </c>
      <c r="HB25" s="1" t="n">
        <f aca="false">EXP($FQ25/$JG$4)*(-1)^$FQ25*GX25</f>
        <v>0</v>
      </c>
      <c r="HC25" s="1" t="n">
        <f aca="false">(-1)^GW25*GX25</f>
        <v>0</v>
      </c>
      <c r="HE25" s="1" t="n">
        <f aca="false">$AM25</f>
        <v>14</v>
      </c>
      <c r="HF25" s="1" t="n">
        <f aca="false">GB25</f>
        <v>0</v>
      </c>
      <c r="HG25" s="1" t="n">
        <f aca="false">HG$6*(1+HG$5*(-1)^$FQ25)*EXP(-$FQ25/HG$4)</f>
        <v>0.00508173225477985</v>
      </c>
      <c r="HH25" s="1" t="n">
        <f aca="false">(HF25-HG25)^2</f>
        <v>2.58240027092699E-005</v>
      </c>
      <c r="HI25" s="1" t="n">
        <f aca="false">EXP($FQ25/$JG$4)*HF25</f>
        <v>0</v>
      </c>
      <c r="HJ25" s="1" t="n">
        <f aca="false">EXP($FQ25/$JG$4)*(-1)^$FQ25*HF25</f>
        <v>0</v>
      </c>
      <c r="HK25" s="1" t="n">
        <f aca="false">(-1)^HE25*HF25</f>
        <v>0</v>
      </c>
      <c r="HM25" s="1" t="n">
        <f aca="false">$AM25</f>
        <v>14</v>
      </c>
      <c r="HN25" s="1" t="n">
        <f aca="false">GF25</f>
        <v>0</v>
      </c>
      <c r="HO25" s="1" t="n">
        <f aca="false">HO$6*(1+HO$5*(-1)^$FQ25)*EXP(-$FQ25/HO$4)</f>
        <v>0.0377794822972348</v>
      </c>
      <c r="HP25" s="1" t="n">
        <f aca="false">(HN25-HO25)^2</f>
        <v>0.00142728928264708</v>
      </c>
      <c r="HQ25" s="1" t="n">
        <f aca="false">EXP($FQ25/$JG$4)*HN25</f>
        <v>0</v>
      </c>
      <c r="HR25" s="1" t="n">
        <f aca="false">EXP($FQ25/$JG$4)*(-1)^$FQ25*HN25</f>
        <v>0</v>
      </c>
      <c r="HS25" s="1" t="n">
        <f aca="false">(-1)^HM25*HN25</f>
        <v>0</v>
      </c>
      <c r="HU25" s="1" t="n">
        <f aca="false">$AM25</f>
        <v>14</v>
      </c>
      <c r="HV25" s="1" t="n">
        <f aca="false">GJ25</f>
        <v>0</v>
      </c>
      <c r="HW25" s="1" t="n">
        <f aca="false">HW$6*(1+HW$5*(-1)^$FQ25)*EXP(-$FQ25/HW$4)</f>
        <v>0.191131308727882</v>
      </c>
      <c r="HX25" s="1" t="n">
        <f aca="false">(HV25-HW25)^2</f>
        <v>0.0365311771760329</v>
      </c>
      <c r="HY25" s="1" t="n">
        <f aca="false">EXP($FQ25/$JG$4)*HV25</f>
        <v>0</v>
      </c>
      <c r="HZ25" s="1" t="n">
        <f aca="false">EXP($FQ25/$JG$4)*(-1)^$FQ25*HV25</f>
        <v>0</v>
      </c>
      <c r="IA25" s="1" t="n">
        <f aca="false">(-1)^HU25*HV25</f>
        <v>0</v>
      </c>
      <c r="IB25" s="1" t="n">
        <v>0.002504</v>
      </c>
      <c r="ID25" s="1" t="n">
        <f aca="false">$AM25</f>
        <v>14</v>
      </c>
      <c r="IE25" s="1" t="n">
        <f aca="false">FZ25</f>
        <v>0</v>
      </c>
      <c r="IF25" s="1" t="n">
        <f aca="false">IF$6*(1+IF$5*(-1)^$FQ25)*EXP(-$FQ25/IF$4)</f>
        <v>0.518459915530208</v>
      </c>
      <c r="IG25" s="1" t="n">
        <f aca="false">(IE25-IF25)^2</f>
        <v>0.26880068401159</v>
      </c>
      <c r="IH25" s="1" t="n">
        <f aca="false">EXP($FQ25/$JG$4)*IE25</f>
        <v>0</v>
      </c>
      <c r="II25" s="1" t="n">
        <f aca="false">EXP($FQ25/$JG$4)*(-1)^$FQ25*IE25</f>
        <v>0</v>
      </c>
      <c r="IJ25" s="1" t="n">
        <f aca="false">(-1)^ID25*IE25</f>
        <v>0</v>
      </c>
      <c r="IK25" s="1" t="n">
        <v>0.006355</v>
      </c>
      <c r="IM25" s="1" t="n">
        <f aca="false">$AM25</f>
        <v>14</v>
      </c>
      <c r="IN25" s="1" t="n">
        <f aca="false">GD25</f>
        <v>0</v>
      </c>
      <c r="IO25" s="1" t="n">
        <f aca="false">IO$6*(1+IO$5*(-1)^$FQ25)*EXP(-$FQ25/IO$4)</f>
        <v>0.875817975893173</v>
      </c>
      <c r="IP25" s="1" t="n">
        <f aca="false">(IN25-IO25)^2</f>
        <v>0.767057126897615</v>
      </c>
      <c r="IQ25" s="1" t="n">
        <f aca="false">EXP($FQ25/$JG$4)*IN25</f>
        <v>0</v>
      </c>
      <c r="IR25" s="1" t="n">
        <f aca="false">EXP($FQ25/$JG$4)*(-1)^$FQ25*IN25</f>
        <v>0</v>
      </c>
      <c r="IS25" s="1" t="n">
        <f aca="false">(-1)^IM25*IN25</f>
        <v>0</v>
      </c>
      <c r="IT25" s="1" t="n">
        <v>0.030409</v>
      </c>
      <c r="IV25" s="1" t="n">
        <f aca="false">$AM25</f>
        <v>14</v>
      </c>
      <c r="IW25" s="1" t="n">
        <f aca="false">GH25</f>
        <v>1.91082802547771</v>
      </c>
      <c r="IX25" s="1" t="n">
        <f aca="false">IX$6*(1+IX$5*(-1)^$FQ25)*EXP(-$FQ25/IX$4)</f>
        <v>2.42020213699145</v>
      </c>
      <c r="IY25" s="1" t="n">
        <f aca="false">(IW25-IX25)^2</f>
        <v>0.259461985480415</v>
      </c>
      <c r="IZ25" s="1" t="n">
        <f aca="false">EXP($FQ25/$JG$4)*IW25</f>
        <v>50.3281572462236</v>
      </c>
      <c r="JA25" s="1" t="n">
        <f aca="false">EXP($FQ25/$JG$4)*(-1)^$FQ25*IW25</f>
        <v>50.3281572462236</v>
      </c>
      <c r="JB25" s="1" t="n">
        <f aca="false">(-1)^IV25*IW25</f>
        <v>1.91082802547771</v>
      </c>
      <c r="JC25" s="1" t="n">
        <v>0.540211</v>
      </c>
      <c r="JE25" s="1" t="n">
        <f aca="false">$AM25</f>
        <v>14</v>
      </c>
      <c r="JF25" s="1" t="n">
        <f aca="false">GL25</f>
        <v>0.50251256281407</v>
      </c>
      <c r="JG25" s="1" t="n">
        <f aca="false">JG$6*(1+JG$5*(-1)^$FQ25)*EXP(-$FQ25/JG$4)</f>
        <v>1.89580602483481</v>
      </c>
      <c r="JH25" s="1" t="n">
        <f aca="false">(JF25-JG25)^2</f>
        <v>1.94126667130974</v>
      </c>
      <c r="JI25" s="1" t="n">
        <f aca="false">EXP($FQ25/$JG$4)*JF25</f>
        <v>13.2353780362766</v>
      </c>
      <c r="JJ25" s="1" t="n">
        <f aca="false">EXP($FQ25/$JG$4)*(-1)^$FQ25*JF25</f>
        <v>13.2353780362766</v>
      </c>
      <c r="JK25" s="1" t="n">
        <f aca="false">(-1)^JE25*JF25</f>
        <v>0.50251256281407</v>
      </c>
      <c r="JL25" s="1" t="n">
        <v>0.31878</v>
      </c>
      <c r="JO25" s="1" t="n">
        <f aca="false">$AM25</f>
        <v>14</v>
      </c>
      <c r="JP25" s="1" t="n">
        <f aca="false">GM25</f>
        <v>5.0251256281407</v>
      </c>
      <c r="JQ25" s="1" t="n">
        <f aca="false">JQ$6*(1+JQ$5*(-1)^$FQ25)*EXP(-$FQ25/JQ$4)</f>
        <v>4.6929615920204</v>
      </c>
      <c r="JR25" s="1" t="n">
        <f aca="false">(JP25-JQ25)^2</f>
        <v>0.11033294689173</v>
      </c>
      <c r="JS25" s="1" t="n">
        <f aca="false">EXP($FQ25/$JG$4)*JP25</f>
        <v>132.353780362766</v>
      </c>
      <c r="JT25" s="1" t="n">
        <f aca="false">EXP($FQ25/$JG$4)*(-1)^$FQ25*JP25</f>
        <v>132.353780362766</v>
      </c>
      <c r="JU25" s="1" t="n">
        <f aca="false">(-1)^JO25*JP25</f>
        <v>5.0251256281407</v>
      </c>
    </row>
    <row r="26" customFormat="false" ht="16" hidden="false" customHeight="false" outlineLevel="0" collapsed="false">
      <c r="A26" s="1" t="n">
        <v>2</v>
      </c>
      <c r="B26" s="1" t="n">
        <v>2</v>
      </c>
      <c r="C26" s="1" t="n">
        <f aca="false">B26-A26</f>
        <v>0</v>
      </c>
      <c r="D26" s="1" t="n">
        <v>2</v>
      </c>
      <c r="E26" s="1" t="n">
        <v>2</v>
      </c>
      <c r="F26" s="1" t="n">
        <f aca="false">E26-D26</f>
        <v>0</v>
      </c>
      <c r="G26" s="1" t="n">
        <v>1</v>
      </c>
      <c r="H26" s="1" t="n">
        <v>1</v>
      </c>
      <c r="I26" s="1" t="n">
        <f aca="false">H26-G26</f>
        <v>0</v>
      </c>
      <c r="J26" s="1" t="n">
        <v>4</v>
      </c>
      <c r="K26" s="1" t="n">
        <v>4</v>
      </c>
      <c r="L26" s="1" t="n">
        <f aca="false">K26-J26</f>
        <v>0</v>
      </c>
      <c r="M26" s="1" t="n">
        <v>2</v>
      </c>
      <c r="N26" s="1" t="n">
        <v>2</v>
      </c>
      <c r="O26" s="1" t="n">
        <f aca="false">N26-M26</f>
        <v>0</v>
      </c>
      <c r="P26" s="1" t="n">
        <v>2</v>
      </c>
      <c r="Q26" s="1" t="n">
        <v>2</v>
      </c>
      <c r="R26" s="1" t="n">
        <f aca="false">Q26-P26</f>
        <v>0</v>
      </c>
      <c r="S26" s="1" t="n">
        <v>1</v>
      </c>
      <c r="T26" s="1" t="n">
        <v>1</v>
      </c>
      <c r="U26" s="1" t="n">
        <f aca="false">T26-S26</f>
        <v>0</v>
      </c>
      <c r="V26" s="1" t="n">
        <v>2</v>
      </c>
      <c r="W26" s="1" t="n">
        <v>2</v>
      </c>
      <c r="X26" s="1" t="n">
        <f aca="false">W26-V26</f>
        <v>0</v>
      </c>
      <c r="Y26" s="1" t="n">
        <v>10</v>
      </c>
      <c r="Z26" s="1" t="n">
        <v>10</v>
      </c>
      <c r="AA26" s="1" t="n">
        <f aca="false">Z26-Y26</f>
        <v>0</v>
      </c>
      <c r="AB26" s="1" t="n">
        <v>5</v>
      </c>
      <c r="AC26" s="1" t="n">
        <v>9</v>
      </c>
      <c r="AD26" s="1" t="n">
        <f aca="false">AC26-AB26</f>
        <v>4</v>
      </c>
      <c r="AE26" s="1" t="n">
        <v>8</v>
      </c>
      <c r="AF26" s="1" t="n">
        <v>12</v>
      </c>
      <c r="AG26" s="1" t="n">
        <f aca="false">AF26-AE26</f>
        <v>4</v>
      </c>
      <c r="AI26" s="1" t="s">
        <v>73</v>
      </c>
      <c r="AM26" s="1" t="n">
        <v>15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3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1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2</v>
      </c>
      <c r="BW26" s="1" t="n">
        <f aca="false">$AM26</f>
        <v>15</v>
      </c>
      <c r="BX26" s="1" t="n">
        <f aca="false">MAX(BX25-AN26/AN$9*100,0)</f>
        <v>0</v>
      </c>
      <c r="BY26" s="1" t="n">
        <f aca="false">MAX(BY25-AO26/AO$9*100,0)</f>
        <v>0</v>
      </c>
      <c r="BZ26" s="1" t="n">
        <f aca="false">MAX(BZ25-AQ26/AQ$9*100,0)</f>
        <v>0</v>
      </c>
      <c r="CA26" s="1" t="n">
        <f aca="false">MAX(CA25-AR26/AR$9*100,0)</f>
        <v>0</v>
      </c>
      <c r="CB26" s="1" t="n">
        <f aca="false">CB$7*EXP(-$AM26/CB$8)</f>
        <v>7.24209422671098E-007</v>
      </c>
      <c r="CC26" s="1" t="n">
        <f aca="false">(BZ26-CB26)^2</f>
        <v>5.24479287885605E-013</v>
      </c>
      <c r="CD26" s="1" t="n">
        <f aca="false">MAX(CD25-AT26/AT$9*100,0)</f>
        <v>0</v>
      </c>
      <c r="CE26" s="1" t="n">
        <f aca="false">MAX(CE25-AU26/AU$9*100,0)</f>
        <v>5.32907051820075E-015</v>
      </c>
      <c r="CF26" s="1" t="n">
        <f aca="false">CF$7*EXP(-$AM26/CF$8)</f>
        <v>1.18590125443214E-006</v>
      </c>
      <c r="CG26" s="1" t="n">
        <f aca="false">(CD26-CF26)^2</f>
        <v>1.40636178526372E-012</v>
      </c>
      <c r="CH26" s="1" t="n">
        <f aca="false">$AM26</f>
        <v>15</v>
      </c>
      <c r="CI26" s="1" t="n">
        <f aca="false">MAX(CI25-AW26/AW$9*100,0)</f>
        <v>0</v>
      </c>
      <c r="CJ26" s="1" t="n">
        <f aca="false">MAX(CJ25-AX26/AX$9*100,0)</f>
        <v>0</v>
      </c>
      <c r="CK26" s="1" t="n">
        <f aca="false">CK$7*EXP(-$AM26/CK$8)</f>
        <v>0.000481439843465492</v>
      </c>
      <c r="CL26" s="1" t="n">
        <f aca="false">(CI26-CK26)^2</f>
        <v>2.31784322876077E-007</v>
      </c>
      <c r="CM26" s="1" t="n">
        <f aca="false">MAX(CM25-AZ26/AZ$9*100,0)</f>
        <v>0</v>
      </c>
      <c r="CN26" s="1" t="n">
        <f aca="false">MAX(CN25-BA26/BA$9*100,0)</f>
        <v>5.32907051820075E-015</v>
      </c>
      <c r="CO26" s="1" t="n">
        <f aca="false">CO$7*EXP(-$AM26/CO$8)</f>
        <v>0.0981567750319718</v>
      </c>
      <c r="CP26" s="1" t="n">
        <f aca="false">(CM26-CO26)^2</f>
        <v>0.00963475248467712</v>
      </c>
      <c r="CQ26" s="1" t="n">
        <f aca="false">$AM26</f>
        <v>15</v>
      </c>
      <c r="CR26" s="1" t="n">
        <f aca="false">MAX(CR25-BC26/BC$9*100,0)</f>
        <v>0</v>
      </c>
      <c r="CS26" s="1" t="n">
        <f aca="false">MAX(CS25-BD26/BD$9*100,0)</f>
        <v>0</v>
      </c>
      <c r="CT26" s="1" t="n">
        <f aca="false">CT$7*EXP(-$AM26/CT$8)</f>
        <v>0.00109107586735496</v>
      </c>
      <c r="CU26" s="1" t="n">
        <f aca="false">(CR26-CT26)^2</f>
        <v>1.19044654832438E-006</v>
      </c>
      <c r="CV26" s="1" t="n">
        <f aca="false">MAX(CV25-BF26/BF$9*100,0)</f>
        <v>8.88178419700125E-015</v>
      </c>
      <c r="CW26" s="1" t="n">
        <f aca="false">MAX(CW25-BG26/BG$9*100,0)</f>
        <v>2.01005025125629</v>
      </c>
      <c r="CX26" s="1" t="n">
        <f aca="false">CX$7*EXP(-$AM26/CX$8)</f>
        <v>0.274019800951222</v>
      </c>
      <c r="CY26" s="1" t="n">
        <f aca="false">(CV26-CX26)^2</f>
        <v>0.0750868513133425</v>
      </c>
      <c r="CZ26" s="1" t="n">
        <f aca="false">$AM26</f>
        <v>15</v>
      </c>
      <c r="DA26" s="1" t="n">
        <f aca="false">MAX(DA25-BI26/BI$9*100,0)</f>
        <v>0</v>
      </c>
      <c r="DB26" s="1" t="n">
        <f aca="false">MAX(DB25-BJ26/BJ$9*100,0)</f>
        <v>9.88098491916389E-015</v>
      </c>
      <c r="DC26" s="1" t="n">
        <f aca="false">DC$7*EXP(-$AM26/DC$8)</f>
        <v>0.00281235998934989</v>
      </c>
      <c r="DD26" s="1" t="n">
        <f aca="false">(DA26-DC26)^2</f>
        <v>7.90936870969611E-006</v>
      </c>
      <c r="DE26" s="1" t="n">
        <f aca="false">MAX(DE25-BL26/BL$9*100,0)</f>
        <v>3.82165605095541</v>
      </c>
      <c r="DF26" s="1" t="n">
        <f aca="false">MAX(DF25-BM26/BM$9*100,0)</f>
        <v>16.5605095541401</v>
      </c>
      <c r="DG26" s="1" t="n">
        <f aca="false">DG$7*EXP(-$AM26/DG$8)</f>
        <v>2.8338883756491</v>
      </c>
      <c r="DH26" s="1" t="n">
        <f aca="false">(DE26-DG26)^2</f>
        <v>0.975684980380032</v>
      </c>
      <c r="DI26" s="1" t="n">
        <f aca="false">$AM26</f>
        <v>15</v>
      </c>
      <c r="DJ26" s="1" t="n">
        <f aca="false">MAX(DJ25-BO26/BO$9*100,0)</f>
        <v>0</v>
      </c>
      <c r="DK26" s="1" t="n">
        <f aca="false">MAX(DK25-BP26/BP$9*100,0)</f>
        <v>9.99200722162641E-015</v>
      </c>
      <c r="DL26" s="1" t="n">
        <f aca="false">DL$7*EXP(-$AM26/DL$8)</f>
        <v>0.0151187634552721</v>
      </c>
      <c r="DM26" s="1" t="n">
        <f aca="false">(DJ26-DL26)^2</f>
        <v>0.000228577008416471</v>
      </c>
      <c r="DN26" s="1" t="n">
        <f aca="false">MAX(DN25-BR26/BR$9*100,0)</f>
        <v>3.01507537688442</v>
      </c>
      <c r="DO26" s="1" t="n">
        <f aca="false">MAX(DO25-BS26/BS$9*100,0)</f>
        <v>20.1005025125628</v>
      </c>
      <c r="DP26" s="1" t="n">
        <f aca="false">DP$7*EXP(-$AM26/DP$8)</f>
        <v>1.74146943556184</v>
      </c>
      <c r="DQ26" s="1" t="n">
        <f aca="false">(DN26-DP26)^2</f>
        <v>1.62207209377218</v>
      </c>
      <c r="DS26" s="1" t="n">
        <f aca="false">$AM26</f>
        <v>15</v>
      </c>
      <c r="DT26" s="1" t="n">
        <f aca="false">CA26</f>
        <v>0</v>
      </c>
      <c r="DU26" s="1" t="n">
        <f aca="false">DU$7*EXP(-DS26/DU$8)</f>
        <v>3.13540433422789E-005</v>
      </c>
      <c r="DV26" s="1" t="n">
        <f aca="false">(DT26-DU26)^2</f>
        <v>9.83076033909504E-010</v>
      </c>
      <c r="DX26" s="1" t="n">
        <f aca="false">$AM26</f>
        <v>15</v>
      </c>
      <c r="DY26" s="1" t="n">
        <f aca="false">CM26</f>
        <v>0</v>
      </c>
      <c r="DZ26" s="1" t="n">
        <f aca="false">DZ$7*EXP(-DX26/DZ$8)</f>
        <v>0.0345837535037277</v>
      </c>
      <c r="EA26" s="1" t="n">
        <f aca="false">(DY26-DZ26)^2</f>
        <v>0.0011960360064066</v>
      </c>
      <c r="EC26" s="1" t="n">
        <f aca="false">$AM26</f>
        <v>15</v>
      </c>
      <c r="ED26" s="1" t="n">
        <f aca="false">CV26</f>
        <v>8.88178419700125E-015</v>
      </c>
      <c r="EE26" s="1" t="n">
        <f aca="false">EE$7*EXP(-EC26/EE$8)</f>
        <v>0.203032079971365</v>
      </c>
      <c r="EF26" s="1" t="n">
        <f aca="false">(ED26-EE26)^2</f>
        <v>0.0412220254974951</v>
      </c>
      <c r="EH26" s="1" t="n">
        <f aca="false">$AM26</f>
        <v>15</v>
      </c>
      <c r="EI26" s="1" t="n">
        <f aca="false">DE26</f>
        <v>3.82165605095541</v>
      </c>
      <c r="EJ26" s="1" t="n">
        <f aca="false">EJ$7*EXP(-EH26/EJ$8)</f>
        <v>2.82212950272109</v>
      </c>
      <c r="EK26" s="1" t="n">
        <f aca="false">(EI26-EJ26)^2</f>
        <v>0.999053320625215</v>
      </c>
      <c r="EM26" s="1" t="n">
        <f aca="false">AM26</f>
        <v>15</v>
      </c>
      <c r="EN26" s="1" t="n">
        <f aca="false">DN26</f>
        <v>3.01507537688442</v>
      </c>
      <c r="EO26" s="1" t="n">
        <f aca="false">EO$7*EXP(-EM26/EO$8)</f>
        <v>1.96974225996629</v>
      </c>
      <c r="EP26" s="1" t="n">
        <f aca="false">(EN26-EO26)^2</f>
        <v>1.09272132532578</v>
      </c>
      <c r="ER26" s="1" t="n">
        <f aca="false">$AM26</f>
        <v>15</v>
      </c>
      <c r="ES26" s="1" t="n">
        <f aca="false">BZ26</f>
        <v>0</v>
      </c>
      <c r="ET26" s="1" t="n">
        <f aca="false">ET$7*EXP(-ER26/ET$8)</f>
        <v>3.21508518568255E-006</v>
      </c>
      <c r="EU26" s="1" t="n">
        <f aca="false">(ES26-ET26)^2</f>
        <v>1.03367727511954E-011</v>
      </c>
      <c r="EW26" s="1" t="n">
        <f aca="false">$AM26</f>
        <v>15</v>
      </c>
      <c r="EX26" s="1" t="n">
        <f aca="false">CI26</f>
        <v>0</v>
      </c>
      <c r="EY26" s="1" t="n">
        <f aca="false">EY$7*EXP(-EW26/EY$8)</f>
        <v>1.70006620088067E-005</v>
      </c>
      <c r="EZ26" s="1" t="n">
        <f aca="false">(EX26-EY26)^2</f>
        <v>2.89022508737683E-010</v>
      </c>
      <c r="FB26" s="1" t="n">
        <f aca="false">$AM26</f>
        <v>15</v>
      </c>
      <c r="FC26" s="1" t="n">
        <f aca="false">CR26</f>
        <v>0</v>
      </c>
      <c r="FD26" s="1" t="n">
        <f aca="false">FD$7*EXP(-FB26/FD$8)</f>
        <v>0.000111227741268443</v>
      </c>
      <c r="FE26" s="1" t="n">
        <f aca="false">(FC26-FD26)^2</f>
        <v>1.23716104276797E-008</v>
      </c>
      <c r="FG26" s="1" t="n">
        <f aca="false">$AM26</f>
        <v>15</v>
      </c>
      <c r="FH26" s="1" t="n">
        <f aca="false">DA26</f>
        <v>0</v>
      </c>
      <c r="FI26" s="1" t="n">
        <f aca="false">FI$7*EXP(-FG26/FI$8)</f>
        <v>0.000768594111524855</v>
      </c>
      <c r="FJ26" s="1" t="n">
        <f aca="false">(FH26-FI26)^2</f>
        <v>5.90736908270681E-007</v>
      </c>
      <c r="FL26" s="1" t="n">
        <f aca="false">EM26</f>
        <v>15</v>
      </c>
      <c r="FM26" s="1" t="n">
        <f aca="false">DJ26</f>
        <v>0</v>
      </c>
      <c r="FN26" s="1" t="n">
        <f aca="false">FN$7*EXP(-FL26/FN$8)</f>
        <v>0.00771798805962243</v>
      </c>
      <c r="FO26" s="1" t="n">
        <f aca="false">(FM26-FN26)^2</f>
        <v>5.95673396884744E-005</v>
      </c>
      <c r="FQ26" s="1" t="n">
        <f aca="false">AM26</f>
        <v>15</v>
      </c>
      <c r="FR26" s="1" t="n">
        <f aca="false">AN26/AN$9*100</f>
        <v>0</v>
      </c>
      <c r="FS26" s="1" t="n">
        <f aca="false">AO26/AO$9*100</f>
        <v>0</v>
      </c>
      <c r="FT26" s="1" t="n">
        <f aca="false">AQ26/AQ$9*100</f>
        <v>0</v>
      </c>
      <c r="FU26" s="1" t="n">
        <f aca="false">AR26/AR$9*100</f>
        <v>0</v>
      </c>
      <c r="FV26" s="1" t="n">
        <f aca="false">AT26/AT$9*100</f>
        <v>0</v>
      </c>
      <c r="FW26" s="1" t="n">
        <f aca="false">AU26/AU$9*100</f>
        <v>0</v>
      </c>
      <c r="FX26" s="1" t="n">
        <f aca="false">AW26/AW$9*100</f>
        <v>0</v>
      </c>
      <c r="FY26" s="1" t="n">
        <f aca="false">AX26/AX$9*100</f>
        <v>0</v>
      </c>
      <c r="FZ26" s="1" t="n">
        <f aca="false">AZ26/AZ$9*100</f>
        <v>0</v>
      </c>
      <c r="GA26" s="1" t="n">
        <f aca="false">BA26/BA$9*100</f>
        <v>0</v>
      </c>
      <c r="GB26" s="1" t="n">
        <f aca="false">BC26/BC$9*100</f>
        <v>0</v>
      </c>
      <c r="GC26" s="1" t="n">
        <f aca="false">BD26/BD$9*100</f>
        <v>0</v>
      </c>
      <c r="GD26" s="1" t="n">
        <f aca="false">BF26/BF$9*100</f>
        <v>0</v>
      </c>
      <c r="GE26" s="1" t="n">
        <f aca="false">BG26/BG$9*100</f>
        <v>1.50753768844221</v>
      </c>
      <c r="GF26" s="1" t="n">
        <f aca="false">BI26/BI$9*100</f>
        <v>0</v>
      </c>
      <c r="GG26" s="1" t="n">
        <f aca="false">BJ26/BJ$9*100</f>
        <v>0</v>
      </c>
      <c r="GH26" s="1" t="n">
        <f aca="false">BL26/BL$9*100</f>
        <v>0</v>
      </c>
      <c r="GI26" s="1" t="n">
        <f aca="false">BM26/BM$9*100</f>
        <v>0.636942675159236</v>
      </c>
      <c r="GJ26" s="1" t="n">
        <f aca="false">BO26/BO$9*100</f>
        <v>0</v>
      </c>
      <c r="GK26" s="1" t="n">
        <f aca="false">BP26/BP$9*100</f>
        <v>0</v>
      </c>
      <c r="GL26" s="1" t="n">
        <f aca="false">BR26/BR$9*100</f>
        <v>0</v>
      </c>
      <c r="GM26" s="1" t="n">
        <f aca="false">BS26/BS$9*100</f>
        <v>0</v>
      </c>
      <c r="GO26" s="1" t="n">
        <f aca="false">$AM26</f>
        <v>15</v>
      </c>
      <c r="GP26" s="1" t="n">
        <f aca="false">FT26</f>
        <v>0</v>
      </c>
      <c r="GQ26" s="1" t="n">
        <f aca="false">GQ$6*(1+GQ$5*(-1)^$FQ26)*EXP(-$FQ26/GQ$4)</f>
        <v>0.000815426302211463</v>
      </c>
      <c r="GR26" s="1" t="n">
        <f aca="false">(GP26-GQ26)^2</f>
        <v>6.6492005433826E-007</v>
      </c>
      <c r="GS26" s="1" t="n">
        <f aca="false">EXP($FQ26/$JG$4)*GP26</f>
        <v>0</v>
      </c>
      <c r="GT26" s="1" t="n">
        <f aca="false">EXP($FQ26/$JG$4)*(-1)^$FQ26*GP26</f>
        <v>-0</v>
      </c>
      <c r="GU26" s="1" t="n">
        <f aca="false">(-1)^GO26*GP26</f>
        <v>-0</v>
      </c>
      <c r="GW26" s="1" t="n">
        <f aca="false">$AM26</f>
        <v>15</v>
      </c>
      <c r="GX26" s="1" t="n">
        <f aca="false">FX26</f>
        <v>0</v>
      </c>
      <c r="GY26" s="1" t="n">
        <f aca="false">GY$6*(1+GY$5*(-1)^$FQ26)*EXP(-$FQ26/GY$4)</f>
        <v>0.000815426302211463</v>
      </c>
      <c r="GZ26" s="1" t="n">
        <f aca="false">(GX26-GY26)^2</f>
        <v>6.6492005433826E-007</v>
      </c>
      <c r="HA26" s="1" t="n">
        <f aca="false">EXP($FQ26/$JG$4)*GX26</f>
        <v>0</v>
      </c>
      <c r="HB26" s="1" t="n">
        <f aca="false">EXP($FQ26/$JG$4)*(-1)^$FQ26*GX26</f>
        <v>-0</v>
      </c>
      <c r="HC26" s="1" t="n">
        <f aca="false">(-1)^GW26*GX26</f>
        <v>-0</v>
      </c>
      <c r="HE26" s="1" t="n">
        <f aca="false">$AM26</f>
        <v>15</v>
      </c>
      <c r="HF26" s="1" t="n">
        <f aca="false">GB26</f>
        <v>0</v>
      </c>
      <c r="HG26" s="1" t="n">
        <f aca="false">HG$6*(1+HG$5*(-1)^$FQ26)*EXP(-$FQ26/HG$4)</f>
        <v>0.000815426302211463</v>
      </c>
      <c r="HH26" s="1" t="n">
        <f aca="false">(HF26-HG26)^2</f>
        <v>6.6492005433826E-007</v>
      </c>
      <c r="HI26" s="1" t="n">
        <f aca="false">EXP($FQ26/$JG$4)*HF26</f>
        <v>0</v>
      </c>
      <c r="HJ26" s="1" t="n">
        <f aca="false">EXP($FQ26/$JG$4)*(-1)^$FQ26*HF26</f>
        <v>-0</v>
      </c>
      <c r="HK26" s="1" t="n">
        <f aca="false">(-1)^HE26*HF26</f>
        <v>-0</v>
      </c>
      <c r="HM26" s="1" t="n">
        <f aca="false">$AM26</f>
        <v>15</v>
      </c>
      <c r="HN26" s="1" t="n">
        <f aca="false">GF26</f>
        <v>0</v>
      </c>
      <c r="HO26" s="1" t="n">
        <f aca="false">HO$6*(1+HO$5*(-1)^$FQ26)*EXP(-$FQ26/HO$4)</f>
        <v>0.00455678018486974</v>
      </c>
      <c r="HP26" s="1" t="n">
        <f aca="false">(HN26-HO26)^2</f>
        <v>2.07642456532215E-005</v>
      </c>
      <c r="HQ26" s="1" t="n">
        <f aca="false">EXP($FQ26/$JG$4)*HN26</f>
        <v>0</v>
      </c>
      <c r="HR26" s="1" t="n">
        <f aca="false">EXP($FQ26/$JG$4)*(-1)^$FQ26*HN26</f>
        <v>-0</v>
      </c>
      <c r="HS26" s="1" t="n">
        <f aca="false">(-1)^HM26*HN26</f>
        <v>-0</v>
      </c>
      <c r="HU26" s="1" t="n">
        <f aca="false">$AM26</f>
        <v>15</v>
      </c>
      <c r="HV26" s="1" t="n">
        <f aca="false">GJ26</f>
        <v>0</v>
      </c>
      <c r="HW26" s="1" t="n">
        <f aca="false">HW$6*(1+HW$5*(-1)^$FQ26)*EXP(-$FQ26/HW$4)</f>
        <v>0.0409302953851977</v>
      </c>
      <c r="HX26" s="1" t="n">
        <f aca="false">(HV26-HW26)^2</f>
        <v>0.00167528908031954</v>
      </c>
      <c r="HY26" s="1" t="n">
        <f aca="false">EXP($FQ26/$JG$4)*HV26</f>
        <v>0</v>
      </c>
      <c r="HZ26" s="1" t="n">
        <f aca="false">EXP($FQ26/$JG$4)*(-1)^$FQ26*HV26</f>
        <v>-0</v>
      </c>
      <c r="IA26" s="1" t="n">
        <f aca="false">(-1)^HU26*HV26</f>
        <v>-0</v>
      </c>
      <c r="IB26" s="1" t="n">
        <v>0.000695</v>
      </c>
      <c r="ID26" s="1" t="n">
        <f aca="false">$AM26</f>
        <v>15</v>
      </c>
      <c r="IE26" s="1" t="n">
        <f aca="false">FZ26</f>
        <v>0</v>
      </c>
      <c r="IF26" s="1" t="n">
        <f aca="false">IF$6*(1+IF$5*(-1)^$FQ26)*EXP(-$FQ26/IF$4)</f>
        <v>0.191375059600976</v>
      </c>
      <c r="IG26" s="1" t="n">
        <f aca="false">(IE26-IF26)^2</f>
        <v>0.0366244134372771</v>
      </c>
      <c r="IH26" s="1" t="n">
        <f aca="false">EXP($FQ26/$JG$4)*IE26</f>
        <v>0</v>
      </c>
      <c r="II26" s="1" t="n">
        <f aca="false">EXP($FQ26/$JG$4)*(-1)^$FQ26*IE26</f>
        <v>-0</v>
      </c>
      <c r="IJ26" s="1" t="n">
        <f aca="false">(-1)^ID26*IE26</f>
        <v>-0</v>
      </c>
      <c r="IK26" s="1" t="n">
        <v>0.002966</v>
      </c>
      <c r="IM26" s="1" t="n">
        <f aca="false">$AM26</f>
        <v>15</v>
      </c>
      <c r="IN26" s="1" t="n">
        <f aca="false">GD26</f>
        <v>0</v>
      </c>
      <c r="IO26" s="1" t="n">
        <f aca="false">IO$6*(1+IO$5*(-1)^$FQ26)*EXP(-$FQ26/IO$4)</f>
        <v>0.302656286644564</v>
      </c>
      <c r="IP26" s="1" t="n">
        <f aca="false">(IN26-IO26)^2</f>
        <v>0.0916008278454765</v>
      </c>
      <c r="IQ26" s="1" t="n">
        <f aca="false">EXP($FQ26/$JG$4)*IN26</f>
        <v>0</v>
      </c>
      <c r="IR26" s="1" t="n">
        <f aca="false">EXP($FQ26/$JG$4)*(-1)^$FQ26*IN26</f>
        <v>-0</v>
      </c>
      <c r="IS26" s="1" t="n">
        <f aca="false">(-1)^IM26*IN26</f>
        <v>-0</v>
      </c>
      <c r="IT26" s="1" t="n">
        <v>0.017969</v>
      </c>
      <c r="IV26" s="1" t="n">
        <f aca="false">$AM26</f>
        <v>15</v>
      </c>
      <c r="IW26" s="1" t="n">
        <f aca="false">GH26</f>
        <v>0</v>
      </c>
      <c r="IX26" s="1" t="n">
        <f aca="false">IX$6*(1+IX$5*(-1)^$FQ26)*EXP(-$FQ26/IX$4)</f>
        <v>0.514896811990657</v>
      </c>
      <c r="IY26" s="1" t="n">
        <f aca="false">(IW26-IX26)^2</f>
        <v>0.265118726998142</v>
      </c>
      <c r="IZ26" s="1" t="n">
        <f aca="false">EXP($FQ26/$JG$4)*IW26</f>
        <v>0</v>
      </c>
      <c r="JA26" s="1" t="n">
        <f aca="false">EXP($FQ26/$JG$4)*(-1)^$FQ26*IW26</f>
        <v>-0</v>
      </c>
      <c r="JB26" s="1" t="n">
        <f aca="false">(-1)^IV26*IW26</f>
        <v>-0</v>
      </c>
      <c r="JC26" s="1" t="n">
        <v>0.60897</v>
      </c>
      <c r="JE26" s="1" t="n">
        <f aca="false">$AM26</f>
        <v>15</v>
      </c>
      <c r="JF26" s="1" t="n">
        <f aca="false">GL26</f>
        <v>0</v>
      </c>
      <c r="JG26" s="1" t="n">
        <f aca="false">JG$6*(1+JG$5*(-1)^$FQ26)*EXP(-$FQ26/JG$4)</f>
        <v>0.229229032071309</v>
      </c>
      <c r="JH26" s="1" t="n">
        <f aca="false">(JF26-JG26)^2</f>
        <v>0.0525459491443492</v>
      </c>
      <c r="JI26" s="1" t="n">
        <f aca="false">EXP($FQ26/$JG$4)*JF26</f>
        <v>0</v>
      </c>
      <c r="JJ26" s="1" t="n">
        <f aca="false">EXP($FQ26/$JG$4)*(-1)^$FQ26*JF26</f>
        <v>-0</v>
      </c>
      <c r="JK26" s="1" t="n">
        <f aca="false">(-1)^JE26*JF26</f>
        <v>-0</v>
      </c>
      <c r="JL26" s="1" t="n">
        <v>0.514818</v>
      </c>
      <c r="JO26" s="1" t="n">
        <f aca="false">$AM26</f>
        <v>15</v>
      </c>
      <c r="JP26" s="1" t="n">
        <f aca="false">GM26</f>
        <v>0</v>
      </c>
      <c r="JQ26" s="1" t="n">
        <f aca="false">JQ$6*(1+JQ$5*(-1)^$FQ26)*EXP(-$FQ26/JQ$4)</f>
        <v>0.825171344487368</v>
      </c>
      <c r="JR26" s="1" t="n">
        <f aca="false">(JP26-JQ26)^2</f>
        <v>0.680907747763091</v>
      </c>
      <c r="JS26" s="1" t="n">
        <f aca="false">EXP($FQ26/$JG$4)*JP26</f>
        <v>0</v>
      </c>
      <c r="JT26" s="1" t="n">
        <f aca="false">EXP($FQ26/$JG$4)*(-1)^$FQ26*JP26</f>
        <v>-0</v>
      </c>
      <c r="JU26" s="1" t="n">
        <f aca="false">(-1)^JO26*JP26</f>
        <v>-0</v>
      </c>
    </row>
    <row r="27" customFormat="false" ht="16" hidden="false" customHeight="false" outlineLevel="0" collapsed="false">
      <c r="A27" s="1" t="n">
        <v>1</v>
      </c>
      <c r="B27" s="1" t="n">
        <v>1</v>
      </c>
      <c r="C27" s="1" t="n">
        <f aca="false">B27-A27</f>
        <v>0</v>
      </c>
      <c r="D27" s="1" t="n">
        <v>2</v>
      </c>
      <c r="E27" s="1" t="n">
        <v>2</v>
      </c>
      <c r="F27" s="1" t="n">
        <f aca="false">E27-D27</f>
        <v>0</v>
      </c>
      <c r="G27" s="1" t="n">
        <v>1</v>
      </c>
      <c r="H27" s="1" t="n">
        <v>1</v>
      </c>
      <c r="I27" s="1" t="n">
        <f aca="false">H27-G27</f>
        <v>0</v>
      </c>
      <c r="J27" s="1" t="n">
        <v>1</v>
      </c>
      <c r="K27" s="1" t="n">
        <v>1</v>
      </c>
      <c r="L27" s="1" t="n">
        <f aca="false">K27-J27</f>
        <v>0</v>
      </c>
      <c r="M27" s="1" t="n">
        <v>3</v>
      </c>
      <c r="N27" s="1" t="n">
        <v>3</v>
      </c>
      <c r="O27" s="1" t="n">
        <f aca="false">N27-M27</f>
        <v>0</v>
      </c>
      <c r="P27" s="1" t="n">
        <v>2</v>
      </c>
      <c r="Q27" s="1" t="n">
        <v>2</v>
      </c>
      <c r="R27" s="1" t="n">
        <f aca="false">Q27-P27</f>
        <v>0</v>
      </c>
      <c r="S27" s="1" t="n">
        <v>1</v>
      </c>
      <c r="T27" s="1" t="n">
        <v>1</v>
      </c>
      <c r="U27" s="1" t="n">
        <f aca="false">T27-S27</f>
        <v>0</v>
      </c>
      <c r="V27" s="1" t="n">
        <v>5</v>
      </c>
      <c r="W27" s="1" t="n">
        <v>6</v>
      </c>
      <c r="X27" s="1" t="n">
        <f aca="false">W27-V27</f>
        <v>1</v>
      </c>
      <c r="Y27" s="1" t="n">
        <v>6</v>
      </c>
      <c r="Z27" s="1" t="n">
        <v>16</v>
      </c>
      <c r="AA27" s="1" t="n">
        <f aca="false">Z27-Y27</f>
        <v>10</v>
      </c>
      <c r="AB27" s="1" t="n">
        <v>1</v>
      </c>
      <c r="AC27" s="1" t="n">
        <v>6</v>
      </c>
      <c r="AD27" s="1" t="n">
        <f aca="false">AC27-AB27</f>
        <v>5</v>
      </c>
      <c r="AE27" s="1" t="n">
        <v>30</v>
      </c>
      <c r="AF27" s="1" t="n">
        <v>40</v>
      </c>
      <c r="AG27" s="1" t="n">
        <f aca="false">AF27-AE27</f>
        <v>10</v>
      </c>
      <c r="AI27" s="1" t="s">
        <v>41</v>
      </c>
      <c r="AJ27" s="1" t="n">
        <f aca="false">COUNTIFS(Q$2:Q$1000,2,P$2:P$1000,2)</f>
        <v>34</v>
      </c>
      <c r="AM27" s="1" t="n">
        <v>16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1</v>
      </c>
      <c r="BH27" s="1" t="n">
        <v>1</v>
      </c>
      <c r="BI27" s="1" t="n">
        <v>0</v>
      </c>
      <c r="BJ27" s="1" t="n">
        <v>0</v>
      </c>
      <c r="BK27" s="1" t="n">
        <v>0</v>
      </c>
      <c r="BL27" s="1" t="n">
        <v>2</v>
      </c>
      <c r="BM27" s="1" t="n">
        <v>3</v>
      </c>
      <c r="BN27" s="1" t="n">
        <v>1</v>
      </c>
      <c r="BO27" s="1" t="n">
        <v>0</v>
      </c>
      <c r="BP27" s="1" t="n">
        <v>0</v>
      </c>
      <c r="BQ27" s="1" t="n">
        <v>0</v>
      </c>
      <c r="BR27" s="1" t="n">
        <v>1</v>
      </c>
      <c r="BS27" s="1" t="n">
        <v>8</v>
      </c>
      <c r="BT27" s="1" t="n">
        <v>5</v>
      </c>
      <c r="BW27" s="1" t="n">
        <f aca="false">$AM27</f>
        <v>16</v>
      </c>
      <c r="BX27" s="1" t="n">
        <f aca="false">MAX(BX26-AN27/AN$9*100,0)</f>
        <v>0</v>
      </c>
      <c r="BY27" s="1" t="n">
        <f aca="false">MAX(BY26-AO27/AO$9*100,0)</f>
        <v>0</v>
      </c>
      <c r="BZ27" s="1" t="n">
        <f aca="false">MAX(BZ26-AQ27/AQ$9*100,0)</f>
        <v>0</v>
      </c>
      <c r="CA27" s="1" t="n">
        <f aca="false">MAX(CA26-AR27/AR$9*100,0)</f>
        <v>0</v>
      </c>
      <c r="CB27" s="1" t="n">
        <f aca="false">CB$7*EXP(-$AM27/CB$8)</f>
        <v>1.97626583804876E-007</v>
      </c>
      <c r="CC27" s="1" t="n">
        <f aca="false">(BZ27-CB27)^2</f>
        <v>3.90562666263857E-014</v>
      </c>
      <c r="CD27" s="1" t="n">
        <f aca="false">MAX(CD26-AT27/AT$9*100,0)</f>
        <v>0</v>
      </c>
      <c r="CE27" s="1" t="n">
        <f aca="false">MAX(CE26-AU27/AU$9*100,0)</f>
        <v>5.32907051820075E-015</v>
      </c>
      <c r="CF27" s="1" t="n">
        <f aca="false">CF$7*EXP(-$AM27/CF$8)</f>
        <v>3.34432656001421E-007</v>
      </c>
      <c r="CG27" s="1" t="n">
        <f aca="false">(CD27-CF27)^2</f>
        <v>1.11845201400165E-013</v>
      </c>
      <c r="CH27" s="1" t="n">
        <f aca="false">$AM27</f>
        <v>16</v>
      </c>
      <c r="CI27" s="1" t="n">
        <f aca="false">MAX(CI26-AW27/AW$9*100,0)</f>
        <v>0</v>
      </c>
      <c r="CJ27" s="1" t="n">
        <f aca="false">MAX(CJ26-AX27/AX$9*100,0)</f>
        <v>0</v>
      </c>
      <c r="CK27" s="1" t="n">
        <f aca="false">CK$7*EXP(-$AM27/CK$8)</f>
        <v>0.000204809531588675</v>
      </c>
      <c r="CL27" s="1" t="n">
        <f aca="false">(CI27-CK27)^2</f>
        <v>4.19469442295725E-008</v>
      </c>
      <c r="CM27" s="1" t="n">
        <f aca="false">MAX(CM26-AZ27/AZ$9*100,0)</f>
        <v>0</v>
      </c>
      <c r="CN27" s="1" t="n">
        <f aca="false">MAX(CN26-BA27/BA$9*100,0)</f>
        <v>5.32907051820075E-015</v>
      </c>
      <c r="CO27" s="1" t="n">
        <f aca="false">CO$7*EXP(-$AM27/CO$8)</f>
        <v>0.0606910787772772</v>
      </c>
      <c r="CP27" s="1" t="n">
        <f aca="false">(CM27-CO27)^2</f>
        <v>0.00368340704314967</v>
      </c>
      <c r="CQ27" s="1" t="n">
        <f aca="false">$AM27</f>
        <v>16</v>
      </c>
      <c r="CR27" s="1" t="n">
        <f aca="false">MAX(CR26-BC27/BC$9*100,0)</f>
        <v>0</v>
      </c>
      <c r="CS27" s="1" t="n">
        <f aca="false">MAX(CS26-BD27/BD$9*100,0)</f>
        <v>0</v>
      </c>
      <c r="CT27" s="1" t="n">
        <f aca="false">CT$7*EXP(-$AM27/CT$8)</f>
        <v>0.000496467462644458</v>
      </c>
      <c r="CU27" s="1" t="n">
        <f aca="false">(CR27-CT27)^2</f>
        <v>2.46479941464626E-007</v>
      </c>
      <c r="CV27" s="1" t="n">
        <f aca="false">MAX(CV26-BF27/BF$9*100,0)</f>
        <v>8.88178419700125E-015</v>
      </c>
      <c r="CW27" s="1" t="n">
        <f aca="false">MAX(CW26-BG27/BG$9*100,0)</f>
        <v>1.50753768844222</v>
      </c>
      <c r="CX27" s="1" t="n">
        <f aca="false">CX$7*EXP(-$AM27/CX$8)</f>
        <v>0.181268114267358</v>
      </c>
      <c r="CY27" s="1" t="n">
        <f aca="false">(CV27-CX27)^2</f>
        <v>0.0328581292500407</v>
      </c>
      <c r="CZ27" s="1" t="n">
        <f aca="false">$AM27</f>
        <v>16</v>
      </c>
      <c r="DA27" s="1" t="n">
        <f aca="false">MAX(DA26-BI27/BI$9*100,0)</f>
        <v>0</v>
      </c>
      <c r="DB27" s="1" t="n">
        <f aca="false">MAX(DB26-BJ27/BJ$9*100,0)</f>
        <v>9.88098491916389E-015</v>
      </c>
      <c r="DC27" s="1" t="n">
        <f aca="false">DC$7*EXP(-$AM27/DC$8)</f>
        <v>0.0013554004929696</v>
      </c>
      <c r="DD27" s="1" t="n">
        <f aca="false">(DA27-DC27)^2</f>
        <v>1.83711049634223E-006</v>
      </c>
      <c r="DE27" s="1" t="n">
        <f aca="false">MAX(DE26-BL27/BL$9*100,0)</f>
        <v>2.54777070063694</v>
      </c>
      <c r="DF27" s="1" t="n">
        <f aca="false">MAX(DF26-BM27/BM$9*100,0)</f>
        <v>14.6496815286624</v>
      </c>
      <c r="DG27" s="1" t="n">
        <f aca="false">DG$7*EXP(-$AM27/DG$8)</f>
        <v>2.20703448609247</v>
      </c>
      <c r="DH27" s="1" t="n">
        <f aca="false">(DE27-DG27)^2</f>
        <v>0.116101167902094</v>
      </c>
      <c r="DI27" s="1" t="n">
        <f aca="false">$AM27</f>
        <v>16</v>
      </c>
      <c r="DJ27" s="1" t="n">
        <f aca="false">MAX(DJ26-BO27/BO$9*100,0)</f>
        <v>0</v>
      </c>
      <c r="DK27" s="1" t="n">
        <f aca="false">MAX(DK26-BP27/BP$9*100,0)</f>
        <v>9.99200722162641E-015</v>
      </c>
      <c r="DL27" s="1" t="n">
        <f aca="false">DL$7*EXP(-$AM27/DL$8)</f>
        <v>0.00818611685404217</v>
      </c>
      <c r="DM27" s="1" t="n">
        <f aca="false">(DJ27-DL27)^2</f>
        <v>6.70125091480333E-005</v>
      </c>
      <c r="DN27" s="1" t="n">
        <f aca="false">MAX(DN26-BR27/BR$9*100,0)</f>
        <v>2.51256281407035</v>
      </c>
      <c r="DO27" s="1" t="n">
        <f aca="false">MAX(DO26-BS27/BS$9*100,0)</f>
        <v>16.0804020100502</v>
      </c>
      <c r="DP27" s="1" t="n">
        <f aca="false">DP$7*EXP(-$AM27/DP$8)</f>
        <v>1.311856278966</v>
      </c>
      <c r="DQ27" s="1" t="n">
        <f aca="false">(DN27-DP27)^2</f>
        <v>1.4416961834423</v>
      </c>
      <c r="DS27" s="1" t="n">
        <f aca="false">$AM27</f>
        <v>16</v>
      </c>
      <c r="DT27" s="1" t="n">
        <f aca="false">CA27</f>
        <v>0</v>
      </c>
      <c r="DU27" s="1" t="n">
        <f aca="false">DU$7*EXP(-DS27/DU$8)</f>
        <v>1.11832307065541E-005</v>
      </c>
      <c r="DV27" s="1" t="n">
        <f aca="false">(DT27-DU27)^2</f>
        <v>1.25064649036015E-010</v>
      </c>
      <c r="DX27" s="1" t="n">
        <f aca="false">$AM27</f>
        <v>16</v>
      </c>
      <c r="DY27" s="1" t="n">
        <f aca="false">CM27</f>
        <v>0</v>
      </c>
      <c r="DZ27" s="1" t="n">
        <f aca="false">DZ$7*EXP(-DX27/DZ$8)</f>
        <v>0.019719071562663</v>
      </c>
      <c r="EA27" s="1" t="n">
        <f aca="false">(DY27-DZ27)^2</f>
        <v>0.000388841783293425</v>
      </c>
      <c r="EC27" s="1" t="n">
        <f aca="false">$AM27</f>
        <v>16</v>
      </c>
      <c r="ED27" s="1" t="n">
        <f aca="false">CV27</f>
        <v>8.88178419700125E-015</v>
      </c>
      <c r="EE27" s="1" t="n">
        <f aca="false">EE$7*EXP(-EC27/EE$8)</f>
        <v>0.131194738559709</v>
      </c>
      <c r="EF27" s="1" t="n">
        <f aca="false">(ED27-EE27)^2</f>
        <v>0.0172120594257481</v>
      </c>
      <c r="EH27" s="1" t="n">
        <f aca="false">$AM27</f>
        <v>16</v>
      </c>
      <c r="EI27" s="1" t="n">
        <f aca="false">DE27</f>
        <v>2.54777070063694</v>
      </c>
      <c r="EJ27" s="1" t="n">
        <f aca="false">EJ$7*EXP(-EH27/EJ$8)</f>
        <v>2.1978766666481</v>
      </c>
      <c r="EK27" s="1" t="n">
        <f aca="false">(EI27-EJ27)^2</f>
        <v>0.122425835020982</v>
      </c>
      <c r="EM27" s="1" t="n">
        <f aca="false">AM27</f>
        <v>16</v>
      </c>
      <c r="EN27" s="1" t="n">
        <f aca="false">DN27</f>
        <v>2.51256281407035</v>
      </c>
      <c r="EO27" s="1" t="n">
        <f aca="false">EO$7*EXP(-EM27/EO$8)</f>
        <v>1.49769925254337</v>
      </c>
      <c r="EP27" s="1" t="n">
        <f aca="false">(EN27-EO27)^2</f>
        <v>1.02994804851523</v>
      </c>
      <c r="ER27" s="1" t="n">
        <f aca="false">$AM27</f>
        <v>16</v>
      </c>
      <c r="ES27" s="1" t="n">
        <f aca="false">BZ27</f>
        <v>0</v>
      </c>
      <c r="ET27" s="1" t="n">
        <f aca="false">ET$7*EXP(-ER27/ET$8)</f>
        <v>9.77631629539086E-007</v>
      </c>
      <c r="EU27" s="1" t="n">
        <f aca="false">(ES27-ET27)^2</f>
        <v>9.55763603075249E-013</v>
      </c>
      <c r="EW27" s="1" t="n">
        <f aca="false">$AM27</f>
        <v>16</v>
      </c>
      <c r="EX27" s="1" t="n">
        <f aca="false">CI27</f>
        <v>0</v>
      </c>
      <c r="EY27" s="1" t="n">
        <f aca="false">EY$7*EXP(-EW27/EY$8)</f>
        <v>5.6652509175356E-006</v>
      </c>
      <c r="EZ27" s="1" t="n">
        <f aca="false">(EX27-EY27)^2</f>
        <v>3.2095067958638E-011</v>
      </c>
      <c r="FB27" s="1" t="n">
        <f aca="false">$AM27</f>
        <v>16</v>
      </c>
      <c r="FC27" s="1" t="n">
        <f aca="false">CR27</f>
        <v>0</v>
      </c>
      <c r="FD27" s="1" t="n">
        <f aca="false">FD$7*EXP(-FB27/FD$8)</f>
        <v>4.29140324918424E-005</v>
      </c>
      <c r="FE27" s="1" t="n">
        <f aca="false">(FC27-FD27)^2</f>
        <v>1.8416141847109E-009</v>
      </c>
      <c r="FG27" s="1" t="n">
        <f aca="false">$AM27</f>
        <v>16</v>
      </c>
      <c r="FH27" s="1" t="n">
        <f aca="false">DA27</f>
        <v>0</v>
      </c>
      <c r="FI27" s="1" t="n">
        <f aca="false">FI$7*EXP(-FG27/FI$8)</f>
        <v>0.000336338043420089</v>
      </c>
      <c r="FJ27" s="1" t="n">
        <f aca="false">(FH27-FI27)^2</f>
        <v>1.13123279451654E-007</v>
      </c>
      <c r="FL27" s="1" t="n">
        <f aca="false">EM27</f>
        <v>16</v>
      </c>
      <c r="FM27" s="1" t="n">
        <f aca="false">DJ27</f>
        <v>0</v>
      </c>
      <c r="FN27" s="1" t="n">
        <f aca="false">FN$7*EXP(-FL27/FN$8)</f>
        <v>0.00396254719429929</v>
      </c>
      <c r="FO27" s="1" t="n">
        <f aca="false">(FM27-FN27)^2</f>
        <v>1.57017802670492E-005</v>
      </c>
      <c r="FQ27" s="1" t="n">
        <f aca="false">AM27</f>
        <v>16</v>
      </c>
      <c r="FR27" s="1" t="n">
        <f aca="false">AN27/AN$9*100</f>
        <v>0</v>
      </c>
      <c r="FS27" s="1" t="n">
        <f aca="false">AO27/AO$9*100</f>
        <v>0</v>
      </c>
      <c r="FT27" s="1" t="n">
        <f aca="false">AQ27/AQ$9*100</f>
        <v>0</v>
      </c>
      <c r="FU27" s="1" t="n">
        <f aca="false">AR27/AR$9*100</f>
        <v>0</v>
      </c>
      <c r="FV27" s="1" t="n">
        <f aca="false">AT27/AT$9*100</f>
        <v>0</v>
      </c>
      <c r="FW27" s="1" t="n">
        <f aca="false">AU27/AU$9*100</f>
        <v>0</v>
      </c>
      <c r="FX27" s="1" t="n">
        <f aca="false">AW27/AW$9*100</f>
        <v>0</v>
      </c>
      <c r="FY27" s="1" t="n">
        <f aca="false">AX27/AX$9*100</f>
        <v>0</v>
      </c>
      <c r="FZ27" s="1" t="n">
        <f aca="false">AZ27/AZ$9*100</f>
        <v>0</v>
      </c>
      <c r="GA27" s="1" t="n">
        <f aca="false">BA27/BA$9*100</f>
        <v>0</v>
      </c>
      <c r="GB27" s="1" t="n">
        <f aca="false">BC27/BC$9*100</f>
        <v>0</v>
      </c>
      <c r="GC27" s="1" t="n">
        <f aca="false">BD27/BD$9*100</f>
        <v>0</v>
      </c>
      <c r="GD27" s="1" t="n">
        <f aca="false">BF27/BF$9*100</f>
        <v>0</v>
      </c>
      <c r="GE27" s="1" t="n">
        <f aca="false">BG27/BG$9*100</f>
        <v>0.50251256281407</v>
      </c>
      <c r="GF27" s="1" t="n">
        <f aca="false">BI27/BI$9*100</f>
        <v>0</v>
      </c>
      <c r="GG27" s="1" t="n">
        <f aca="false">BJ27/BJ$9*100</f>
        <v>0</v>
      </c>
      <c r="GH27" s="1" t="n">
        <f aca="false">BL27/BL$9*100</f>
        <v>1.27388535031847</v>
      </c>
      <c r="GI27" s="1" t="n">
        <f aca="false">BM27/BM$9*100</f>
        <v>1.91082802547771</v>
      </c>
      <c r="GJ27" s="1" t="n">
        <f aca="false">BO27/BO$9*100</f>
        <v>0</v>
      </c>
      <c r="GK27" s="1" t="n">
        <f aca="false">BP27/BP$9*100</f>
        <v>0</v>
      </c>
      <c r="GL27" s="1" t="n">
        <f aca="false">BR27/BR$9*100</f>
        <v>0.50251256281407</v>
      </c>
      <c r="GM27" s="1" t="n">
        <f aca="false">BS27/BS$9*100</f>
        <v>4.02010050251256</v>
      </c>
      <c r="GO27" s="1" t="n">
        <f aca="false">$AM27</f>
        <v>16</v>
      </c>
      <c r="GP27" s="1" t="n">
        <f aca="false">FT27</f>
        <v>0</v>
      </c>
      <c r="GQ27" s="1" t="n">
        <f aca="false">GQ$6*(1+GQ$5*(-1)^$FQ27)*EXP(-$FQ27/GQ$4)</f>
        <v>0.00111683711224103</v>
      </c>
      <c r="GR27" s="1" t="n">
        <f aca="false">(GP27-GQ27)^2</f>
        <v>1.24732513527888E-006</v>
      </c>
      <c r="GS27" s="1" t="n">
        <f aca="false">EXP($FQ27/$JG$4)*GP27</f>
        <v>0</v>
      </c>
      <c r="GT27" s="1" t="n">
        <f aca="false">EXP($FQ27/$JG$4)*(-1)^$FQ27*GP27</f>
        <v>0</v>
      </c>
      <c r="GU27" s="1" t="n">
        <f aca="false">(-1)^GO27*GP27</f>
        <v>0</v>
      </c>
      <c r="GW27" s="1" t="n">
        <f aca="false">$AM27</f>
        <v>16</v>
      </c>
      <c r="GX27" s="1" t="n">
        <f aca="false">FX27</f>
        <v>0</v>
      </c>
      <c r="GY27" s="1" t="n">
        <f aca="false">GY$6*(1+GY$5*(-1)^$FQ27)*EXP(-$FQ27/GY$4)</f>
        <v>0.00111683711224103</v>
      </c>
      <c r="GZ27" s="1" t="n">
        <f aca="false">(GX27-GY27)^2</f>
        <v>1.24732513527888E-006</v>
      </c>
      <c r="HA27" s="1" t="n">
        <f aca="false">EXP($FQ27/$JG$4)*GX27</f>
        <v>0</v>
      </c>
      <c r="HB27" s="1" t="n">
        <f aca="false">EXP($FQ27/$JG$4)*(-1)^$FQ27*GX27</f>
        <v>0</v>
      </c>
      <c r="HC27" s="1" t="n">
        <f aca="false">(-1)^GW27*GX27</f>
        <v>0</v>
      </c>
      <c r="HE27" s="1" t="n">
        <f aca="false">$AM27</f>
        <v>16</v>
      </c>
      <c r="HF27" s="1" t="n">
        <f aca="false">GB27</f>
        <v>0</v>
      </c>
      <c r="HG27" s="1" t="n">
        <f aca="false">HG$6*(1+HG$5*(-1)^$FQ27)*EXP(-$FQ27/HG$4)</f>
        <v>0.00111683711224103</v>
      </c>
      <c r="HH27" s="1" t="n">
        <f aca="false">(HF27-HG27)^2</f>
        <v>1.24732513527888E-006</v>
      </c>
      <c r="HI27" s="1" t="n">
        <f aca="false">EXP($FQ27/$JG$4)*HF27</f>
        <v>0</v>
      </c>
      <c r="HJ27" s="1" t="n">
        <f aca="false">EXP($FQ27/$JG$4)*(-1)^$FQ27*HF27</f>
        <v>0</v>
      </c>
      <c r="HK27" s="1" t="n">
        <f aca="false">(-1)^HE27*HF27</f>
        <v>0</v>
      </c>
      <c r="HM27" s="1" t="n">
        <f aca="false">$AM27</f>
        <v>16</v>
      </c>
      <c r="HN27" s="1" t="n">
        <f aca="false">GF27</f>
        <v>0</v>
      </c>
      <c r="HO27" s="1" t="n">
        <f aca="false">HO$6*(1+HO$5*(-1)^$FQ27)*EXP(-$FQ27/HO$4)</f>
        <v>0.0114062490611161</v>
      </c>
      <c r="HP27" s="1" t="n">
        <f aca="false">(HN27-HO27)^2</f>
        <v>0.000130102517644212</v>
      </c>
      <c r="HQ27" s="1" t="n">
        <f aca="false">EXP($FQ27/$JG$4)*HN27</f>
        <v>0</v>
      </c>
      <c r="HR27" s="1" t="n">
        <f aca="false">EXP($FQ27/$JG$4)*(-1)^$FQ27*HN27</f>
        <v>0</v>
      </c>
      <c r="HS27" s="1" t="n">
        <f aca="false">(-1)^HM27*HN27</f>
        <v>0</v>
      </c>
      <c r="HU27" s="1" t="n">
        <f aca="false">$AM27</f>
        <v>16</v>
      </c>
      <c r="HV27" s="1" t="n">
        <f aca="false">GJ27</f>
        <v>0</v>
      </c>
      <c r="HW27" s="1" t="n">
        <f aca="false">HW$6*(1+HW$5*(-1)^$FQ27)*EXP(-$FQ27/HW$4)</f>
        <v>0.0788860905271266</v>
      </c>
      <c r="HX27" s="1" t="n">
        <f aca="false">(HV27-HW27)^2</f>
        <v>0.00622301527865401</v>
      </c>
      <c r="HY27" s="1" t="n">
        <f aca="false">EXP($FQ27/$JG$4)*HV27</f>
        <v>0</v>
      </c>
      <c r="HZ27" s="1" t="n">
        <f aca="false">EXP($FQ27/$JG$4)*(-1)^$FQ27*HV27</f>
        <v>0</v>
      </c>
      <c r="IA27" s="1" t="n">
        <f aca="false">(-1)^HU27*HV27</f>
        <v>0</v>
      </c>
      <c r="IB27" s="1" t="n">
        <v>0.000835</v>
      </c>
      <c r="ID27" s="1" t="n">
        <f aca="false">$AM27</f>
        <v>16</v>
      </c>
      <c r="IE27" s="1" t="n">
        <f aca="false">FZ27</f>
        <v>0</v>
      </c>
      <c r="IF27" s="1" t="n">
        <f aca="false">IF$6*(1+IF$5*(-1)^$FQ27)*EXP(-$FQ27/IF$4)</f>
        <v>0.266186196165401</v>
      </c>
      <c r="IG27" s="1" t="n">
        <f aca="false">(IE27-IF27)^2</f>
        <v>0.0708550910290054</v>
      </c>
      <c r="IH27" s="1" t="n">
        <f aca="false">EXP($FQ27/$JG$4)*IE27</f>
        <v>0</v>
      </c>
      <c r="II27" s="1" t="n">
        <f aca="false">EXP($FQ27/$JG$4)*(-1)^$FQ27*IE27</f>
        <v>0</v>
      </c>
      <c r="IJ27" s="1" t="n">
        <f aca="false">(-1)^ID27*IE27</f>
        <v>0</v>
      </c>
      <c r="IK27" s="1" t="n">
        <v>0.001059</v>
      </c>
      <c r="IM27" s="1" t="n">
        <f aca="false">$AM27</f>
        <v>16</v>
      </c>
      <c r="IN27" s="1" t="n">
        <f aca="false">GD27</f>
        <v>0</v>
      </c>
      <c r="IO27" s="1" t="n">
        <f aca="false">IO$6*(1+IO$5*(-1)^$FQ27)*EXP(-$FQ27/IO$4)</f>
        <v>0.494590282567029</v>
      </c>
      <c r="IP27" s="1" t="n">
        <f aca="false">(IN27-IO27)^2</f>
        <v>0.244619547609734</v>
      </c>
      <c r="IQ27" s="1" t="n">
        <f aca="false">EXP($FQ27/$JG$4)*IN27</f>
        <v>0</v>
      </c>
      <c r="IR27" s="1" t="n">
        <f aca="false">EXP($FQ27/$JG$4)*(-1)^$FQ27*IN27</f>
        <v>0</v>
      </c>
      <c r="IS27" s="1" t="n">
        <f aca="false">(-1)^IM27*IN27</f>
        <v>0</v>
      </c>
      <c r="IT27" s="1" t="n">
        <v>0.013822</v>
      </c>
      <c r="IV27" s="1" t="n">
        <f aca="false">$AM27</f>
        <v>16</v>
      </c>
      <c r="IW27" s="1" t="n">
        <f aca="false">GH27</f>
        <v>1.27388535031847</v>
      </c>
      <c r="IX27" s="1" t="n">
        <f aca="false">IX$6*(1+IX$5*(-1)^$FQ27)*EXP(-$FQ27/IX$4)</f>
        <v>1.64746160109883</v>
      </c>
      <c r="IY27" s="1" t="n">
        <f aca="false">(IW27-IX27)^2</f>
        <v>0.139559215147109</v>
      </c>
      <c r="IZ27" s="1" t="n">
        <f aca="false">EXP($FQ27/$JG$4)*IW27</f>
        <v>53.5378734396908</v>
      </c>
      <c r="JA27" s="1" t="n">
        <f aca="false">EXP($FQ27/$JG$4)*(-1)^$FQ27*IW27</f>
        <v>53.5378734396908</v>
      </c>
      <c r="JB27" s="1" t="n">
        <f aca="false">(-1)^IV27*IW27</f>
        <v>1.27388535031847</v>
      </c>
      <c r="JC27" s="1" t="n">
        <v>0.281615</v>
      </c>
      <c r="JE27" s="1" t="n">
        <f aca="false">$AM27</f>
        <v>16</v>
      </c>
      <c r="JF27" s="1" t="n">
        <f aca="false">GL27</f>
        <v>0.50251256281407</v>
      </c>
      <c r="JG27" s="1" t="n">
        <f aca="false">JG$6*(1+JG$5*(-1)^$FQ27)*EXP(-$FQ27/JG$4)</f>
        <v>1.18809878684858</v>
      </c>
      <c r="JH27" s="1" t="n">
        <f aca="false">(JF27-JG27)^2</f>
        <v>0.470028470585897</v>
      </c>
      <c r="JI27" s="1" t="n">
        <f aca="false">EXP($FQ27/$JG$4)*JF27</f>
        <v>21.1192113819886</v>
      </c>
      <c r="JJ27" s="1" t="n">
        <f aca="false">EXP($FQ27/$JG$4)*(-1)^$FQ27*JF27</f>
        <v>21.1192113819886</v>
      </c>
      <c r="JK27" s="1" t="n">
        <f aca="false">(-1)^JE27*JF27</f>
        <v>0.50251256281407</v>
      </c>
      <c r="JL27" s="1" t="n">
        <v>0.153573</v>
      </c>
      <c r="JO27" s="1" t="n">
        <f aca="false">$AM27</f>
        <v>16</v>
      </c>
      <c r="JP27" s="1" t="n">
        <f aca="false">GM27</f>
        <v>4.02010050251256</v>
      </c>
      <c r="JQ27" s="1" t="n">
        <f aca="false">JQ$6*(1+JQ$5*(-1)^$FQ27)*EXP(-$FQ27/JQ$4)</f>
        <v>3.99907807249717</v>
      </c>
      <c r="JR27" s="1" t="n">
        <f aca="false">(JP27-JQ27)^2</f>
        <v>0.000441942563752076</v>
      </c>
      <c r="JS27" s="1" t="n">
        <f aca="false">EXP($FQ27/$JG$4)*JP27</f>
        <v>168.953691055909</v>
      </c>
      <c r="JT27" s="1" t="n">
        <f aca="false">EXP($FQ27/$JG$4)*(-1)^$FQ27*JP27</f>
        <v>168.953691055909</v>
      </c>
      <c r="JU27" s="1" t="n">
        <f aca="false">(-1)^JO27*JP27</f>
        <v>4.02010050251256</v>
      </c>
    </row>
    <row r="28" customFormat="false" ht="16" hidden="false" customHeight="false" outlineLevel="0" collapsed="false">
      <c r="A28" s="1" t="n">
        <v>2</v>
      </c>
      <c r="B28" s="1" t="n">
        <v>2</v>
      </c>
      <c r="C28" s="1" t="n">
        <f aca="false">B28-A28</f>
        <v>0</v>
      </c>
      <c r="D28" s="1" t="n">
        <v>1</v>
      </c>
      <c r="E28" s="1" t="n">
        <v>1</v>
      </c>
      <c r="F28" s="1" t="n">
        <f aca="false">E28-D28</f>
        <v>0</v>
      </c>
      <c r="G28" s="1" t="n">
        <v>1</v>
      </c>
      <c r="H28" s="1" t="n">
        <v>1</v>
      </c>
      <c r="I28" s="1" t="n">
        <f aca="false">H28-G28</f>
        <v>0</v>
      </c>
      <c r="J28" s="1" t="n">
        <v>4</v>
      </c>
      <c r="K28" s="1" t="n">
        <v>4</v>
      </c>
      <c r="L28" s="1" t="n">
        <f aca="false">K28-J28</f>
        <v>0</v>
      </c>
      <c r="M28" s="1" t="n">
        <v>6</v>
      </c>
      <c r="N28" s="1" t="n">
        <v>8</v>
      </c>
      <c r="O28" s="1" t="n">
        <f aca="false">N28-M28</f>
        <v>2</v>
      </c>
      <c r="P28" s="1" t="n">
        <v>2</v>
      </c>
      <c r="Q28" s="1" t="n">
        <v>2</v>
      </c>
      <c r="R28" s="1" t="n">
        <f aca="false">Q28-P28</f>
        <v>0</v>
      </c>
      <c r="S28" s="1" t="n">
        <v>4</v>
      </c>
      <c r="T28" s="1" t="n">
        <v>7</v>
      </c>
      <c r="U28" s="1" t="n">
        <f aca="false">T28-S28</f>
        <v>3</v>
      </c>
      <c r="V28" s="1" t="n">
        <v>4</v>
      </c>
      <c r="W28" s="1" t="n">
        <v>6</v>
      </c>
      <c r="X28" s="1" t="n">
        <f aca="false">W28-V28</f>
        <v>2</v>
      </c>
      <c r="Y28" s="1" t="n">
        <v>6</v>
      </c>
      <c r="Z28" s="1" t="n">
        <v>6</v>
      </c>
      <c r="AA28" s="1" t="n">
        <f aca="false">Z28-Y28</f>
        <v>0</v>
      </c>
      <c r="AB28" s="1" t="n">
        <v>1</v>
      </c>
      <c r="AC28" s="1" t="n">
        <v>3</v>
      </c>
      <c r="AD28" s="1" t="n">
        <f aca="false">AC28-AB28</f>
        <v>2</v>
      </c>
      <c r="AE28" s="1" t="n">
        <v>5</v>
      </c>
      <c r="AF28" s="1" t="n">
        <v>10</v>
      </c>
      <c r="AG28" s="1" t="n">
        <f aca="false">AF28-AE28</f>
        <v>5</v>
      </c>
      <c r="AI28" s="1" t="s">
        <v>48</v>
      </c>
      <c r="AJ28" s="1" t="n">
        <f aca="false">COUNTIFS(Q$2:Q$1000,2,P$2:P$1000,1)</f>
        <v>17</v>
      </c>
      <c r="AM28" s="1" t="n">
        <v>17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1</v>
      </c>
      <c r="BT28" s="1" t="n">
        <v>1</v>
      </c>
      <c r="BW28" s="1" t="n">
        <f aca="false">$AM28</f>
        <v>17</v>
      </c>
      <c r="BX28" s="1" t="n">
        <f aca="false">MAX(BX27-AN28/AN$9*100,0)</f>
        <v>0</v>
      </c>
      <c r="BY28" s="1" t="n">
        <f aca="false">MAX(BY27-AO28/AO$9*100,0)</f>
        <v>0</v>
      </c>
      <c r="BZ28" s="1" t="n">
        <f aca="false">MAX(BZ27-AQ28/AQ$9*100,0)</f>
        <v>0</v>
      </c>
      <c r="CA28" s="1" t="n">
        <f aca="false">MAX(CA27-AR28/AR$9*100,0)</f>
        <v>0</v>
      </c>
      <c r="CB28" s="1" t="n">
        <f aca="false">CB$7*EXP(-$AM28/CB$8)</f>
        <v>5.39295201135807E-008</v>
      </c>
      <c r="CC28" s="1" t="n">
        <f aca="false">(BZ28-CB28)^2</f>
        <v>2.90839313968111E-015</v>
      </c>
      <c r="CD28" s="1" t="n">
        <f aca="false">MAX(CD27-AT28/AT$9*100,0)</f>
        <v>0</v>
      </c>
      <c r="CE28" s="1" t="n">
        <f aca="false">MAX(CE27-AU28/AU$9*100,0)</f>
        <v>5.32907051820075E-015</v>
      </c>
      <c r="CF28" s="1" t="n">
        <f aca="false">CF$7*EXP(-$AM28/CF$8)</f>
        <v>9.43124066882966E-008</v>
      </c>
      <c r="CG28" s="1" t="n">
        <f aca="false">(CD28-CF28)^2</f>
        <v>8.89483005533865E-015</v>
      </c>
      <c r="CH28" s="1" t="n">
        <f aca="false">$AM28</f>
        <v>17</v>
      </c>
      <c r="CI28" s="1" t="n">
        <f aca="false">MAX(CI27-AW28/AW$9*100,0)</f>
        <v>0</v>
      </c>
      <c r="CJ28" s="1" t="n">
        <f aca="false">MAX(CJ27-AX28/AX$9*100,0)</f>
        <v>0</v>
      </c>
      <c r="CK28" s="1" t="n">
        <f aca="false">CK$7*EXP(-$AM28/CK$8)</f>
        <v>8.71281112249262E-005</v>
      </c>
      <c r="CL28" s="1" t="n">
        <f aca="false">(CI28-CK28)^2</f>
        <v>7.59130776562311E-009</v>
      </c>
      <c r="CM28" s="1" t="n">
        <f aca="false">MAX(CM27-AZ28/AZ$9*100,0)</f>
        <v>0</v>
      </c>
      <c r="CN28" s="1" t="n">
        <f aca="false">MAX(CN27-BA28/BA$9*100,0)</f>
        <v>5.32907051820075E-015</v>
      </c>
      <c r="CO28" s="1" t="n">
        <f aca="false">CO$7*EXP(-$AM28/CO$8)</f>
        <v>0.0375257545080295</v>
      </c>
      <c r="CP28" s="1" t="n">
        <f aca="false">(CM28-CO28)^2</f>
        <v>0.0014081822513969</v>
      </c>
      <c r="CQ28" s="1" t="n">
        <f aca="false">$AM28</f>
        <v>17</v>
      </c>
      <c r="CR28" s="1" t="n">
        <f aca="false">MAX(CR27-BC28/BC$9*100,0)</f>
        <v>0</v>
      </c>
      <c r="CS28" s="1" t="n">
        <f aca="false">MAX(CS27-BD28/BD$9*100,0)</f>
        <v>0</v>
      </c>
      <c r="CT28" s="1" t="n">
        <f aca="false">CT$7*EXP(-$AM28/CT$8)</f>
        <v>0.000225905410282931</v>
      </c>
      <c r="CU28" s="1" t="n">
        <f aca="false">(CR28-CT28)^2</f>
        <v>5.10332543950994E-008</v>
      </c>
      <c r="CV28" s="1" t="n">
        <f aca="false">MAX(CV27-BF28/BF$9*100,0)</f>
        <v>8.88178419700125E-015</v>
      </c>
      <c r="CW28" s="1" t="n">
        <f aca="false">MAX(CW27-BG28/BG$9*100,0)</f>
        <v>1.50753768844222</v>
      </c>
      <c r="CX28" s="1" t="n">
        <f aca="false">CX$7*EXP(-$AM28/CX$8)</f>
        <v>0.119911514189783</v>
      </c>
      <c r="CY28" s="1" t="n">
        <f aca="false">(CV28-CX28)^2</f>
        <v>0.0143787712352844</v>
      </c>
      <c r="CZ28" s="1" t="n">
        <f aca="false">$AM28</f>
        <v>17</v>
      </c>
      <c r="DA28" s="1" t="n">
        <f aca="false">MAX(DA27-BI28/BI$9*100,0)</f>
        <v>0</v>
      </c>
      <c r="DB28" s="1" t="n">
        <f aca="false">MAX(DB27-BJ28/BJ$9*100,0)</f>
        <v>9.88098491916389E-015</v>
      </c>
      <c r="DC28" s="1" t="n">
        <f aca="false">DC$7*EXP(-$AM28/DC$8)</f>
        <v>0.000653227361823938</v>
      </c>
      <c r="DD28" s="1" t="n">
        <f aca="false">(DA28-DC28)^2</f>
        <v>4.26705986235462E-007</v>
      </c>
      <c r="DE28" s="1" t="n">
        <f aca="false">MAX(DE27-BL28/BL$9*100,0)</f>
        <v>2.54777070063694</v>
      </c>
      <c r="DF28" s="1" t="n">
        <f aca="false">MAX(DF27-BM28/BM$9*100,0)</f>
        <v>14.6496815286624</v>
      </c>
      <c r="DG28" s="1" t="n">
        <f aca="false">DG$7*EXP(-$AM28/DG$8)</f>
        <v>1.71884018603441</v>
      </c>
      <c r="DH28" s="1" t="n">
        <f aca="false">(DE28-DG28)^2</f>
        <v>0.687125798039213</v>
      </c>
      <c r="DI28" s="1" t="n">
        <f aca="false">$AM28</f>
        <v>17</v>
      </c>
      <c r="DJ28" s="1" t="n">
        <f aca="false">MAX(DJ27-BO28/BO$9*100,0)</f>
        <v>0</v>
      </c>
      <c r="DK28" s="1" t="n">
        <f aca="false">MAX(DK27-BP28/BP$9*100,0)</f>
        <v>9.99200722162641E-015</v>
      </c>
      <c r="DL28" s="1" t="n">
        <f aca="false">DL$7*EXP(-$AM28/DL$8)</f>
        <v>0.00443240674717118</v>
      </c>
      <c r="DM28" s="1" t="n">
        <f aca="false">(DJ28-DL28)^2</f>
        <v>1.96462295723686E-005</v>
      </c>
      <c r="DN28" s="1" t="n">
        <f aca="false">MAX(DN27-BR28/BR$9*100,0)</f>
        <v>2.51256281407035</v>
      </c>
      <c r="DO28" s="1" t="n">
        <f aca="false">MAX(DO27-BS28/BS$9*100,0)</f>
        <v>15.5778894472362</v>
      </c>
      <c r="DP28" s="1" t="n">
        <f aca="false">DP$7*EXP(-$AM28/DP$8)</f>
        <v>0.988226874109507</v>
      </c>
      <c r="DQ28" s="1" t="n">
        <f aca="false">(DN28-DP28)^2</f>
        <v>2.32360005785632</v>
      </c>
      <c r="DS28" s="1" t="n">
        <f aca="false">$AM28</f>
        <v>17</v>
      </c>
      <c r="DT28" s="1" t="n">
        <f aca="false">CA28</f>
        <v>0</v>
      </c>
      <c r="DU28" s="1" t="n">
        <f aca="false">DU$7*EXP(-DS28/DU$8)</f>
        <v>3.98878854860079E-006</v>
      </c>
      <c r="DV28" s="1" t="n">
        <f aca="false">(DT28-DU28)^2</f>
        <v>1.59104340854488E-011</v>
      </c>
      <c r="DX28" s="1" t="n">
        <f aca="false">$AM28</f>
        <v>17</v>
      </c>
      <c r="DY28" s="1" t="n">
        <f aca="false">CM28</f>
        <v>0</v>
      </c>
      <c r="DZ28" s="1" t="n">
        <f aca="false">DZ$7*EXP(-DX28/DZ$8)</f>
        <v>0.0112434812274357</v>
      </c>
      <c r="EA28" s="1" t="n">
        <f aca="false">(DY28-DZ28)^2</f>
        <v>0.000126415870111699</v>
      </c>
      <c r="EC28" s="1" t="n">
        <f aca="false">$AM28</f>
        <v>17</v>
      </c>
      <c r="ED28" s="1" t="n">
        <f aca="false">CV28</f>
        <v>8.88178419700125E-015</v>
      </c>
      <c r="EE28" s="1" t="n">
        <f aca="false">EE$7*EXP(-EC28/EE$8)</f>
        <v>0.0847750731223258</v>
      </c>
      <c r="EF28" s="1" t="n">
        <f aca="false">(ED28-EE28)^2</f>
        <v>0.00718681302289418</v>
      </c>
      <c r="EH28" s="1" t="n">
        <f aca="false">$AM28</f>
        <v>17</v>
      </c>
      <c r="EI28" s="1" t="n">
        <f aca="false">DE28</f>
        <v>2.54777070063694</v>
      </c>
      <c r="EJ28" s="1" t="n">
        <f aca="false">EJ$7*EXP(-EH28/EJ$8)</f>
        <v>1.71170806907991</v>
      </c>
      <c r="EK28" s="1" t="n">
        <f aca="false">(EI28-EJ28)^2</f>
        <v>0.699000723886064</v>
      </c>
      <c r="EM28" s="1" t="n">
        <f aca="false">AM28</f>
        <v>17</v>
      </c>
      <c r="EN28" s="1" t="n">
        <f aca="false">DN28</f>
        <v>2.51256281407035</v>
      </c>
      <c r="EO28" s="1" t="n">
        <f aca="false">EO$7*EXP(-EM28/EO$8)</f>
        <v>1.13877997982709</v>
      </c>
      <c r="EP28" s="1" t="n">
        <f aca="false">(EN28-EO28)^2</f>
        <v>1.88727927566145</v>
      </c>
      <c r="ER28" s="1" t="n">
        <f aca="false">$AM28</f>
        <v>17</v>
      </c>
      <c r="ES28" s="1" t="n">
        <f aca="false">BZ28</f>
        <v>0</v>
      </c>
      <c r="ET28" s="1" t="n">
        <f aca="false">ET$7*EXP(-ER28/ET$8)</f>
        <v>2.97274737021422E-007</v>
      </c>
      <c r="EU28" s="1" t="n">
        <f aca="false">(ES28-ET28)^2</f>
        <v>8.83722692711556E-014</v>
      </c>
      <c r="EW28" s="1" t="n">
        <f aca="false">$AM28</f>
        <v>17</v>
      </c>
      <c r="EX28" s="1" t="n">
        <f aca="false">CI28</f>
        <v>0</v>
      </c>
      <c r="EY28" s="1" t="n">
        <f aca="false">EY$7*EXP(-EW28/EY$8)</f>
        <v>1.88787165711617E-006</v>
      </c>
      <c r="EZ28" s="1" t="n">
        <f aca="false">(EX28-EY28)^2</f>
        <v>3.56405939374255E-012</v>
      </c>
      <c r="FB28" s="1" t="n">
        <f aca="false">$AM28</f>
        <v>17</v>
      </c>
      <c r="FC28" s="1" t="n">
        <f aca="false">CR28</f>
        <v>0</v>
      </c>
      <c r="FD28" s="1" t="n">
        <f aca="false">FD$7*EXP(-FB28/FD$8)</f>
        <v>1.65571480973101E-005</v>
      </c>
      <c r="FE28" s="1" t="n">
        <f aca="false">(FC28-FD28)^2</f>
        <v>2.74139153116259E-010</v>
      </c>
      <c r="FG28" s="1" t="n">
        <f aca="false">$AM28</f>
        <v>17</v>
      </c>
      <c r="FH28" s="1" t="n">
        <f aca="false">DA28</f>
        <v>0</v>
      </c>
      <c r="FI28" s="1" t="n">
        <f aca="false">FI$7*EXP(-FG28/FI$8)</f>
        <v>0.000147182079273574</v>
      </c>
      <c r="FJ28" s="1" t="n">
        <f aca="false">(FH28-FI28)^2</f>
        <v>2.16625644592926E-008</v>
      </c>
      <c r="FL28" s="1" t="n">
        <f aca="false">EM28</f>
        <v>17</v>
      </c>
      <c r="FM28" s="1" t="n">
        <f aca="false">DJ28</f>
        <v>0</v>
      </c>
      <c r="FN28" s="1" t="n">
        <f aca="false">FN$7*EXP(-FL28/FN$8)</f>
        <v>0.00203443956452782</v>
      </c>
      <c r="FO28" s="1" t="n">
        <f aca="false">(FM28-FN28)^2</f>
        <v>4.13894434171615E-006</v>
      </c>
      <c r="FQ28" s="1" t="n">
        <f aca="false">AM28</f>
        <v>17</v>
      </c>
      <c r="FR28" s="1" t="n">
        <f aca="false">AN28/AN$9*100</f>
        <v>0</v>
      </c>
      <c r="FS28" s="1" t="n">
        <f aca="false">AO28/AO$9*100</f>
        <v>0</v>
      </c>
      <c r="FT28" s="1" t="n">
        <f aca="false">AQ28/AQ$9*100</f>
        <v>0</v>
      </c>
      <c r="FU28" s="1" t="n">
        <f aca="false">AR28/AR$9*100</f>
        <v>0</v>
      </c>
      <c r="FV28" s="1" t="n">
        <f aca="false">AT28/AT$9*100</f>
        <v>0</v>
      </c>
      <c r="FW28" s="1" t="n">
        <f aca="false">AU28/AU$9*100</f>
        <v>0</v>
      </c>
      <c r="FX28" s="1" t="n">
        <f aca="false">AW28/AW$9*100</f>
        <v>0</v>
      </c>
      <c r="FY28" s="1" t="n">
        <f aca="false">AX28/AX$9*100</f>
        <v>0</v>
      </c>
      <c r="FZ28" s="1" t="n">
        <f aca="false">AZ28/AZ$9*100</f>
        <v>0</v>
      </c>
      <c r="GA28" s="1" t="n">
        <f aca="false">BA28/BA$9*100</f>
        <v>0</v>
      </c>
      <c r="GB28" s="1" t="n">
        <f aca="false">BC28/BC$9*100</f>
        <v>0</v>
      </c>
      <c r="GC28" s="1" t="n">
        <f aca="false">BD28/BD$9*100</f>
        <v>0</v>
      </c>
      <c r="GD28" s="1" t="n">
        <f aca="false">BF28/BF$9*100</f>
        <v>0</v>
      </c>
      <c r="GE28" s="1" t="n">
        <f aca="false">BG28/BG$9*100</f>
        <v>0</v>
      </c>
      <c r="GF28" s="1" t="n">
        <f aca="false">BI28/BI$9*100</f>
        <v>0</v>
      </c>
      <c r="GG28" s="1" t="n">
        <f aca="false">BJ28/BJ$9*100</f>
        <v>0</v>
      </c>
      <c r="GH28" s="1" t="n">
        <f aca="false">BL28/BL$9*100</f>
        <v>0</v>
      </c>
      <c r="GI28" s="1" t="n">
        <f aca="false">BM28/BM$9*100</f>
        <v>0</v>
      </c>
      <c r="GJ28" s="1" t="n">
        <f aca="false">BO28/BO$9*100</f>
        <v>0</v>
      </c>
      <c r="GK28" s="1" t="n">
        <f aca="false">BP28/BP$9*100</f>
        <v>0</v>
      </c>
      <c r="GL28" s="1" t="n">
        <f aca="false">BR28/BR$9*100</f>
        <v>0</v>
      </c>
      <c r="GM28" s="1" t="n">
        <f aca="false">BS28/BS$9*100</f>
        <v>0.50251256281407</v>
      </c>
      <c r="GO28" s="1" t="n">
        <f aca="false">$AM28</f>
        <v>17</v>
      </c>
      <c r="GP28" s="1" t="n">
        <f aca="false">FT28</f>
        <v>0</v>
      </c>
      <c r="GQ28" s="1" t="n">
        <f aca="false">GQ$6*(1+GQ$5*(-1)^$FQ28)*EXP(-$FQ28/GQ$4)</f>
        <v>0.000179210220245396</v>
      </c>
      <c r="GR28" s="1" t="n">
        <f aca="false">(GP28-GQ28)^2</f>
        <v>3.21163030404033E-008</v>
      </c>
      <c r="GS28" s="1" t="n">
        <f aca="false">EXP($FQ28/$JG$4)*GP28</f>
        <v>0</v>
      </c>
      <c r="GT28" s="1" t="n">
        <f aca="false">EXP($FQ28/$JG$4)*(-1)^$FQ28*GP28</f>
        <v>-0</v>
      </c>
      <c r="GU28" s="1" t="n">
        <f aca="false">(-1)^GO28*GP28</f>
        <v>-0</v>
      </c>
      <c r="GW28" s="1" t="n">
        <f aca="false">$AM28</f>
        <v>17</v>
      </c>
      <c r="GX28" s="1" t="n">
        <f aca="false">FX28</f>
        <v>0</v>
      </c>
      <c r="GY28" s="1" t="n">
        <f aca="false">GY$6*(1+GY$5*(-1)^$FQ28)*EXP(-$FQ28/GY$4)</f>
        <v>0.000179210220245396</v>
      </c>
      <c r="GZ28" s="1" t="n">
        <f aca="false">(GX28-GY28)^2</f>
        <v>3.21163030404033E-008</v>
      </c>
      <c r="HA28" s="1" t="n">
        <f aca="false">EXP($FQ28/$JG$4)*GX28</f>
        <v>0</v>
      </c>
      <c r="HB28" s="1" t="n">
        <f aca="false">EXP($FQ28/$JG$4)*(-1)^$FQ28*GX28</f>
        <v>-0</v>
      </c>
      <c r="HC28" s="1" t="n">
        <f aca="false">(-1)^GW28*GX28</f>
        <v>-0</v>
      </c>
      <c r="HE28" s="1" t="n">
        <f aca="false">$AM28</f>
        <v>17</v>
      </c>
      <c r="HF28" s="1" t="n">
        <f aca="false">GB28</f>
        <v>0</v>
      </c>
      <c r="HG28" s="1" t="n">
        <f aca="false">HG$6*(1+HG$5*(-1)^$FQ28)*EXP(-$FQ28/HG$4)</f>
        <v>0.000179210220245396</v>
      </c>
      <c r="HH28" s="1" t="n">
        <f aca="false">(HF28-HG28)^2</f>
        <v>3.21163030404033E-008</v>
      </c>
      <c r="HI28" s="1" t="n">
        <f aca="false">EXP($FQ28/$JG$4)*HF28</f>
        <v>0</v>
      </c>
      <c r="HJ28" s="1" t="n">
        <f aca="false">EXP($FQ28/$JG$4)*(-1)^$FQ28*HF28</f>
        <v>-0</v>
      </c>
      <c r="HK28" s="1" t="n">
        <f aca="false">(-1)^HE28*HF28</f>
        <v>-0</v>
      </c>
      <c r="HM28" s="1" t="n">
        <f aca="false">$AM28</f>
        <v>17</v>
      </c>
      <c r="HN28" s="1" t="n">
        <f aca="false">GF28</f>
        <v>0</v>
      </c>
      <c r="HO28" s="1" t="n">
        <f aca="false">HO$6*(1+HO$5*(-1)^$FQ28)*EXP(-$FQ28/HO$4)</f>
        <v>0.00137576712397637</v>
      </c>
      <c r="HP28" s="1" t="n">
        <f aca="false">(HN28-HO28)^2</f>
        <v>1.89273517941421E-006</v>
      </c>
      <c r="HQ28" s="1" t="n">
        <f aca="false">EXP($FQ28/$JG$4)*HN28</f>
        <v>0</v>
      </c>
      <c r="HR28" s="1" t="n">
        <f aca="false">EXP($FQ28/$JG$4)*(-1)^$FQ28*HN28</f>
        <v>-0</v>
      </c>
      <c r="HS28" s="1" t="n">
        <f aca="false">(-1)^HM28*HN28</f>
        <v>-0</v>
      </c>
      <c r="HU28" s="1" t="n">
        <f aca="false">$AM28</f>
        <v>17</v>
      </c>
      <c r="HV28" s="1" t="n">
        <f aca="false">GJ28</f>
        <v>0</v>
      </c>
      <c r="HW28" s="1" t="n">
        <f aca="false">HW$6*(1+HW$5*(-1)^$FQ28)*EXP(-$FQ28/HW$4)</f>
        <v>0.0168932604948345</v>
      </c>
      <c r="HX28" s="1" t="n">
        <f aca="false">(HV28-HW28)^2</f>
        <v>0.000285382250146336</v>
      </c>
      <c r="HY28" s="1" t="n">
        <f aca="false">EXP($FQ28/$JG$4)*HV28</f>
        <v>0</v>
      </c>
      <c r="HZ28" s="1" t="n">
        <f aca="false">EXP($FQ28/$JG$4)*(-1)^$FQ28*HV28</f>
        <v>-0</v>
      </c>
      <c r="IA28" s="1" t="n">
        <f aca="false">(-1)^HU28*HV28</f>
        <v>-0</v>
      </c>
      <c r="IB28" s="1" t="n">
        <v>0.000139</v>
      </c>
      <c r="ID28" s="1" t="n">
        <f aca="false">$AM28</f>
        <v>17</v>
      </c>
      <c r="IE28" s="1" t="n">
        <f aca="false">FZ28</f>
        <v>0</v>
      </c>
      <c r="IF28" s="1" t="n">
        <f aca="false">IF$6*(1+IF$5*(-1)^$FQ28)*EXP(-$FQ28/IF$4)</f>
        <v>0.0982552317550238</v>
      </c>
      <c r="IG28" s="1" t="n">
        <f aca="false">(IE28-IF28)^2</f>
        <v>0.00965409056723344</v>
      </c>
      <c r="IH28" s="1" t="n">
        <f aca="false">EXP($FQ28/$JG$4)*IE28</f>
        <v>0</v>
      </c>
      <c r="II28" s="1" t="n">
        <f aca="false">EXP($FQ28/$JG$4)*(-1)^$FQ28*IE28</f>
        <v>-0</v>
      </c>
      <c r="IJ28" s="1" t="n">
        <f aca="false">(-1)^ID28*IE28</f>
        <v>-0</v>
      </c>
      <c r="IK28" s="1" t="n">
        <v>0.001271</v>
      </c>
      <c r="IM28" s="1" t="n">
        <f aca="false">$AM28</f>
        <v>17</v>
      </c>
      <c r="IN28" s="1" t="n">
        <f aca="false">GD28</f>
        <v>0</v>
      </c>
      <c r="IO28" s="1" t="n">
        <f aca="false">IO$6*(1+IO$5*(-1)^$FQ28)*EXP(-$FQ28/IO$4)</f>
        <v>0.17091548980776</v>
      </c>
      <c r="IP28" s="1" t="n">
        <f aca="false">(IN28-IO28)^2</f>
        <v>0.0292121046562265</v>
      </c>
      <c r="IQ28" s="1" t="n">
        <f aca="false">EXP($FQ28/$JG$4)*IN28</f>
        <v>0</v>
      </c>
      <c r="IR28" s="1" t="n">
        <f aca="false">EXP($FQ28/$JG$4)*(-1)^$FQ28*IN28</f>
        <v>-0</v>
      </c>
      <c r="IS28" s="1" t="n">
        <f aca="false">(-1)^IM28*IN28</f>
        <v>-0</v>
      </c>
      <c r="IT28" s="1" t="n">
        <v>0.004607</v>
      </c>
      <c r="IV28" s="1" t="n">
        <f aca="false">$AM28</f>
        <v>17</v>
      </c>
      <c r="IW28" s="1" t="n">
        <f aca="false">GH28</f>
        <v>0</v>
      </c>
      <c r="IX28" s="1" t="n">
        <f aca="false">IX$6*(1+IX$5*(-1)^$FQ28)*EXP(-$FQ28/IX$4)</f>
        <v>0.350496643779226</v>
      </c>
      <c r="IY28" s="1" t="n">
        <f aca="false">(IW28-IX28)^2</f>
        <v>0.122847897300502</v>
      </c>
      <c r="IZ28" s="1" t="n">
        <f aca="false">EXP($FQ28/$JG$4)*IW28</f>
        <v>0</v>
      </c>
      <c r="JA28" s="1" t="n">
        <f aca="false">EXP($FQ28/$JG$4)*(-1)^$FQ28*IW28</f>
        <v>-0</v>
      </c>
      <c r="JB28" s="1" t="n">
        <f aca="false">(-1)^IV28*IW28</f>
        <v>-0</v>
      </c>
      <c r="JC28" s="1" t="n">
        <v>0.287594</v>
      </c>
      <c r="JE28" s="1" t="n">
        <f aca="false">$AM28</f>
        <v>17</v>
      </c>
      <c r="JF28" s="1" t="n">
        <f aca="false">GL28</f>
        <v>0</v>
      </c>
      <c r="JG28" s="1" t="n">
        <f aca="false">JG$6*(1+JG$5*(-1)^$FQ28)*EXP(-$FQ28/JG$4)</f>
        <v>0.143657489926022</v>
      </c>
      <c r="JH28" s="1" t="n">
        <f aca="false">(JF28-JG28)^2</f>
        <v>0.0206374744118451</v>
      </c>
      <c r="JI28" s="1" t="n">
        <f aca="false">EXP($FQ28/$JG$4)*JF28</f>
        <v>0</v>
      </c>
      <c r="JJ28" s="1" t="n">
        <f aca="false">EXP($FQ28/$JG$4)*(-1)^$FQ28*JF28</f>
        <v>-0</v>
      </c>
      <c r="JK28" s="1" t="n">
        <f aca="false">(-1)^JE28*JF28</f>
        <v>-0</v>
      </c>
      <c r="JL28" s="1" t="n">
        <v>0.248101</v>
      </c>
      <c r="JO28" s="1" t="n">
        <f aca="false">$AM28</f>
        <v>17</v>
      </c>
      <c r="JP28" s="1" t="n">
        <f aca="false">GM28</f>
        <v>0.50251256281407</v>
      </c>
      <c r="JQ28" s="1" t="n">
        <f aca="false">JQ$6*(1+JQ$5*(-1)^$FQ28)*EXP(-$FQ28/JQ$4)</f>
        <v>0.703164636037809</v>
      </c>
      <c r="JR28" s="1" t="n">
        <f aca="false">(JP28-JQ28)^2</f>
        <v>0.0402612544889846</v>
      </c>
      <c r="JS28" s="1" t="n">
        <f aca="false">EXP($FQ28/$JG$4)*JP28</f>
        <v>26.677699137008</v>
      </c>
      <c r="JT28" s="1" t="n">
        <f aca="false">EXP($FQ28/$JG$4)*(-1)^$FQ28*JP28</f>
        <v>-26.677699137008</v>
      </c>
      <c r="JU28" s="1" t="n">
        <f aca="false">(-1)^JO28*JP28</f>
        <v>-0.50251256281407</v>
      </c>
    </row>
    <row r="29" customFormat="false" ht="16" hidden="false" customHeight="false" outlineLevel="0" collapsed="false">
      <c r="A29" s="1" t="n">
        <v>1</v>
      </c>
      <c r="B29" s="1" t="n">
        <v>1</v>
      </c>
      <c r="C29" s="1" t="n">
        <f aca="false">B29-A29</f>
        <v>0</v>
      </c>
      <c r="D29" s="1" t="n">
        <v>1</v>
      </c>
      <c r="E29" s="1" t="n">
        <v>1</v>
      </c>
      <c r="F29" s="1" t="n">
        <f aca="false">E29-D29</f>
        <v>0</v>
      </c>
      <c r="G29" s="1" t="n">
        <v>1</v>
      </c>
      <c r="H29" s="1" t="n">
        <v>1</v>
      </c>
      <c r="I29" s="1" t="n">
        <f aca="false">H29-G29</f>
        <v>0</v>
      </c>
      <c r="J29" s="1" t="n">
        <v>2</v>
      </c>
      <c r="K29" s="1" t="n">
        <v>2</v>
      </c>
      <c r="L29" s="1" t="n">
        <f aca="false">K29-J29</f>
        <v>0</v>
      </c>
      <c r="M29" s="1" t="n">
        <v>4</v>
      </c>
      <c r="N29" s="1" t="n">
        <v>4</v>
      </c>
      <c r="O29" s="1" t="n">
        <f aca="false">N29-M29</f>
        <v>0</v>
      </c>
      <c r="P29" s="1" t="n">
        <v>1</v>
      </c>
      <c r="Q29" s="1" t="n">
        <v>1</v>
      </c>
      <c r="R29" s="1" t="n">
        <f aca="false">Q29-P29</f>
        <v>0</v>
      </c>
      <c r="S29" s="1" t="n">
        <v>3</v>
      </c>
      <c r="T29" s="1" t="n">
        <v>4</v>
      </c>
      <c r="U29" s="1" t="n">
        <f aca="false">T29-S29</f>
        <v>1</v>
      </c>
      <c r="V29" s="1" t="n">
        <v>4</v>
      </c>
      <c r="W29" s="1" t="n">
        <v>4</v>
      </c>
      <c r="X29" s="1" t="n">
        <f aca="false">W29-V29</f>
        <v>0</v>
      </c>
      <c r="Y29" s="1" t="n">
        <v>2</v>
      </c>
      <c r="Z29" s="1" t="n">
        <v>3</v>
      </c>
      <c r="AA29" s="1" t="n">
        <f aca="false">Z29-Y29</f>
        <v>1</v>
      </c>
      <c r="AB29" s="1" t="n">
        <v>2</v>
      </c>
      <c r="AC29" s="1" t="n">
        <v>6</v>
      </c>
      <c r="AD29" s="1" t="n">
        <f aca="false">AC29-AB29</f>
        <v>4</v>
      </c>
      <c r="AE29" s="1" t="n">
        <v>8</v>
      </c>
      <c r="AF29" s="1" t="n">
        <v>22</v>
      </c>
      <c r="AG29" s="1" t="n">
        <f aca="false">AF29-AE29</f>
        <v>14</v>
      </c>
      <c r="AI29" s="1" t="s">
        <v>52</v>
      </c>
      <c r="AJ29" s="1" t="n">
        <f aca="false">COUNTIFS(Q$2:Q$1000,2,P$2:P$1000,0)</f>
        <v>0</v>
      </c>
      <c r="AM29" s="1" t="n">
        <v>18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1</v>
      </c>
      <c r="BM29" s="1" t="n">
        <v>3</v>
      </c>
      <c r="BN29" s="1" t="n">
        <v>1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4</v>
      </c>
      <c r="BT29" s="1" t="n">
        <v>4</v>
      </c>
      <c r="BW29" s="1" t="n">
        <f aca="false">$AM29</f>
        <v>18</v>
      </c>
      <c r="BX29" s="1" t="n">
        <f aca="false">MAX(BX28-AN29/AN$9*100,0)</f>
        <v>0</v>
      </c>
      <c r="BY29" s="1" t="n">
        <f aca="false">MAX(BY28-AO29/AO$9*100,0)</f>
        <v>0</v>
      </c>
      <c r="BZ29" s="1" t="n">
        <f aca="false">MAX(BZ28-AQ29/AQ$9*100,0)</f>
        <v>0</v>
      </c>
      <c r="CA29" s="1" t="n">
        <f aca="false">MAX(CA28-AR29/AR$9*100,0)</f>
        <v>0</v>
      </c>
      <c r="CB29" s="1" t="n">
        <f aca="false">CB$7*EXP(-$AM29/CB$8)</f>
        <v>1.47166088877632E-008</v>
      </c>
      <c r="CC29" s="1" t="n">
        <f aca="false">(BZ29-CB29)^2</f>
        <v>2.16578577155391E-016</v>
      </c>
      <c r="CD29" s="1" t="n">
        <f aca="false">MAX(CD28-AT29/AT$9*100,0)</f>
        <v>0</v>
      </c>
      <c r="CE29" s="1" t="n">
        <f aca="false">MAX(CE28-AU29/AU$9*100,0)</f>
        <v>5.32907051820075E-015</v>
      </c>
      <c r="CF29" s="1" t="n">
        <f aca="false">CF$7*EXP(-$AM29/CF$8)</f>
        <v>2.65967748535323E-008</v>
      </c>
      <c r="CG29" s="1" t="n">
        <f aca="false">(CD29-CF29)^2</f>
        <v>7.07388432609488E-016</v>
      </c>
      <c r="CH29" s="1" t="n">
        <f aca="false">$AM29</f>
        <v>18</v>
      </c>
      <c r="CI29" s="1" t="n">
        <f aca="false">MAX(CI28-AW29/AW$9*100,0)</f>
        <v>0</v>
      </c>
      <c r="CJ29" s="1" t="n">
        <f aca="false">MAX(CJ28-AX29/AX$9*100,0)</f>
        <v>0</v>
      </c>
      <c r="CK29" s="1" t="n">
        <f aca="false">CK$7*EXP(-$AM29/CK$8)</f>
        <v>3.70652073989846E-005</v>
      </c>
      <c r="CL29" s="1" t="n">
        <f aca="false">(CI29-CK29)^2</f>
        <v>1.37382959952974E-009</v>
      </c>
      <c r="CM29" s="1" t="n">
        <f aca="false">MAX(CM28-AZ29/AZ$9*100,0)</f>
        <v>0</v>
      </c>
      <c r="CN29" s="1" t="n">
        <f aca="false">MAX(CN28-BA29/BA$9*100,0)</f>
        <v>5.32907051820075E-015</v>
      </c>
      <c r="CO29" s="1" t="n">
        <f aca="false">CO$7*EXP(-$AM29/CO$8)</f>
        <v>0.0232024587429829</v>
      </c>
      <c r="CP29" s="1" t="n">
        <f aca="false">(CM29-CO29)^2</f>
        <v>0.000538354091719824</v>
      </c>
      <c r="CQ29" s="1" t="n">
        <f aca="false">$AM29</f>
        <v>18</v>
      </c>
      <c r="CR29" s="1" t="n">
        <f aca="false">MAX(CR28-BC29/BC$9*100,0)</f>
        <v>0</v>
      </c>
      <c r="CS29" s="1" t="n">
        <f aca="false">MAX(CS28-BD29/BD$9*100,0)</f>
        <v>0</v>
      </c>
      <c r="CT29" s="1" t="n">
        <f aca="false">CT$7*EXP(-$AM29/CT$8)</f>
        <v>0.00010279274722913</v>
      </c>
      <c r="CU29" s="1" t="n">
        <f aca="false">(CR29-CT29)^2</f>
        <v>1.05663488829118E-008</v>
      </c>
      <c r="CV29" s="1" t="n">
        <f aca="false">MAX(CV28-BF29/BF$9*100,0)</f>
        <v>8.88178419700125E-015</v>
      </c>
      <c r="CW29" s="1" t="n">
        <f aca="false">MAX(CW28-BG29/BG$9*100,0)</f>
        <v>1.50753768844222</v>
      </c>
      <c r="CX29" s="1" t="n">
        <f aca="false">CX$7*EXP(-$AM29/CX$8)</f>
        <v>0.0793232240176492</v>
      </c>
      <c r="CY29" s="1" t="n">
        <f aca="false">(CV29-CX29)^2</f>
        <v>0.00629217386855275</v>
      </c>
      <c r="CZ29" s="1" t="n">
        <f aca="false">$AM29</f>
        <v>18</v>
      </c>
      <c r="DA29" s="1" t="n">
        <f aca="false">MAX(DA28-BI29/BI$9*100,0)</f>
        <v>0</v>
      </c>
      <c r="DB29" s="1" t="n">
        <f aca="false">MAX(DB28-BJ29/BJ$9*100,0)</f>
        <v>9.88098491916389E-015</v>
      </c>
      <c r="DC29" s="1" t="n">
        <f aca="false">DC$7*EXP(-$AM29/DC$8)</f>
        <v>0.000314819116894797</v>
      </c>
      <c r="DD29" s="1" t="n">
        <f aca="false">(DA29-DC29)^2</f>
        <v>9.91110763624199E-008</v>
      </c>
      <c r="DE29" s="1" t="n">
        <f aca="false">MAX(DE28-BL29/BL$9*100,0)</f>
        <v>1.9108280254777</v>
      </c>
      <c r="DF29" s="1" t="n">
        <f aca="false">MAX(DF28-BM29/BM$9*100,0)</f>
        <v>12.7388535031847</v>
      </c>
      <c r="DG29" s="1" t="n">
        <f aca="false">DG$7*EXP(-$AM29/DG$8)</f>
        <v>1.3386340828582</v>
      </c>
      <c r="DH29" s="1" t="n">
        <f aca="false">(DE29-DG29)^2</f>
        <v>0.327405907970451</v>
      </c>
      <c r="DI29" s="1" t="n">
        <f aca="false">$AM29</f>
        <v>18</v>
      </c>
      <c r="DJ29" s="1" t="n">
        <f aca="false">MAX(DJ28-BO29/BO$9*100,0)</f>
        <v>0</v>
      </c>
      <c r="DK29" s="1" t="n">
        <f aca="false">MAX(DK28-BP29/BP$9*100,0)</f>
        <v>9.99200722162641E-015</v>
      </c>
      <c r="DL29" s="1" t="n">
        <f aca="false">DL$7*EXP(-$AM29/DL$8)</f>
        <v>0.00239994492170822</v>
      </c>
      <c r="DM29" s="1" t="n">
        <f aca="false">(DJ29-DL29)^2</f>
        <v>5.75973562723307E-006</v>
      </c>
      <c r="DN29" s="1" t="n">
        <f aca="false">MAX(DN28-BR29/BR$9*100,0)</f>
        <v>2.51256281407035</v>
      </c>
      <c r="DO29" s="1" t="n">
        <f aca="false">MAX(DO28-BS29/BS$9*100,0)</f>
        <v>13.5678391959799</v>
      </c>
      <c r="DP29" s="1" t="n">
        <f aca="false">DP$7*EXP(-$AM29/DP$8)</f>
        <v>0.744435476942636</v>
      </c>
      <c r="DQ29" s="1" t="n">
        <f aca="false">(DN29-DP29)^2</f>
        <v>3.12627428029835</v>
      </c>
      <c r="DS29" s="1" t="n">
        <f aca="false">$AM29</f>
        <v>18</v>
      </c>
      <c r="DT29" s="1" t="n">
        <f aca="false">CA29</f>
        <v>0</v>
      </c>
      <c r="DU29" s="1" t="n">
        <f aca="false">DU$7*EXP(-DS29/DU$8)</f>
        <v>1.42270462828995E-006</v>
      </c>
      <c r="DV29" s="1" t="n">
        <f aca="false">(DT29-DU29)^2</f>
        <v>2.02408845935764E-012</v>
      </c>
      <c r="DX29" s="1" t="n">
        <f aca="false">$AM29</f>
        <v>18</v>
      </c>
      <c r="DY29" s="1" t="n">
        <f aca="false">CM29</f>
        <v>0</v>
      </c>
      <c r="DZ29" s="1" t="n">
        <f aca="false">DZ$7*EXP(-DX29/DZ$8)</f>
        <v>0.00641084290961549</v>
      </c>
      <c r="EA29" s="1" t="n">
        <f aca="false">(DY29-DZ29)^2</f>
        <v>4.10989068117672E-005</v>
      </c>
      <c r="EC29" s="1" t="n">
        <f aca="false">$AM29</f>
        <v>18</v>
      </c>
      <c r="ED29" s="1" t="n">
        <f aca="false">CV29</f>
        <v>8.88178419700125E-015</v>
      </c>
      <c r="EE29" s="1" t="n">
        <f aca="false">EE$7*EXP(-EC29/EE$8)</f>
        <v>0.0547797350853736</v>
      </c>
      <c r="EF29" s="1" t="n">
        <f aca="false">(ED29-EE29)^2</f>
        <v>0.00300081937602274</v>
      </c>
      <c r="EH29" s="1" t="n">
        <f aca="false">$AM29</f>
        <v>18</v>
      </c>
      <c r="EI29" s="1" t="n">
        <f aca="false">DE29</f>
        <v>1.9108280254777</v>
      </c>
      <c r="EJ29" s="1" t="n">
        <f aca="false">EJ$7*EXP(-EH29/EJ$8)</f>
        <v>1.33307958458908</v>
      </c>
      <c r="EK29" s="1" t="n">
        <f aca="false">(EI29-EJ29)^2</f>
        <v>0.333793260949235</v>
      </c>
      <c r="EM29" s="1" t="n">
        <f aca="false">AM29</f>
        <v>18</v>
      </c>
      <c r="EN29" s="1" t="n">
        <f aca="false">DN29</f>
        <v>2.51256281407035</v>
      </c>
      <c r="EO29" s="1" t="n">
        <f aca="false">EO$7*EXP(-EM29/EO$8)</f>
        <v>0.865874667596145</v>
      </c>
      <c r="EP29" s="1" t="n">
        <f aca="false">(EN29-EO29)^2</f>
        <v>2.71158185173866</v>
      </c>
      <c r="ER29" s="1" t="n">
        <f aca="false">$AM29</f>
        <v>18</v>
      </c>
      <c r="ES29" s="1" t="n">
        <f aca="false">BZ29</f>
        <v>0</v>
      </c>
      <c r="ET29" s="1" t="n">
        <f aca="false">ET$7*EXP(-ER29/ET$8)</f>
        <v>9.0394241144611E-008</v>
      </c>
      <c r="EU29" s="1" t="n">
        <f aca="false">(ES29-ET29)^2</f>
        <v>8.17111883211009E-015</v>
      </c>
      <c r="EW29" s="1" t="n">
        <f aca="false">$AM29</f>
        <v>18</v>
      </c>
      <c r="EX29" s="1" t="n">
        <f aca="false">CI29</f>
        <v>0</v>
      </c>
      <c r="EY29" s="1" t="n">
        <f aca="false">EY$7*EXP(-EW29/EY$8)</f>
        <v>6.2910883306347E-007</v>
      </c>
      <c r="EZ29" s="1" t="n">
        <f aca="false">(EX29-EY29)^2</f>
        <v>3.95777923838481E-013</v>
      </c>
      <c r="FB29" s="1" t="n">
        <f aca="false">$AM29</f>
        <v>18</v>
      </c>
      <c r="FC29" s="1" t="n">
        <f aca="false">CR29</f>
        <v>0</v>
      </c>
      <c r="FD29" s="1" t="n">
        <f aca="false">FD$7*EXP(-FB29/FD$8)</f>
        <v>6.38810051626754E-006</v>
      </c>
      <c r="FE29" s="1" t="n">
        <f aca="false">(FC29-FD29)^2</f>
        <v>4.08078282059376E-011</v>
      </c>
      <c r="FG29" s="1" t="n">
        <f aca="false">$AM29</f>
        <v>18</v>
      </c>
      <c r="FH29" s="1" t="n">
        <f aca="false">DA29</f>
        <v>0</v>
      </c>
      <c r="FI29" s="1" t="n">
        <f aca="false">FI$7*EXP(-FG29/FI$8)</f>
        <v>6.44071192155801E-005</v>
      </c>
      <c r="FJ29" s="1" t="n">
        <f aca="false">(FH29-FI29)^2</f>
        <v>4.14827700564995E-009</v>
      </c>
      <c r="FL29" s="1" t="n">
        <f aca="false">EM29</f>
        <v>18</v>
      </c>
      <c r="FM29" s="1" t="n">
        <f aca="false">DJ29</f>
        <v>0</v>
      </c>
      <c r="FN29" s="1" t="n">
        <f aca="false">FN$7*EXP(-FL29/FN$8)</f>
        <v>0.0010445161000658</v>
      </c>
      <c r="FO29" s="1" t="n">
        <f aca="false">(FM29-FN29)^2</f>
        <v>1.09101388329667E-006</v>
      </c>
      <c r="FQ29" s="1" t="n">
        <f aca="false">AM29</f>
        <v>18</v>
      </c>
      <c r="FR29" s="1" t="n">
        <f aca="false">AN29/AN$9*100</f>
        <v>0</v>
      </c>
      <c r="FS29" s="1" t="n">
        <f aca="false">AO29/AO$9*100</f>
        <v>0</v>
      </c>
      <c r="FT29" s="1" t="n">
        <f aca="false">AQ29/AQ$9*100</f>
        <v>0</v>
      </c>
      <c r="FU29" s="1" t="n">
        <f aca="false">AR29/AR$9*100</f>
        <v>0</v>
      </c>
      <c r="FV29" s="1" t="n">
        <f aca="false">AT29/AT$9*100</f>
        <v>0</v>
      </c>
      <c r="FW29" s="1" t="n">
        <f aca="false">AU29/AU$9*100</f>
        <v>0</v>
      </c>
      <c r="FX29" s="1" t="n">
        <f aca="false">AW29/AW$9*100</f>
        <v>0</v>
      </c>
      <c r="FY29" s="1" t="n">
        <f aca="false">AX29/AX$9*100</f>
        <v>0</v>
      </c>
      <c r="FZ29" s="1" t="n">
        <f aca="false">AZ29/AZ$9*100</f>
        <v>0</v>
      </c>
      <c r="GA29" s="1" t="n">
        <f aca="false">BA29/BA$9*100</f>
        <v>0</v>
      </c>
      <c r="GB29" s="1" t="n">
        <f aca="false">BC29/BC$9*100</f>
        <v>0</v>
      </c>
      <c r="GC29" s="1" t="n">
        <f aca="false">BD29/BD$9*100</f>
        <v>0</v>
      </c>
      <c r="GD29" s="1" t="n">
        <f aca="false">BF29/BF$9*100</f>
        <v>0</v>
      </c>
      <c r="GE29" s="1" t="n">
        <f aca="false">BG29/BG$9*100</f>
        <v>0</v>
      </c>
      <c r="GF29" s="1" t="n">
        <f aca="false">BI29/BI$9*100</f>
        <v>0</v>
      </c>
      <c r="GG29" s="1" t="n">
        <f aca="false">BJ29/BJ$9*100</f>
        <v>0</v>
      </c>
      <c r="GH29" s="1" t="n">
        <f aca="false">BL29/BL$9*100</f>
        <v>0.636942675159236</v>
      </c>
      <c r="GI29" s="1" t="n">
        <f aca="false">BM29/BM$9*100</f>
        <v>1.91082802547771</v>
      </c>
      <c r="GJ29" s="1" t="n">
        <f aca="false">BO29/BO$9*100</f>
        <v>0</v>
      </c>
      <c r="GK29" s="1" t="n">
        <f aca="false">BP29/BP$9*100</f>
        <v>0</v>
      </c>
      <c r="GL29" s="1" t="n">
        <f aca="false">BR29/BR$9*100</f>
        <v>0</v>
      </c>
      <c r="GM29" s="1" t="n">
        <f aca="false">BS29/BS$9*100</f>
        <v>2.01005025125628</v>
      </c>
      <c r="GO29" s="1" t="n">
        <f aca="false">$AM29</f>
        <v>18</v>
      </c>
      <c r="GP29" s="1" t="n">
        <f aca="false">FT29</f>
        <v>0</v>
      </c>
      <c r="GQ29" s="1" t="n">
        <f aca="false">GQ$6*(1+GQ$5*(-1)^$FQ29)*EXP(-$FQ29/GQ$4)</f>
        <v>0.000245452745784797</v>
      </c>
      <c r="GR29" s="1" t="n">
        <f aca="false">(GP29-GQ29)^2</f>
        <v>6.02470504132962E-008</v>
      </c>
      <c r="GS29" s="1" t="n">
        <f aca="false">EXP($FQ29/$JG$4)*GP29</f>
        <v>0</v>
      </c>
      <c r="GT29" s="1" t="n">
        <f aca="false">EXP($FQ29/$JG$4)*(-1)^$FQ29*GP29</f>
        <v>0</v>
      </c>
      <c r="GU29" s="1" t="n">
        <f aca="false">(-1)^GO29*GP29</f>
        <v>0</v>
      </c>
      <c r="GW29" s="1" t="n">
        <f aca="false">$AM29</f>
        <v>18</v>
      </c>
      <c r="GX29" s="1" t="n">
        <f aca="false">FX29</f>
        <v>0</v>
      </c>
      <c r="GY29" s="1" t="n">
        <f aca="false">GY$6*(1+GY$5*(-1)^$FQ29)*EXP(-$FQ29/GY$4)</f>
        <v>0.000245452745784797</v>
      </c>
      <c r="GZ29" s="1" t="n">
        <f aca="false">(GX29-GY29)^2</f>
        <v>6.02470504132962E-008</v>
      </c>
      <c r="HA29" s="1" t="n">
        <f aca="false">EXP($FQ29/$JG$4)*GX29</f>
        <v>0</v>
      </c>
      <c r="HB29" s="1" t="n">
        <f aca="false">EXP($FQ29/$JG$4)*(-1)^$FQ29*GX29</f>
        <v>0</v>
      </c>
      <c r="HC29" s="1" t="n">
        <f aca="false">(-1)^GW29*GX29</f>
        <v>0</v>
      </c>
      <c r="HE29" s="1" t="n">
        <f aca="false">$AM29</f>
        <v>18</v>
      </c>
      <c r="HF29" s="1" t="n">
        <f aca="false">GB29</f>
        <v>0</v>
      </c>
      <c r="HG29" s="1" t="n">
        <f aca="false">HG$6*(1+HG$5*(-1)^$FQ29)*EXP(-$FQ29/HG$4)</f>
        <v>0.000245452745784797</v>
      </c>
      <c r="HH29" s="1" t="n">
        <f aca="false">(HF29-HG29)^2</f>
        <v>6.02470504132962E-008</v>
      </c>
      <c r="HI29" s="1" t="n">
        <f aca="false">EXP($FQ29/$JG$4)*HF29</f>
        <v>0</v>
      </c>
      <c r="HJ29" s="1" t="n">
        <f aca="false">EXP($FQ29/$JG$4)*(-1)^$FQ29*HF29</f>
        <v>0</v>
      </c>
      <c r="HK29" s="1" t="n">
        <f aca="false">(-1)^HE29*HF29</f>
        <v>0</v>
      </c>
      <c r="HM29" s="1" t="n">
        <f aca="false">$AM29</f>
        <v>18</v>
      </c>
      <c r="HN29" s="1" t="n">
        <f aca="false">GF29</f>
        <v>0</v>
      </c>
      <c r="HO29" s="1" t="n">
        <f aca="false">HO$6*(1+HO$5*(-1)^$FQ29)*EXP(-$FQ29/HO$4)</f>
        <v>0.0034437347928861</v>
      </c>
      <c r="HP29" s="1" t="n">
        <f aca="false">(HN29-HO29)^2</f>
        <v>1.18593093237343E-005</v>
      </c>
      <c r="HQ29" s="1" t="n">
        <f aca="false">EXP($FQ29/$JG$4)*HN29</f>
        <v>0</v>
      </c>
      <c r="HR29" s="1" t="n">
        <f aca="false">EXP($FQ29/$JG$4)*(-1)^$FQ29*HN29</f>
        <v>0</v>
      </c>
      <c r="HS29" s="1" t="n">
        <f aca="false">(-1)^HM29*HN29</f>
        <v>0</v>
      </c>
      <c r="HU29" s="1" t="n">
        <f aca="false">$AM29</f>
        <v>18</v>
      </c>
      <c r="HV29" s="1" t="n">
        <f aca="false">GJ29</f>
        <v>0</v>
      </c>
      <c r="HW29" s="1" t="n">
        <f aca="false">HW$6*(1+HW$5*(-1)^$FQ29)*EXP(-$FQ29/HW$4)</f>
        <v>0.0325588482602495</v>
      </c>
      <c r="HX29" s="1" t="n">
        <f aca="false">(HV29-HW29)^2</f>
        <v>0.00106007860003395</v>
      </c>
      <c r="HY29" s="1" t="n">
        <f aca="false">EXP($FQ29/$JG$4)*HV29</f>
        <v>0</v>
      </c>
      <c r="HZ29" s="1" t="n">
        <f aca="false">EXP($FQ29/$JG$4)*(-1)^$FQ29*HV29</f>
        <v>0</v>
      </c>
      <c r="IA29" s="1" t="n">
        <f aca="false">(-1)^HU29*HV29</f>
        <v>0</v>
      </c>
      <c r="IB29" s="1" t="n">
        <v>0</v>
      </c>
      <c r="ID29" s="1" t="n">
        <f aca="false">$AM29</f>
        <v>18</v>
      </c>
      <c r="IE29" s="1" t="n">
        <f aca="false">FZ29</f>
        <v>0</v>
      </c>
      <c r="IF29" s="1" t="n">
        <f aca="false">IF$6*(1+IF$5*(-1)^$FQ29)*EXP(-$FQ29/IF$4)</f>
        <v>0.136664549961484</v>
      </c>
      <c r="IG29" s="1" t="n">
        <f aca="false">(IE29-IF29)^2</f>
        <v>0.018677199216175</v>
      </c>
      <c r="IH29" s="1" t="n">
        <f aca="false">EXP($FQ29/$JG$4)*IE29</f>
        <v>0</v>
      </c>
      <c r="II29" s="1" t="n">
        <f aca="false">EXP($FQ29/$JG$4)*(-1)^$FQ29*IE29</f>
        <v>0</v>
      </c>
      <c r="IJ29" s="1" t="n">
        <f aca="false">(-1)^ID29*IE29</f>
        <v>0</v>
      </c>
      <c r="IK29" s="1" t="n">
        <v>0.001059</v>
      </c>
      <c r="IM29" s="1" t="n">
        <f aca="false">$AM29</f>
        <v>18</v>
      </c>
      <c r="IN29" s="1" t="n">
        <f aca="false">GD29</f>
        <v>0</v>
      </c>
      <c r="IO29" s="1" t="n">
        <f aca="false">IO$6*(1+IO$5*(-1)^$FQ29)*EXP(-$FQ29/IO$4)</f>
        <v>0.27930409553454</v>
      </c>
      <c r="IP29" s="1" t="n">
        <f aca="false">(IN29-IO29)^2</f>
        <v>0.0780107777823675</v>
      </c>
      <c r="IQ29" s="1" t="n">
        <f aca="false">EXP($FQ29/$JG$4)*IN29</f>
        <v>0</v>
      </c>
      <c r="IR29" s="1" t="n">
        <f aca="false">EXP($FQ29/$JG$4)*(-1)^$FQ29*IN29</f>
        <v>0</v>
      </c>
      <c r="IS29" s="1" t="n">
        <f aca="false">(-1)^IM29*IN29</f>
        <v>0</v>
      </c>
      <c r="IT29" s="1" t="n">
        <v>0.001152</v>
      </c>
      <c r="IV29" s="1" t="n">
        <f aca="false">$AM29</f>
        <v>18</v>
      </c>
      <c r="IW29" s="1" t="n">
        <f aca="false">GH29</f>
        <v>0.636942675159236</v>
      </c>
      <c r="IX29" s="1" t="n">
        <f aca="false">IX$6*(1+IX$5*(-1)^$FQ29)*EXP(-$FQ29/IX$4)</f>
        <v>1.12144753762967</v>
      </c>
      <c r="IY29" s="1" t="n">
        <f aca="false">(IW29-IX29)^2</f>
        <v>0.234744961757494</v>
      </c>
      <c r="IZ29" s="1" t="n">
        <f aca="false">EXP($FQ29/$JG$4)*IW29</f>
        <v>42.7142187784864</v>
      </c>
      <c r="JA29" s="1" t="n">
        <f aca="false">EXP($FQ29/$JG$4)*(-1)^$FQ29*IW29</f>
        <v>42.7142187784864</v>
      </c>
      <c r="JB29" s="1" t="n">
        <f aca="false">(-1)^IV29*IW29</f>
        <v>0.636942675159236</v>
      </c>
      <c r="JC29" s="1" t="n">
        <v>0.136024</v>
      </c>
      <c r="JE29" s="1" t="n">
        <f aca="false">$AM29</f>
        <v>18</v>
      </c>
      <c r="JF29" s="1" t="n">
        <f aca="false">GL29</f>
        <v>0</v>
      </c>
      <c r="JG29" s="1" t="n">
        <f aca="false">JG$6*(1+JG$5*(-1)^$FQ29)*EXP(-$FQ29/JG$4)</f>
        <v>0.744579724307012</v>
      </c>
      <c r="JH29" s="1" t="n">
        <f aca="false">(JF29-JG29)^2</f>
        <v>0.554398965849106</v>
      </c>
      <c r="JI29" s="1" t="n">
        <f aca="false">EXP($FQ29/$JG$4)*JF29</f>
        <v>0</v>
      </c>
      <c r="JJ29" s="1" t="n">
        <f aca="false">EXP($FQ29/$JG$4)*(-1)^$FQ29*JF29</f>
        <v>0</v>
      </c>
      <c r="JK29" s="1" t="n">
        <f aca="false">(-1)^JE29*JF29</f>
        <v>0</v>
      </c>
      <c r="JL29" s="1" t="n">
        <v>0.082022</v>
      </c>
      <c r="JO29" s="1" t="n">
        <f aca="false">$AM29</f>
        <v>18</v>
      </c>
      <c r="JP29" s="1" t="n">
        <f aca="false">GM29</f>
        <v>2.01005025125628</v>
      </c>
      <c r="JQ29" s="1" t="n">
        <f aca="false">JQ$6*(1+JQ$5*(-1)^$FQ29)*EXP(-$FQ29/JQ$4)</f>
        <v>3.40778954106943</v>
      </c>
      <c r="JR29" s="1" t="n">
        <f aca="false">(JP29-JQ29)^2</f>
        <v>1.95367512228737</v>
      </c>
      <c r="JS29" s="1" t="n">
        <f aca="false">EXP($FQ29/$JG$4)*JP29</f>
        <v>134.796630115022</v>
      </c>
      <c r="JT29" s="1" t="n">
        <f aca="false">EXP($FQ29/$JG$4)*(-1)^$FQ29*JP29</f>
        <v>134.796630115022</v>
      </c>
      <c r="JU29" s="1" t="n">
        <f aca="false">(-1)^JO29*JP29</f>
        <v>2.01005025125628</v>
      </c>
    </row>
    <row r="30" customFormat="false" ht="16" hidden="false" customHeight="false" outlineLevel="0" collapsed="false">
      <c r="A30" s="1" t="n">
        <v>2</v>
      </c>
      <c r="B30" s="1" t="n">
        <v>2</v>
      </c>
      <c r="C30" s="1" t="n">
        <f aca="false">B30-A30</f>
        <v>0</v>
      </c>
      <c r="D30" s="1" t="n">
        <v>1</v>
      </c>
      <c r="E30" s="1" t="n">
        <v>1</v>
      </c>
      <c r="F30" s="1" t="n">
        <f aca="false">E30-D30</f>
        <v>0</v>
      </c>
      <c r="G30" s="1" t="n">
        <v>2</v>
      </c>
      <c r="H30" s="1" t="n">
        <v>2</v>
      </c>
      <c r="I30" s="1" t="n">
        <f aca="false">H30-G30</f>
        <v>0</v>
      </c>
      <c r="J30" s="1" t="n">
        <v>3</v>
      </c>
      <c r="K30" s="1" t="n">
        <v>3</v>
      </c>
      <c r="L30" s="1" t="n">
        <f aca="false">K30-J30</f>
        <v>0</v>
      </c>
      <c r="M30" s="1" t="n">
        <v>5</v>
      </c>
      <c r="N30" s="1" t="n">
        <v>7</v>
      </c>
      <c r="O30" s="1" t="n">
        <f aca="false">N30-M30</f>
        <v>2</v>
      </c>
      <c r="P30" s="1" t="n">
        <v>1</v>
      </c>
      <c r="Q30" s="1" t="n">
        <v>1</v>
      </c>
      <c r="R30" s="1" t="n">
        <f aca="false">Q30-P30</f>
        <v>0</v>
      </c>
      <c r="S30" s="1" t="n">
        <v>5</v>
      </c>
      <c r="T30" s="1" t="n">
        <v>5</v>
      </c>
      <c r="U30" s="1" t="n">
        <f aca="false">T30-S30</f>
        <v>0</v>
      </c>
      <c r="V30" s="1" t="n">
        <v>4</v>
      </c>
      <c r="W30" s="1" t="n">
        <v>8</v>
      </c>
      <c r="X30" s="1" t="n">
        <f aca="false">W30-V30</f>
        <v>4</v>
      </c>
      <c r="Y30" s="1" t="n">
        <v>1</v>
      </c>
      <c r="Z30" s="1" t="n">
        <v>1</v>
      </c>
      <c r="AA30" s="1" t="n">
        <f aca="false">Z30-Y30</f>
        <v>0</v>
      </c>
      <c r="AB30" s="1" t="n">
        <v>1</v>
      </c>
      <c r="AC30" s="1" t="n">
        <v>3</v>
      </c>
      <c r="AD30" s="1" t="n">
        <f aca="false">AC30-AB30</f>
        <v>2</v>
      </c>
      <c r="AE30" s="1" t="n">
        <v>12</v>
      </c>
      <c r="AF30" s="1" t="n">
        <v>16</v>
      </c>
      <c r="AG30" s="1" t="n">
        <f aca="false">AF30-AE30</f>
        <v>4</v>
      </c>
      <c r="AM30" s="1" t="n">
        <v>19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1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4</v>
      </c>
      <c r="BT30" s="1" t="n">
        <v>0</v>
      </c>
      <c r="BW30" s="1" t="n">
        <f aca="false">$AM30</f>
        <v>19</v>
      </c>
      <c r="BX30" s="1" t="n">
        <f aca="false">MAX(BX29-AN30/AN$9*100,0)</f>
        <v>0</v>
      </c>
      <c r="BY30" s="1" t="n">
        <f aca="false">MAX(BY29-AO30/AO$9*100,0)</f>
        <v>0</v>
      </c>
      <c r="BZ30" s="1" t="n">
        <f aca="false">MAX(BZ29-AQ30/AQ$9*100,0)</f>
        <v>0</v>
      </c>
      <c r="CA30" s="1" t="n">
        <f aca="false">MAX(CA29-AR30/AR$9*100,0)</f>
        <v>0</v>
      </c>
      <c r="CB30" s="1" t="n">
        <f aca="false">CB$7*EXP(-$AM30/CB$8)</f>
        <v>4.01595594952922E-009</v>
      </c>
      <c r="CC30" s="1" t="n">
        <f aca="false">(BZ30-CB30)^2</f>
        <v>1.61279021885591E-017</v>
      </c>
      <c r="CD30" s="1" t="n">
        <f aca="false">MAX(CD29-AT30/AT$9*100,0)</f>
        <v>0</v>
      </c>
      <c r="CE30" s="1" t="n">
        <f aca="false">MAX(CE29-AU30/AU$9*100,0)</f>
        <v>5.32907051820075E-015</v>
      </c>
      <c r="CF30" s="1" t="n">
        <f aca="false">CF$7*EXP(-$AM30/CF$8)</f>
        <v>7.50048119275991E-009</v>
      </c>
      <c r="CG30" s="1" t="n">
        <f aca="false">(CD30-CF30)^2</f>
        <v>5.62572181229451E-017</v>
      </c>
      <c r="CH30" s="1" t="n">
        <f aca="false">$AM30</f>
        <v>19</v>
      </c>
      <c r="CI30" s="1" t="n">
        <f aca="false">MAX(CI29-AW30/AW$9*100,0)</f>
        <v>0</v>
      </c>
      <c r="CJ30" s="1" t="n">
        <f aca="false">MAX(CJ29-AX30/AX$9*100,0)</f>
        <v>0</v>
      </c>
      <c r="CK30" s="1" t="n">
        <f aca="false">CK$7*EXP(-$AM30/CK$8)</f>
        <v>1.57679258762206E-005</v>
      </c>
      <c r="CL30" s="1" t="n">
        <f aca="false">(CI30-CK30)^2</f>
        <v>2.48627486437987E-010</v>
      </c>
      <c r="CM30" s="1" t="n">
        <f aca="false">MAX(CM29-AZ30/AZ$9*100,0)</f>
        <v>0</v>
      </c>
      <c r="CN30" s="1" t="n">
        <f aca="false">MAX(CN29-BA30/BA$9*100,0)</f>
        <v>5.32907051820075E-015</v>
      </c>
      <c r="CO30" s="1" t="n">
        <f aca="false">CO$7*EXP(-$AM30/CO$8)</f>
        <v>0.0143462562919189</v>
      </c>
      <c r="CP30" s="1" t="n">
        <f aca="false">(CM30-CO30)^2</f>
        <v>0.000205815069593423</v>
      </c>
      <c r="CQ30" s="1" t="n">
        <f aca="false">$AM30</f>
        <v>19</v>
      </c>
      <c r="CR30" s="1" t="n">
        <f aca="false">MAX(CR29-BC30/BC$9*100,0)</f>
        <v>0</v>
      </c>
      <c r="CS30" s="1" t="n">
        <f aca="false">MAX(CS29-BD30/BD$9*100,0)</f>
        <v>0</v>
      </c>
      <c r="CT30" s="1" t="n">
        <f aca="false">CT$7*EXP(-$AM30/CT$8)</f>
        <v>4.67733325628551E-005</v>
      </c>
      <c r="CU30" s="1" t="n">
        <f aca="false">(CR30-CT30)^2</f>
        <v>2.18774463903544E-009</v>
      </c>
      <c r="CV30" s="1" t="n">
        <f aca="false">MAX(CV29-BF30/BF$9*100,0)</f>
        <v>8.88178419700125E-015</v>
      </c>
      <c r="CW30" s="1" t="n">
        <f aca="false">MAX(CW29-BG30/BG$9*100,0)</f>
        <v>1.50753768844222</v>
      </c>
      <c r="CX30" s="1" t="n">
        <f aca="false">CX$7*EXP(-$AM30/CX$8)</f>
        <v>0.0524734752210334</v>
      </c>
      <c r="CY30" s="1" t="n">
        <f aca="false">(CV30-CX30)^2</f>
        <v>0.00275346560177147</v>
      </c>
      <c r="CZ30" s="1" t="n">
        <f aca="false">$AM30</f>
        <v>19</v>
      </c>
      <c r="DA30" s="1" t="n">
        <f aca="false">MAX(DA29-BI30/BI$9*100,0)</f>
        <v>0</v>
      </c>
      <c r="DB30" s="1" t="n">
        <f aca="false">MAX(DB29-BJ30/BJ$9*100,0)</f>
        <v>9.88098491916389E-015</v>
      </c>
      <c r="DC30" s="1" t="n">
        <f aca="false">DC$7*EXP(-$AM30/DC$8)</f>
        <v>0.000151725237114506</v>
      </c>
      <c r="DD30" s="1" t="n">
        <f aca="false">(DA30-DC30)^2</f>
        <v>2.30205475774531E-008</v>
      </c>
      <c r="DE30" s="1" t="n">
        <f aca="false">MAX(DE29-BL30/BL$9*100,0)</f>
        <v>1.9108280254777</v>
      </c>
      <c r="DF30" s="1" t="n">
        <f aca="false">MAX(DF29-BM30/BM$9*100,0)</f>
        <v>12.1019108280255</v>
      </c>
      <c r="DG30" s="1" t="n">
        <f aca="false">DG$7*EXP(-$AM30/DG$8)</f>
        <v>1.04252927197604</v>
      </c>
      <c r="DH30" s="1" t="n">
        <f aca="false">(DE30-DG30)^2</f>
        <v>0.753942725332542</v>
      </c>
      <c r="DI30" s="1" t="n">
        <f aca="false">$AM30</f>
        <v>19</v>
      </c>
      <c r="DJ30" s="1" t="n">
        <f aca="false">MAX(DJ29-BO30/BO$9*100,0)</f>
        <v>0</v>
      </c>
      <c r="DK30" s="1" t="n">
        <f aca="false">MAX(DK29-BP30/BP$9*100,0)</f>
        <v>9.99200722162641E-015</v>
      </c>
      <c r="DL30" s="1" t="n">
        <f aca="false">DL$7*EXP(-$AM30/DL$8)</f>
        <v>0.00129946008021692</v>
      </c>
      <c r="DM30" s="1" t="n">
        <f aca="false">(DJ30-DL30)^2</f>
        <v>1.68859650007736E-006</v>
      </c>
      <c r="DN30" s="1" t="n">
        <f aca="false">MAX(DN29-BR30/BR$9*100,0)</f>
        <v>2.51256281407035</v>
      </c>
      <c r="DO30" s="1" t="n">
        <f aca="false">MAX(DO29-BS30/BS$9*100,0)</f>
        <v>11.5577889447236</v>
      </c>
      <c r="DP30" s="1" t="n">
        <f aca="false">DP$7*EXP(-$AM30/DP$8)</f>
        <v>0.560786388075296</v>
      </c>
      <c r="DQ30" s="1" t="n">
        <f aca="false">(DN30-DP30)^2</f>
        <v>3.80943121707004</v>
      </c>
      <c r="DS30" s="1" t="n">
        <f aca="false">$AM30</f>
        <v>19</v>
      </c>
      <c r="DT30" s="1" t="n">
        <f aca="false">CA30</f>
        <v>0</v>
      </c>
      <c r="DU30" s="1" t="n">
        <f aca="false">DU$7*EXP(-DS30/DU$8)</f>
        <v>5.07444411929948E-007</v>
      </c>
      <c r="DV30" s="1" t="n">
        <f aca="false">(DT30-DU30)^2</f>
        <v>2.57499831198931E-013</v>
      </c>
      <c r="DX30" s="1" t="n">
        <f aca="false">$AM30</f>
        <v>19</v>
      </c>
      <c r="DY30" s="1" t="n">
        <f aca="false">CM30</f>
        <v>0</v>
      </c>
      <c r="DZ30" s="1" t="n">
        <f aca="false">DZ$7*EXP(-DX30/DZ$8)</f>
        <v>0.00365535424308622</v>
      </c>
      <c r="EA30" s="1" t="n">
        <f aca="false">(DY30-DZ30)^2</f>
        <v>1.33616146424484E-005</v>
      </c>
      <c r="EC30" s="1" t="n">
        <f aca="false">$AM30</f>
        <v>19</v>
      </c>
      <c r="ED30" s="1" t="n">
        <f aca="false">CV30</f>
        <v>8.88178419700125E-015</v>
      </c>
      <c r="EE30" s="1" t="n">
        <f aca="false">EE$7*EXP(-EC30/EE$8)</f>
        <v>0.0353974259826787</v>
      </c>
      <c r="EF30" s="1" t="n">
        <f aca="false">(ED30-EE30)^2</f>
        <v>0.00125297776619859</v>
      </c>
      <c r="EH30" s="1" t="n">
        <f aca="false">$AM30</f>
        <v>19</v>
      </c>
      <c r="EI30" s="1" t="n">
        <f aca="false">DE30</f>
        <v>1.9108280254777</v>
      </c>
      <c r="EJ30" s="1" t="n">
        <f aca="false">EJ$7*EXP(-EH30/EJ$8)</f>
        <v>1.03820342437448</v>
      </c>
      <c r="EK30" s="1" t="n">
        <f aca="false">(EI30-EJ30)^2</f>
        <v>0.761473694450559</v>
      </c>
      <c r="EM30" s="1" t="n">
        <f aca="false">AM30</f>
        <v>19</v>
      </c>
      <c r="EN30" s="1" t="n">
        <f aca="false">DN30</f>
        <v>2.51256281407035</v>
      </c>
      <c r="EO30" s="1" t="n">
        <f aca="false">EO$7*EXP(-EM30/EO$8)</f>
        <v>0.658370320225136</v>
      </c>
      <c r="EP30" s="1" t="n">
        <f aca="false">(EN30-EO30)^2</f>
        <v>3.43802980423195</v>
      </c>
      <c r="ER30" s="1" t="n">
        <f aca="false">$AM30</f>
        <v>19</v>
      </c>
      <c r="ES30" s="1" t="n">
        <f aca="false">BZ30</f>
        <v>0</v>
      </c>
      <c r="ET30" s="1" t="n">
        <f aca="false">ET$7*EXP(-ER30/ET$8)</f>
        <v>2.7486758255954E-008</v>
      </c>
      <c r="EU30" s="1" t="n">
        <f aca="false">(ES30-ET30)^2</f>
        <v>7.55521879421255E-016</v>
      </c>
      <c r="EW30" s="1" t="n">
        <f aca="false">$AM30</f>
        <v>19</v>
      </c>
      <c r="EX30" s="1" t="n">
        <f aca="false">CI30</f>
        <v>0</v>
      </c>
      <c r="EY30" s="1" t="n">
        <f aca="false">EY$7*EXP(-EW30/EY$8)</f>
        <v>2.09642388743234E-007</v>
      </c>
      <c r="EZ30" s="1" t="n">
        <f aca="false">(EX30-EY30)^2</f>
        <v>4.39499311579693E-014</v>
      </c>
      <c r="FB30" s="1" t="n">
        <f aca="false">$AM30</f>
        <v>19</v>
      </c>
      <c r="FC30" s="1" t="n">
        <f aca="false">CR30</f>
        <v>0</v>
      </c>
      <c r="FD30" s="1" t="n">
        <f aca="false">FD$7*EXP(-FB30/FD$8)</f>
        <v>2.46466528934214E-006</v>
      </c>
      <c r="FE30" s="1" t="n">
        <f aca="false">(FC30-FD30)^2</f>
        <v>6.07457498848798E-012</v>
      </c>
      <c r="FG30" s="1" t="n">
        <f aca="false">$AM30</f>
        <v>19</v>
      </c>
      <c r="FH30" s="1" t="n">
        <f aca="false">DA30</f>
        <v>0</v>
      </c>
      <c r="FI30" s="1" t="n">
        <f aca="false">FI$7*EXP(-FG30/FI$8)</f>
        <v>2.81846609731566E-005</v>
      </c>
      <c r="FJ30" s="1" t="n">
        <f aca="false">(FH30-FI30)^2</f>
        <v>7.94375114171777E-010</v>
      </c>
      <c r="FL30" s="1" t="n">
        <f aca="false">EM30</f>
        <v>19</v>
      </c>
      <c r="FM30" s="1" t="n">
        <f aca="false">DJ30</f>
        <v>0</v>
      </c>
      <c r="FN30" s="1" t="n">
        <f aca="false">FN$7*EXP(-FL30/FN$8)</f>
        <v>0.00053627244687894</v>
      </c>
      <c r="FO30" s="1" t="n">
        <f aca="false">(FM30-FN30)^2</f>
        <v>2.87588137281526E-007</v>
      </c>
      <c r="FQ30" s="1" t="n">
        <f aca="false">AM30</f>
        <v>19</v>
      </c>
      <c r="FR30" s="1" t="n">
        <f aca="false">AN30/AN$9*100</f>
        <v>0</v>
      </c>
      <c r="FS30" s="1" t="n">
        <f aca="false">AO30/AO$9*100</f>
        <v>0</v>
      </c>
      <c r="FT30" s="1" t="n">
        <f aca="false">AQ30/AQ$9*100</f>
        <v>0</v>
      </c>
      <c r="FU30" s="1" t="n">
        <f aca="false">AR30/AR$9*100</f>
        <v>0</v>
      </c>
      <c r="FV30" s="1" t="n">
        <f aca="false">AT30/AT$9*100</f>
        <v>0</v>
      </c>
      <c r="FW30" s="1" t="n">
        <f aca="false">AU30/AU$9*100</f>
        <v>0</v>
      </c>
      <c r="FX30" s="1" t="n">
        <f aca="false">AW30/AW$9*100</f>
        <v>0</v>
      </c>
      <c r="FY30" s="1" t="n">
        <f aca="false">AX30/AX$9*100</f>
        <v>0</v>
      </c>
      <c r="FZ30" s="1" t="n">
        <f aca="false">AZ30/AZ$9*100</f>
        <v>0</v>
      </c>
      <c r="GA30" s="1" t="n">
        <f aca="false">BA30/BA$9*100</f>
        <v>0</v>
      </c>
      <c r="GB30" s="1" t="n">
        <f aca="false">BC30/BC$9*100</f>
        <v>0</v>
      </c>
      <c r="GC30" s="1" t="n">
        <f aca="false">BD30/BD$9*100</f>
        <v>0</v>
      </c>
      <c r="GD30" s="1" t="n">
        <f aca="false">BF30/BF$9*100</f>
        <v>0</v>
      </c>
      <c r="GE30" s="1" t="n">
        <f aca="false">BG30/BG$9*100</f>
        <v>0</v>
      </c>
      <c r="GF30" s="1" t="n">
        <f aca="false">BI30/BI$9*100</f>
        <v>0</v>
      </c>
      <c r="GG30" s="1" t="n">
        <f aca="false">BJ30/BJ$9*100</f>
        <v>0</v>
      </c>
      <c r="GH30" s="1" t="n">
        <f aca="false">BL30/BL$9*100</f>
        <v>0</v>
      </c>
      <c r="GI30" s="1" t="n">
        <f aca="false">BM30/BM$9*100</f>
        <v>0.636942675159236</v>
      </c>
      <c r="GJ30" s="1" t="n">
        <f aca="false">BO30/BO$9*100</f>
        <v>0</v>
      </c>
      <c r="GK30" s="1" t="n">
        <f aca="false">BP30/BP$9*100</f>
        <v>0</v>
      </c>
      <c r="GL30" s="1" t="n">
        <f aca="false">BR30/BR$9*100</f>
        <v>0</v>
      </c>
      <c r="GM30" s="1" t="n">
        <f aca="false">BS30/BS$9*100</f>
        <v>2.01005025125628</v>
      </c>
      <c r="GO30" s="1" t="n">
        <f aca="false">$AM30</f>
        <v>19</v>
      </c>
      <c r="GP30" s="1" t="n">
        <f aca="false">FT30</f>
        <v>0</v>
      </c>
      <c r="GQ30" s="1" t="n">
        <f aca="false">GQ$6*(1+GQ$5*(-1)^$FQ30)*EXP(-$FQ30/GQ$4)</f>
        <v>3.93859052048027E-005</v>
      </c>
      <c r="GR30" s="1" t="n">
        <f aca="false">(GP30-GQ30)^2</f>
        <v>1.5512495288017E-009</v>
      </c>
      <c r="GS30" s="1" t="n">
        <f aca="false">EXP($FQ30/$JG$4)*GP30</f>
        <v>0</v>
      </c>
      <c r="GT30" s="1" t="n">
        <f aca="false">EXP($FQ30/$JG$4)*(-1)^$FQ30*GP30</f>
        <v>-0</v>
      </c>
      <c r="GU30" s="1" t="n">
        <f aca="false">(-1)^GO30*GP30</f>
        <v>-0</v>
      </c>
      <c r="GW30" s="1" t="n">
        <f aca="false">$AM30</f>
        <v>19</v>
      </c>
      <c r="GX30" s="1" t="n">
        <f aca="false">FX30</f>
        <v>0</v>
      </c>
      <c r="GY30" s="1" t="n">
        <f aca="false">GY$6*(1+GY$5*(-1)^$FQ30)*EXP(-$FQ30/GY$4)</f>
        <v>3.93859052048027E-005</v>
      </c>
      <c r="GZ30" s="1" t="n">
        <f aca="false">(GX30-GY30)^2</f>
        <v>1.5512495288017E-009</v>
      </c>
      <c r="HA30" s="1" t="n">
        <f aca="false">EXP($FQ30/$JG$4)*GX30</f>
        <v>0</v>
      </c>
      <c r="HB30" s="1" t="n">
        <f aca="false">EXP($FQ30/$JG$4)*(-1)^$FQ30*GX30</f>
        <v>-0</v>
      </c>
      <c r="HC30" s="1" t="n">
        <f aca="false">(-1)^GW30*GX30</f>
        <v>-0</v>
      </c>
      <c r="HE30" s="1" t="n">
        <f aca="false">$AM30</f>
        <v>19</v>
      </c>
      <c r="HF30" s="1" t="n">
        <f aca="false">GB30</f>
        <v>0</v>
      </c>
      <c r="HG30" s="1" t="n">
        <f aca="false">HG$6*(1+HG$5*(-1)^$FQ30)*EXP(-$FQ30/HG$4)</f>
        <v>3.93859052048027E-005</v>
      </c>
      <c r="HH30" s="1" t="n">
        <f aca="false">(HF30-HG30)^2</f>
        <v>1.5512495288017E-009</v>
      </c>
      <c r="HI30" s="1" t="n">
        <f aca="false">EXP($FQ30/$JG$4)*HF30</f>
        <v>0</v>
      </c>
      <c r="HJ30" s="1" t="n">
        <f aca="false">EXP($FQ30/$JG$4)*(-1)^$FQ30*HF30</f>
        <v>-0</v>
      </c>
      <c r="HK30" s="1" t="n">
        <f aca="false">(-1)^HE30*HF30</f>
        <v>-0</v>
      </c>
      <c r="HM30" s="1" t="n">
        <f aca="false">$AM30</f>
        <v>19</v>
      </c>
      <c r="HN30" s="1" t="n">
        <f aca="false">GF30</f>
        <v>0</v>
      </c>
      <c r="HO30" s="1" t="n">
        <f aca="false">HO$6*(1+HO$5*(-1)^$FQ30)*EXP(-$FQ30/HO$4)</f>
        <v>0.000415366794671996</v>
      </c>
      <c r="HP30" s="1" t="n">
        <f aca="false">(HN30-HO30)^2</f>
        <v>1.72529574116088E-007</v>
      </c>
      <c r="HQ30" s="1" t="n">
        <f aca="false">EXP($FQ30/$JG$4)*HN30</f>
        <v>0</v>
      </c>
      <c r="HR30" s="1" t="n">
        <f aca="false">EXP($FQ30/$JG$4)*(-1)^$FQ30*HN30</f>
        <v>-0</v>
      </c>
      <c r="HS30" s="1" t="n">
        <f aca="false">(-1)^HM30*HN30</f>
        <v>-0</v>
      </c>
      <c r="HU30" s="1" t="n">
        <f aca="false">$AM30</f>
        <v>19</v>
      </c>
      <c r="HV30" s="1" t="n">
        <f aca="false">GJ30</f>
        <v>0</v>
      </c>
      <c r="HW30" s="1" t="n">
        <f aca="false">HW$6*(1+HW$5*(-1)^$FQ30)*EXP(-$FQ30/HW$4)</f>
        <v>0.00697239654540931</v>
      </c>
      <c r="HX30" s="1" t="n">
        <f aca="false">(HV30-HW30)^2</f>
        <v>4.86143135864357E-005</v>
      </c>
      <c r="HY30" s="1" t="n">
        <f aca="false">EXP($FQ30/$JG$4)*HV30</f>
        <v>0</v>
      </c>
      <c r="HZ30" s="1" t="n">
        <f aca="false">EXP($FQ30/$JG$4)*(-1)^$FQ30*HV30</f>
        <v>-0</v>
      </c>
      <c r="IA30" s="1" t="n">
        <f aca="false">(-1)^HU30*HV30</f>
        <v>-0</v>
      </c>
      <c r="IB30" s="1" t="n">
        <v>0.000139</v>
      </c>
      <c r="ID30" s="1" t="n">
        <f aca="false">$AM30</f>
        <v>19</v>
      </c>
      <c r="IE30" s="1" t="n">
        <f aca="false">FZ30</f>
        <v>0</v>
      </c>
      <c r="IF30" s="1" t="n">
        <f aca="false">IF$6*(1+IF$5*(-1)^$FQ30)*EXP(-$FQ30/IF$4)</f>
        <v>0.050445918017544</v>
      </c>
      <c r="IG30" s="1" t="n">
        <f aca="false">(IE30-IF30)^2</f>
        <v>0.00254479064463277</v>
      </c>
      <c r="IH30" s="1" t="n">
        <f aca="false">EXP($FQ30/$JG$4)*IE30</f>
        <v>0</v>
      </c>
      <c r="II30" s="1" t="n">
        <f aca="false">EXP($FQ30/$JG$4)*(-1)^$FQ30*IE30</f>
        <v>-0</v>
      </c>
      <c r="IJ30" s="1" t="n">
        <f aca="false">(-1)^ID30*IE30</f>
        <v>-0</v>
      </c>
      <c r="IK30" s="1" t="n">
        <v>0</v>
      </c>
      <c r="IM30" s="1" t="n">
        <f aca="false">$AM30</f>
        <v>19</v>
      </c>
      <c r="IN30" s="1" t="n">
        <f aca="false">GD30</f>
        <v>0</v>
      </c>
      <c r="IO30" s="1" t="n">
        <f aca="false">IO$6*(1+IO$5*(-1)^$FQ30)*EXP(-$FQ30/IO$4)</f>
        <v>0.0965190744262747</v>
      </c>
      <c r="IP30" s="1" t="n">
        <f aca="false">(IN30-IO30)^2</f>
        <v>0.00931593172810476</v>
      </c>
      <c r="IQ30" s="1" t="n">
        <f aca="false">EXP($FQ30/$JG$4)*IN30</f>
        <v>0</v>
      </c>
      <c r="IR30" s="1" t="n">
        <f aca="false">EXP($FQ30/$JG$4)*(-1)^$FQ30*IN30</f>
        <v>-0</v>
      </c>
      <c r="IS30" s="1" t="n">
        <f aca="false">(-1)^IM30*IN30</f>
        <v>-0</v>
      </c>
      <c r="IT30" s="1" t="n">
        <v>0.001152</v>
      </c>
      <c r="IV30" s="1" t="n">
        <f aca="false">$AM30</f>
        <v>19</v>
      </c>
      <c r="IW30" s="1" t="n">
        <f aca="false">GH30</f>
        <v>0</v>
      </c>
      <c r="IX30" s="1" t="n">
        <f aca="false">IX$6*(1+IX$5*(-1)^$FQ30)*EXP(-$FQ30/IX$4)</f>
        <v>0.238587410991254</v>
      </c>
      <c r="IY30" s="1" t="n">
        <f aca="false">(IW30-IX30)^2</f>
        <v>0.0569239526835096</v>
      </c>
      <c r="IZ30" s="1" t="n">
        <f aca="false">EXP($FQ30/$JG$4)*IW30</f>
        <v>0</v>
      </c>
      <c r="JA30" s="1" t="n">
        <f aca="false">EXP($FQ30/$JG$4)*(-1)^$FQ30*IW30</f>
        <v>-0</v>
      </c>
      <c r="JB30" s="1" t="n">
        <f aca="false">(-1)^IV30*IW30</f>
        <v>-0</v>
      </c>
      <c r="JC30" s="1" t="n">
        <v>0.143498</v>
      </c>
      <c r="JE30" s="1" t="n">
        <f aca="false">$AM30</f>
        <v>19</v>
      </c>
      <c r="JF30" s="1" t="n">
        <f aca="false">GL30</f>
        <v>0</v>
      </c>
      <c r="JG30" s="1" t="n">
        <f aca="false">JG$6*(1+JG$5*(-1)^$FQ30)*EXP(-$FQ30/JG$4)</f>
        <v>0.0900299330558838</v>
      </c>
      <c r="JH30" s="1" t="n">
        <f aca="false">(JF30-JG30)^2</f>
        <v>0.00810538884604692</v>
      </c>
      <c r="JI30" s="1" t="n">
        <f aca="false">EXP($FQ30/$JG$4)*JF30</f>
        <v>0</v>
      </c>
      <c r="JJ30" s="1" t="n">
        <f aca="false">EXP($FQ30/$JG$4)*(-1)^$FQ30*JF30</f>
        <v>-0</v>
      </c>
      <c r="JK30" s="1" t="n">
        <f aca="false">(-1)^JE30*JF30</f>
        <v>-0</v>
      </c>
      <c r="JL30" s="1" t="n">
        <v>0.103545</v>
      </c>
      <c r="JO30" s="1" t="n">
        <f aca="false">$AM30</f>
        <v>19</v>
      </c>
      <c r="JP30" s="1" t="n">
        <f aca="false">GM30</f>
        <v>2.01005025125628</v>
      </c>
      <c r="JQ30" s="1" t="n">
        <f aca="false">JQ$6*(1+JQ$5*(-1)^$FQ30)*EXP(-$FQ30/JQ$4)</f>
        <v>0.599197377220305</v>
      </c>
      <c r="JR30" s="1" t="n">
        <f aca="false">(JP30-JQ30)^2</f>
        <v>1.99050583217557</v>
      </c>
      <c r="JS30" s="1" t="n">
        <f aca="false">EXP($FQ30/$JG$4)*JP30</f>
        <v>170.274537142898</v>
      </c>
      <c r="JT30" s="1" t="n">
        <f aca="false">EXP($FQ30/$JG$4)*(-1)^$FQ30*JP30</f>
        <v>-170.274537142898</v>
      </c>
      <c r="JU30" s="1" t="n">
        <f aca="false">(-1)^JO30*JP30</f>
        <v>-2.01005025125628</v>
      </c>
    </row>
    <row r="31" customFormat="false" ht="16" hidden="false" customHeight="false" outlineLevel="0" collapsed="false">
      <c r="A31" s="1" t="n">
        <v>2</v>
      </c>
      <c r="B31" s="1" t="n">
        <v>2</v>
      </c>
      <c r="C31" s="1" t="n">
        <f aca="false">B31-A31</f>
        <v>0</v>
      </c>
      <c r="D31" s="1" t="n">
        <v>2</v>
      </c>
      <c r="E31" s="1" t="n">
        <v>2</v>
      </c>
      <c r="F31" s="1" t="n">
        <f aca="false">E31-D31</f>
        <v>0</v>
      </c>
      <c r="G31" s="1" t="n">
        <v>2</v>
      </c>
      <c r="H31" s="1" t="n">
        <v>2</v>
      </c>
      <c r="I31" s="1" t="n">
        <f aca="false">H31-G31</f>
        <v>0</v>
      </c>
      <c r="J31" s="1" t="n">
        <v>4</v>
      </c>
      <c r="K31" s="1" t="n">
        <v>4</v>
      </c>
      <c r="L31" s="1" t="n">
        <f aca="false">K31-J31</f>
        <v>0</v>
      </c>
      <c r="M31" s="1" t="n">
        <v>3</v>
      </c>
      <c r="N31" s="1" t="n">
        <v>3</v>
      </c>
      <c r="O31" s="1" t="n">
        <f aca="false">N31-M31</f>
        <v>0</v>
      </c>
      <c r="P31" s="1" t="n">
        <v>3</v>
      </c>
      <c r="Q31" s="1" t="n">
        <v>3</v>
      </c>
      <c r="R31" s="1" t="n">
        <f aca="false">Q31-P31</f>
        <v>0</v>
      </c>
      <c r="S31" s="1" t="n">
        <v>3</v>
      </c>
      <c r="T31" s="1" t="n">
        <v>7</v>
      </c>
      <c r="U31" s="1" t="n">
        <f aca="false">T31-S31</f>
        <v>4</v>
      </c>
      <c r="V31" s="1" t="n">
        <v>1</v>
      </c>
      <c r="W31" s="1" t="n">
        <v>3</v>
      </c>
      <c r="X31" s="1" t="n">
        <f aca="false">W31-V31</f>
        <v>2</v>
      </c>
      <c r="Y31" s="1" t="n">
        <v>1</v>
      </c>
      <c r="Z31" s="1" t="n">
        <v>1</v>
      </c>
      <c r="AA31" s="1" t="n">
        <f aca="false">Z31-Y31</f>
        <v>0</v>
      </c>
      <c r="AB31" s="1" t="n">
        <v>1</v>
      </c>
      <c r="AC31" s="1" t="n">
        <v>5</v>
      </c>
      <c r="AD31" s="1" t="n">
        <f aca="false">AC31-AB31</f>
        <v>4</v>
      </c>
      <c r="AE31" s="1" t="n">
        <v>6</v>
      </c>
      <c r="AF31" s="1" t="n">
        <v>8</v>
      </c>
      <c r="AG31" s="1" t="n">
        <f aca="false">AF31-AE31</f>
        <v>2</v>
      </c>
      <c r="AI31" s="1" t="s">
        <v>74</v>
      </c>
      <c r="AM31" s="1" t="n">
        <v>20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1</v>
      </c>
      <c r="BI31" s="1" t="n">
        <v>0</v>
      </c>
      <c r="BJ31" s="1" t="n">
        <v>0</v>
      </c>
      <c r="BK31" s="1" t="n">
        <v>0</v>
      </c>
      <c r="BL31" s="1" t="n">
        <v>2</v>
      </c>
      <c r="BM31" s="1" t="n">
        <v>7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1</v>
      </c>
      <c r="BS31" s="1" t="n">
        <v>8</v>
      </c>
      <c r="BT31" s="1" t="n">
        <v>0</v>
      </c>
      <c r="BW31" s="1" t="n">
        <f aca="false">$AM31</f>
        <v>20</v>
      </c>
      <c r="BX31" s="1" t="n">
        <f aca="false">MAX(BX30-AN31/AN$9*100,0)</f>
        <v>0</v>
      </c>
      <c r="BY31" s="1" t="n">
        <f aca="false">MAX(BY30-AO31/AO$9*100,0)</f>
        <v>0</v>
      </c>
      <c r="BZ31" s="1" t="n">
        <f aca="false">MAX(BZ30-AQ31/AQ$9*100,0)</f>
        <v>0</v>
      </c>
      <c r="CA31" s="1" t="n">
        <f aca="false">MAX(CA30-AR31/AR$9*100,0)</f>
        <v>0</v>
      </c>
      <c r="CB31" s="1" t="n">
        <f aca="false">CB$7*EXP(-$AM31/CB$8)</f>
        <v>1.09589799603694E-009</v>
      </c>
      <c r="CC31" s="1" t="n">
        <f aca="false">(BZ31-CB31)^2</f>
        <v>1.20099241771778E-018</v>
      </c>
      <c r="CD31" s="1" t="n">
        <f aca="false">MAX(CD30-AT31/AT$9*100,0)</f>
        <v>0</v>
      </c>
      <c r="CE31" s="1" t="n">
        <f aca="false">MAX(CE30-AU31/AU$9*100,0)</f>
        <v>5.32907051820075E-015</v>
      </c>
      <c r="CF31" s="1" t="n">
        <f aca="false">CF$7*EXP(-$AM31/CF$8)</f>
        <v>2.11518947063138E-009</v>
      </c>
      <c r="CG31" s="1" t="n">
        <f aca="false">(CD31-CF31)^2</f>
        <v>4.47402649666986E-018</v>
      </c>
      <c r="CH31" s="1" t="n">
        <f aca="false">$AM31</f>
        <v>20</v>
      </c>
      <c r="CI31" s="1" t="n">
        <f aca="false">MAX(CI30-AW31/AW$9*100,0)</f>
        <v>0</v>
      </c>
      <c r="CJ31" s="1" t="n">
        <f aca="false">MAX(CJ30-AX31/AX$9*100,0)</f>
        <v>0</v>
      </c>
      <c r="CK31" s="1" t="n">
        <f aca="false">CK$7*EXP(-$AM31/CK$8)</f>
        <v>6.70784015213143E-006</v>
      </c>
      <c r="CL31" s="1" t="n">
        <f aca="false">(CI31-CK31)^2</f>
        <v>4.49951195065466E-011</v>
      </c>
      <c r="CM31" s="1" t="n">
        <f aca="false">MAX(CM30-AZ31/AZ$9*100,0)</f>
        <v>0</v>
      </c>
      <c r="CN31" s="1" t="n">
        <f aca="false">MAX(CN30-BA31/BA$9*100,0)</f>
        <v>5.32907051820075E-015</v>
      </c>
      <c r="CO31" s="1" t="n">
        <f aca="false">CO$7*EXP(-$AM31/CO$8)</f>
        <v>0.00887039911904459</v>
      </c>
      <c r="CP31" s="1" t="n">
        <f aca="false">(CM31-CO31)^2</f>
        <v>7.8683980531147E-005</v>
      </c>
      <c r="CQ31" s="1" t="n">
        <f aca="false">$AM31</f>
        <v>20</v>
      </c>
      <c r="CR31" s="1" t="n">
        <f aca="false">MAX(CR30-BC31/BC$9*100,0)</f>
        <v>0</v>
      </c>
      <c r="CS31" s="1" t="n">
        <f aca="false">MAX(CS30-BD31/BD$9*100,0)</f>
        <v>0</v>
      </c>
      <c r="CT31" s="1" t="n">
        <f aca="false">CT$7*EXP(-$AM31/CT$8)</f>
        <v>2.12830642045091E-005</v>
      </c>
      <c r="CU31" s="1" t="n">
        <f aca="false">(CR31-CT31)^2</f>
        <v>4.52968821933257E-010</v>
      </c>
      <c r="CV31" s="1" t="n">
        <f aca="false">MAX(CV30-BF31/BF$9*100,0)</f>
        <v>8.88178419700125E-015</v>
      </c>
      <c r="CW31" s="1" t="n">
        <f aca="false">MAX(CW30-BG31/BG$9*100,0)</f>
        <v>1.50753768844222</v>
      </c>
      <c r="CX31" s="1" t="n">
        <f aca="false">CX$7*EXP(-$AM31/CX$8)</f>
        <v>0.0347119728915679</v>
      </c>
      <c r="CY31" s="1" t="n">
        <f aca="false">(CV31-CX31)^2</f>
        <v>0.00120492106202433</v>
      </c>
      <c r="CZ31" s="1" t="n">
        <f aca="false">$AM31</f>
        <v>20</v>
      </c>
      <c r="DA31" s="1" t="n">
        <f aca="false">MAX(DA30-BI31/BI$9*100,0)</f>
        <v>0</v>
      </c>
      <c r="DB31" s="1" t="n">
        <f aca="false">MAX(DB30-BJ31/BJ$9*100,0)</f>
        <v>9.88098491916389E-015</v>
      </c>
      <c r="DC31" s="1" t="n">
        <f aca="false">DC$7*EXP(-$AM31/DC$8)</f>
        <v>7.31230930463025E-005</v>
      </c>
      <c r="DD31" s="1" t="n">
        <f aca="false">(DA31-DC31)^2</f>
        <v>5.34698673665821E-009</v>
      </c>
      <c r="DE31" s="1" t="n">
        <f aca="false">MAX(DE30-BL31/BL$9*100,0)</f>
        <v>0.636942675159231</v>
      </c>
      <c r="DF31" s="1" t="n">
        <f aca="false">MAX(DF30-BM31/BM$9*100,0)</f>
        <v>7.64331210191082</v>
      </c>
      <c r="DG31" s="1" t="n">
        <f aca="false">DG$7*EXP(-$AM31/DG$8)</f>
        <v>0.811922613389799</v>
      </c>
      <c r="DH31" s="1" t="n">
        <f aca="false">(DE31-DG31)^2</f>
        <v>0.0306179787831733</v>
      </c>
      <c r="DI31" s="1" t="n">
        <f aca="false">$AM31</f>
        <v>20</v>
      </c>
      <c r="DJ31" s="1" t="n">
        <f aca="false">MAX(DJ30-BO31/BO$9*100,0)</f>
        <v>0</v>
      </c>
      <c r="DK31" s="1" t="n">
        <f aca="false">MAX(DK30-BP31/BP$9*100,0)</f>
        <v>9.99200722162641E-015</v>
      </c>
      <c r="DL31" s="1" t="n">
        <f aca="false">DL$7*EXP(-$AM31/DL$8)</f>
        <v>0.00070359802210605</v>
      </c>
      <c r="DM31" s="1" t="n">
        <f aca="false">(DJ31-DL31)^2</f>
        <v>4.95050176711546E-007</v>
      </c>
      <c r="DN31" s="1" t="n">
        <f aca="false">MAX(DN30-BR31/BR$9*100,0)</f>
        <v>2.01005025125628</v>
      </c>
      <c r="DO31" s="1" t="n">
        <f aca="false">MAX(DO30-BS31/BS$9*100,0)</f>
        <v>7.53768844221105</v>
      </c>
      <c r="DP31" s="1" t="n">
        <f aca="false">DP$7*EXP(-$AM31/DP$8)</f>
        <v>0.42244275399407</v>
      </c>
      <c r="DQ31" s="1" t="n">
        <f aca="false">(DN31-DP31)^2</f>
        <v>2.52049756536319</v>
      </c>
      <c r="DS31" s="1" t="n">
        <f aca="false">$AM31</f>
        <v>20</v>
      </c>
      <c r="DT31" s="1" t="n">
        <f aca="false">CA31</f>
        <v>0</v>
      </c>
      <c r="DU31" s="1" t="n">
        <f aca="false">DU$7*EXP(-DS31/DU$8)</f>
        <v>1.809931774162E-007</v>
      </c>
      <c r="DV31" s="1" t="n">
        <f aca="false">(DT31-DU31)^2</f>
        <v>3.27585302712121E-014</v>
      </c>
      <c r="DX31" s="1" t="n">
        <f aca="false">$AM31</f>
        <v>20</v>
      </c>
      <c r="DY31" s="1" t="n">
        <f aca="false">CM31</f>
        <v>0</v>
      </c>
      <c r="DZ31" s="1" t="n">
        <f aca="false">DZ$7*EXP(-DX31/DZ$8)</f>
        <v>0.00208422119069672</v>
      </c>
      <c r="EA31" s="1" t="n">
        <f aca="false">(DY31-DZ31)^2</f>
        <v>4.34397797174925E-006</v>
      </c>
      <c r="EC31" s="1" t="n">
        <f aca="false">$AM31</f>
        <v>20</v>
      </c>
      <c r="ED31" s="1" t="n">
        <f aca="false">CV31</f>
        <v>8.88178419700125E-015</v>
      </c>
      <c r="EE31" s="1" t="n">
        <f aca="false">EE$7*EXP(-EC31/EE$8)</f>
        <v>0.0228730161664066</v>
      </c>
      <c r="EF31" s="1" t="n">
        <f aca="false">(ED31-EE31)^2</f>
        <v>0.000523174868548291</v>
      </c>
      <c r="EH31" s="1" t="n">
        <f aca="false">$AM31</f>
        <v>20</v>
      </c>
      <c r="EI31" s="1" t="n">
        <f aca="false">DE31</f>
        <v>0.636942675159231</v>
      </c>
      <c r="EJ31" s="1" t="n">
        <f aca="false">EJ$7*EXP(-EH31/EJ$8)</f>
        <v>0.808553639890256</v>
      </c>
      <c r="EK31" s="1" t="n">
        <f aca="false">(EI31-EJ31)^2</f>
        <v>0.029450323215913</v>
      </c>
      <c r="EM31" s="1" t="n">
        <f aca="false">AM31</f>
        <v>20</v>
      </c>
      <c r="EN31" s="1" t="n">
        <f aca="false">DN31</f>
        <v>2.01005025125628</v>
      </c>
      <c r="EO31" s="1" t="n">
        <f aca="false">EO$7*EXP(-EM31/EO$8)</f>
        <v>0.500593786577338</v>
      </c>
      <c r="EP31" s="1" t="n">
        <f aca="false">(EN31-EO31)^2</f>
        <v>2.27845881876106</v>
      </c>
      <c r="ER31" s="1" t="n">
        <f aca="false">$AM31</f>
        <v>20</v>
      </c>
      <c r="ES31" s="1" t="n">
        <f aca="false">BZ31</f>
        <v>0</v>
      </c>
      <c r="ET31" s="1" t="n">
        <f aca="false">ET$7*EXP(-ER31/ET$8)</f>
        <v>8.35807535805942E-009</v>
      </c>
      <c r="EU31" s="1" t="n">
        <f aca="false">(ES31-ET31)^2</f>
        <v>6.98574236910001E-017</v>
      </c>
      <c r="EW31" s="1" t="n">
        <f aca="false">$AM31</f>
        <v>20</v>
      </c>
      <c r="EX31" s="1" t="n">
        <f aca="false">CI31</f>
        <v>0</v>
      </c>
      <c r="EY31" s="1" t="n">
        <f aca="false">EY$7*EXP(-EW31/EY$8)</f>
        <v>6.9860616872844E-008</v>
      </c>
      <c r="EZ31" s="1" t="n">
        <f aca="false">(EX31-EY31)^2</f>
        <v>4.8805057898543E-015</v>
      </c>
      <c r="FB31" s="1" t="n">
        <f aca="false">$AM31</f>
        <v>20</v>
      </c>
      <c r="FC31" s="1" t="n">
        <f aca="false">CR31</f>
        <v>0</v>
      </c>
      <c r="FD31" s="1" t="n">
        <f aca="false">FD$7*EXP(-FB31/FD$8)</f>
        <v>9.50920382830368E-007</v>
      </c>
      <c r="FE31" s="1" t="n">
        <f aca="false">(FC31-FD31)^2</f>
        <v>9.04249574482254E-013</v>
      </c>
      <c r="FG31" s="1" t="n">
        <f aca="false">$AM31</f>
        <v>20</v>
      </c>
      <c r="FH31" s="1" t="n">
        <f aca="false">DA31</f>
        <v>0</v>
      </c>
      <c r="FI31" s="1" t="n">
        <f aca="false">FI$7*EXP(-FG31/FI$8)</f>
        <v>1.23336538545201E-005</v>
      </c>
      <c r="FJ31" s="1" t="n">
        <f aca="false">(FH31-FI31)^2</f>
        <v>1.52119017403119E-010</v>
      </c>
      <c r="FL31" s="1" t="n">
        <f aca="false">EM31</f>
        <v>20</v>
      </c>
      <c r="FM31" s="1" t="n">
        <f aca="false">DJ31</f>
        <v>0</v>
      </c>
      <c r="FN31" s="1" t="n">
        <f aca="false">FN$7*EXP(-FL31/FN$8)</f>
        <v>0.000275331454693144</v>
      </c>
      <c r="FO31" s="1" t="n">
        <f aca="false">(FM31-FN31)^2</f>
        <v>7.58074099434428E-008</v>
      </c>
      <c r="FQ31" s="1" t="n">
        <f aca="false">AM31</f>
        <v>20</v>
      </c>
      <c r="FR31" s="1" t="n">
        <f aca="false">AN31/AN$9*100</f>
        <v>0</v>
      </c>
      <c r="FS31" s="1" t="n">
        <f aca="false">AO31/AO$9*100</f>
        <v>0</v>
      </c>
      <c r="FT31" s="1" t="n">
        <f aca="false">AQ31/AQ$9*100</f>
        <v>0</v>
      </c>
      <c r="FU31" s="1" t="n">
        <f aca="false">AR31/AR$9*100</f>
        <v>0</v>
      </c>
      <c r="FV31" s="1" t="n">
        <f aca="false">AT31/AT$9*100</f>
        <v>0</v>
      </c>
      <c r="FW31" s="1" t="n">
        <f aca="false">AU31/AU$9*100</f>
        <v>0</v>
      </c>
      <c r="FX31" s="1" t="n">
        <f aca="false">AW31/AW$9*100</f>
        <v>0</v>
      </c>
      <c r="FY31" s="1" t="n">
        <f aca="false">AX31/AX$9*100</f>
        <v>0</v>
      </c>
      <c r="FZ31" s="1" t="n">
        <f aca="false">AZ31/AZ$9*100</f>
        <v>0</v>
      </c>
      <c r="GA31" s="1" t="n">
        <f aca="false">BA31/BA$9*100</f>
        <v>0</v>
      </c>
      <c r="GB31" s="1" t="n">
        <f aca="false">BC31/BC$9*100</f>
        <v>0</v>
      </c>
      <c r="GC31" s="1" t="n">
        <f aca="false">BD31/BD$9*100</f>
        <v>0</v>
      </c>
      <c r="GD31" s="1" t="n">
        <f aca="false">BF31/BF$9*100</f>
        <v>0</v>
      </c>
      <c r="GE31" s="1" t="n">
        <f aca="false">BG31/BG$9*100</f>
        <v>0</v>
      </c>
      <c r="GF31" s="1" t="n">
        <f aca="false">BI31/BI$9*100</f>
        <v>0</v>
      </c>
      <c r="GG31" s="1" t="n">
        <f aca="false">BJ31/BJ$9*100</f>
        <v>0</v>
      </c>
      <c r="GH31" s="1" t="n">
        <f aca="false">BL31/BL$9*100</f>
        <v>1.27388535031847</v>
      </c>
      <c r="GI31" s="1" t="n">
        <f aca="false">BM31/BM$9*100</f>
        <v>4.45859872611465</v>
      </c>
      <c r="GJ31" s="1" t="n">
        <f aca="false">BO31/BO$9*100</f>
        <v>0</v>
      </c>
      <c r="GK31" s="1" t="n">
        <f aca="false">BP31/BP$9*100</f>
        <v>0</v>
      </c>
      <c r="GL31" s="1" t="n">
        <f aca="false">BR31/BR$9*100</f>
        <v>0.50251256281407</v>
      </c>
      <c r="GM31" s="1" t="n">
        <f aca="false">BS31/BS$9*100</f>
        <v>4.02010050251256</v>
      </c>
      <c r="GO31" s="1" t="n">
        <f aca="false">$AM31</f>
        <v>20</v>
      </c>
      <c r="GP31" s="1" t="n">
        <f aca="false">FT31</f>
        <v>0</v>
      </c>
      <c r="GQ31" s="1" t="n">
        <f aca="false">GQ$6*(1+GQ$5*(-1)^$FQ31)*EXP(-$FQ31/GQ$4)</f>
        <v>5.39443485114901E-005</v>
      </c>
      <c r="GR31" s="1" t="n">
        <f aca="false">(GP31-GQ31)^2</f>
        <v>2.9099927363291E-009</v>
      </c>
      <c r="GS31" s="1" t="n">
        <f aca="false">EXP($FQ31/$JG$4)*GP31</f>
        <v>0</v>
      </c>
      <c r="GT31" s="1" t="n">
        <f aca="false">EXP($FQ31/$JG$4)*(-1)^$FQ31*GP31</f>
        <v>0</v>
      </c>
      <c r="GU31" s="1" t="n">
        <f aca="false">(-1)^GO31*GP31</f>
        <v>0</v>
      </c>
      <c r="GW31" s="1" t="n">
        <f aca="false">$AM31</f>
        <v>20</v>
      </c>
      <c r="GX31" s="1" t="n">
        <f aca="false">FX31</f>
        <v>0</v>
      </c>
      <c r="GY31" s="1" t="n">
        <f aca="false">GY$6*(1+GY$5*(-1)^$FQ31)*EXP(-$FQ31/GY$4)</f>
        <v>5.39443485114901E-005</v>
      </c>
      <c r="GZ31" s="1" t="n">
        <f aca="false">(GX31-GY31)^2</f>
        <v>2.9099927363291E-009</v>
      </c>
      <c r="HA31" s="1" t="n">
        <f aca="false">EXP($FQ31/$JG$4)*GX31</f>
        <v>0</v>
      </c>
      <c r="HB31" s="1" t="n">
        <f aca="false">EXP($FQ31/$JG$4)*(-1)^$FQ31*GX31</f>
        <v>0</v>
      </c>
      <c r="HC31" s="1" t="n">
        <f aca="false">(-1)^GW31*GX31</f>
        <v>0</v>
      </c>
      <c r="HE31" s="1" t="n">
        <f aca="false">$AM31</f>
        <v>20</v>
      </c>
      <c r="HF31" s="1" t="n">
        <f aca="false">GB31</f>
        <v>0</v>
      </c>
      <c r="HG31" s="1" t="n">
        <f aca="false">HG$6*(1+HG$5*(-1)^$FQ31)*EXP(-$FQ31/HG$4)</f>
        <v>5.39443485114901E-005</v>
      </c>
      <c r="HH31" s="1" t="n">
        <f aca="false">(HF31-HG31)^2</f>
        <v>2.9099927363291E-009</v>
      </c>
      <c r="HI31" s="1" t="n">
        <f aca="false">EXP($FQ31/$JG$4)*HF31</f>
        <v>0</v>
      </c>
      <c r="HJ31" s="1" t="n">
        <f aca="false">EXP($FQ31/$JG$4)*(-1)^$FQ31*HF31</f>
        <v>0</v>
      </c>
      <c r="HK31" s="1" t="n">
        <f aca="false">(-1)^HE31*HF31</f>
        <v>0</v>
      </c>
      <c r="HM31" s="1" t="n">
        <f aca="false">$AM31</f>
        <v>20</v>
      </c>
      <c r="HN31" s="1" t="n">
        <f aca="false">GF31</f>
        <v>0</v>
      </c>
      <c r="HO31" s="1" t="n">
        <f aca="false">HO$6*(1+HO$5*(-1)^$FQ31)*EXP(-$FQ31/HO$4)</f>
        <v>0.00103972035506069</v>
      </c>
      <c r="HP31" s="1" t="n">
        <f aca="false">(HN31-HO31)^2</f>
        <v>1.08101841672753E-006</v>
      </c>
      <c r="HQ31" s="1" t="n">
        <f aca="false">EXP($FQ31/$JG$4)*HN31</f>
        <v>0</v>
      </c>
      <c r="HR31" s="1" t="n">
        <f aca="false">EXP($FQ31/$JG$4)*(-1)^$FQ31*HN31</f>
        <v>0</v>
      </c>
      <c r="HS31" s="1" t="n">
        <f aca="false">(-1)^HM31*HN31</f>
        <v>0</v>
      </c>
      <c r="HU31" s="1" t="n">
        <f aca="false">$AM31</f>
        <v>20</v>
      </c>
      <c r="HV31" s="1" t="n">
        <f aca="false">GJ31</f>
        <v>0</v>
      </c>
      <c r="HW31" s="1" t="n">
        <f aca="false">HW$6*(1+HW$5*(-1)^$FQ31)*EXP(-$FQ31/HW$4)</f>
        <v>0.0134380927353653</v>
      </c>
      <c r="HX31" s="1" t="n">
        <f aca="false">(HV31-HW31)^2</f>
        <v>0.000180582336364278</v>
      </c>
      <c r="HY31" s="1" t="n">
        <f aca="false">EXP($FQ31/$JG$4)*HV31</f>
        <v>0</v>
      </c>
      <c r="HZ31" s="1" t="n">
        <f aca="false">EXP($FQ31/$JG$4)*(-1)^$FQ31*HV31</f>
        <v>0</v>
      </c>
      <c r="IA31" s="1" t="n">
        <f aca="false">(-1)^HU31*HV31</f>
        <v>0</v>
      </c>
      <c r="IB31" s="1" t="n">
        <v>0</v>
      </c>
      <c r="ID31" s="1" t="n">
        <f aca="false">$AM31</f>
        <v>20</v>
      </c>
      <c r="IE31" s="1" t="n">
        <f aca="false">FZ31</f>
        <v>0</v>
      </c>
      <c r="IF31" s="1" t="n">
        <f aca="false">IF$6*(1+IF$5*(-1)^$FQ31)*EXP(-$FQ31/IF$4)</f>
        <v>0.070165919515111</v>
      </c>
      <c r="IG31" s="1" t="n">
        <f aca="false">(IE31-IF31)^2</f>
        <v>0.00492325626140104</v>
      </c>
      <c r="IH31" s="1" t="n">
        <f aca="false">EXP($FQ31/$JG$4)*IE31</f>
        <v>0</v>
      </c>
      <c r="II31" s="1" t="n">
        <f aca="false">EXP($FQ31/$JG$4)*(-1)^$FQ31*IE31</f>
        <v>0</v>
      </c>
      <c r="IJ31" s="1" t="n">
        <f aca="false">(-1)^ID31*IE31</f>
        <v>0</v>
      </c>
      <c r="IK31" s="1" t="n">
        <v>0.000424</v>
      </c>
      <c r="IM31" s="1" t="n">
        <f aca="false">$AM31</f>
        <v>20</v>
      </c>
      <c r="IN31" s="1" t="n">
        <f aca="false">GD31</f>
        <v>0</v>
      </c>
      <c r="IO31" s="1" t="n">
        <f aca="false">IO$6*(1+IO$5*(-1)^$FQ31)*EXP(-$FQ31/IO$4)</f>
        <v>0.157728084299341</v>
      </c>
      <c r="IP31" s="1" t="n">
        <f aca="false">(IN31-IO31)^2</f>
        <v>0.02487814857674</v>
      </c>
      <c r="IQ31" s="1" t="n">
        <f aca="false">EXP($FQ31/$JG$4)*IN31</f>
        <v>0</v>
      </c>
      <c r="IR31" s="1" t="n">
        <f aca="false">EXP($FQ31/$JG$4)*(-1)^$FQ31*IN31</f>
        <v>0</v>
      </c>
      <c r="IS31" s="1" t="n">
        <f aca="false">(-1)^IM31*IN31</f>
        <v>0</v>
      </c>
      <c r="IT31" s="1" t="n">
        <v>0.000921</v>
      </c>
      <c r="IV31" s="1" t="n">
        <f aca="false">$AM31</f>
        <v>20</v>
      </c>
      <c r="IW31" s="1" t="n">
        <f aca="false">GH31</f>
        <v>1.27388535031847</v>
      </c>
      <c r="IX31" s="1" t="n">
        <f aca="false">IX$6*(1+IX$5*(-1)^$FQ31)*EXP(-$FQ31/IX$4)</f>
        <v>0.763383242933748</v>
      </c>
      <c r="IY31" s="1" t="n">
        <f aca="false">(IW31-IX31)^2</f>
        <v>0.260612401644244</v>
      </c>
      <c r="IZ31" s="1" t="n">
        <f aca="false">EXP($FQ31/$JG$4)*IW31</f>
        <v>136.315050907777</v>
      </c>
      <c r="JA31" s="1" t="n">
        <f aca="false">EXP($FQ31/$JG$4)*(-1)^$FQ31*IW31</f>
        <v>136.315050907777</v>
      </c>
      <c r="JB31" s="1" t="n">
        <f aca="false">(-1)^IV31*IW31</f>
        <v>1.27388535031847</v>
      </c>
      <c r="JC31" s="1" t="n">
        <v>0.064275</v>
      </c>
      <c r="JE31" s="1" t="n">
        <f aca="false">$AM31</f>
        <v>20</v>
      </c>
      <c r="JF31" s="1" t="n">
        <f aca="false">GL31</f>
        <v>0.50251256281407</v>
      </c>
      <c r="JG31" s="1" t="n">
        <f aca="false">JG$6*(1+JG$5*(-1)^$FQ31)*EXP(-$FQ31/JG$4)</f>
        <v>0.466626994308817</v>
      </c>
      <c r="JH31" s="1" t="n">
        <f aca="false">(JF31-JG31)^2</f>
        <v>0.00128777402694523</v>
      </c>
      <c r="JI31" s="1" t="n">
        <f aca="false">EXP($FQ31/$JG$4)*JF31</f>
        <v>53.7725200817112</v>
      </c>
      <c r="JJ31" s="1" t="n">
        <f aca="false">EXP($FQ31/$JG$4)*(-1)^$FQ31*JF31</f>
        <v>53.7725200817112</v>
      </c>
      <c r="JK31" s="1" t="n">
        <f aca="false">(-1)^JE31*JF31</f>
        <v>0.50251256281407</v>
      </c>
      <c r="JL31" s="1" t="n">
        <v>0.028504</v>
      </c>
      <c r="JO31" s="1" t="n">
        <f aca="false">$AM31</f>
        <v>20</v>
      </c>
      <c r="JP31" s="1" t="n">
        <f aca="false">GM31</f>
        <v>4.02010050251256</v>
      </c>
      <c r="JQ31" s="1" t="n">
        <f aca="false">JQ$6*(1+JQ$5*(-1)^$FQ31)*EXP(-$FQ31/JQ$4)</f>
        <v>2.90392669152633</v>
      </c>
      <c r="JR31" s="1" t="n">
        <f aca="false">(JP31-JQ31)^2</f>
        <v>1.24584397633153</v>
      </c>
      <c r="JS31" s="1" t="n">
        <f aca="false">EXP($FQ31/$JG$4)*JP31</f>
        <v>430.180160653689</v>
      </c>
      <c r="JT31" s="1" t="n">
        <f aca="false">EXP($FQ31/$JG$4)*(-1)^$FQ31*JP31</f>
        <v>430.180160653689</v>
      </c>
      <c r="JU31" s="1" t="n">
        <f aca="false">(-1)^JO31*JP31</f>
        <v>4.02010050251256</v>
      </c>
    </row>
    <row r="32" customFormat="false" ht="16" hidden="false" customHeight="false" outlineLevel="0" collapsed="false">
      <c r="A32" s="1" t="n">
        <v>2</v>
      </c>
      <c r="B32" s="1" t="n">
        <v>2</v>
      </c>
      <c r="C32" s="1" t="n">
        <f aca="false">B32-A32</f>
        <v>0</v>
      </c>
      <c r="D32" s="1" t="n">
        <v>3</v>
      </c>
      <c r="E32" s="1" t="n">
        <v>3</v>
      </c>
      <c r="F32" s="1" t="n">
        <f aca="false">E32-D32</f>
        <v>0</v>
      </c>
      <c r="G32" s="1" t="n">
        <v>2</v>
      </c>
      <c r="H32" s="1" t="n">
        <v>2</v>
      </c>
      <c r="I32" s="1" t="n">
        <f aca="false">H32-G32</f>
        <v>0</v>
      </c>
      <c r="J32" s="1" t="n">
        <v>4</v>
      </c>
      <c r="K32" s="1" t="n">
        <v>4</v>
      </c>
      <c r="L32" s="1" t="n">
        <f aca="false">K32-J32</f>
        <v>0</v>
      </c>
      <c r="M32" s="1" t="n">
        <v>3</v>
      </c>
      <c r="N32" s="1" t="n">
        <v>3</v>
      </c>
      <c r="O32" s="1" t="n">
        <f aca="false">N32-M32</f>
        <v>0</v>
      </c>
      <c r="P32" s="1" t="n">
        <v>3</v>
      </c>
      <c r="Q32" s="1" t="n">
        <v>3</v>
      </c>
      <c r="R32" s="1" t="n">
        <f aca="false">Q32-P32</f>
        <v>0</v>
      </c>
      <c r="S32" s="1" t="n">
        <v>4</v>
      </c>
      <c r="T32" s="1" t="n">
        <v>4</v>
      </c>
      <c r="U32" s="1" t="n">
        <f aca="false">T32-S32</f>
        <v>0</v>
      </c>
      <c r="V32" s="1" t="n">
        <v>3</v>
      </c>
      <c r="W32" s="1" t="n">
        <v>6</v>
      </c>
      <c r="X32" s="1" t="n">
        <f aca="false">W32-V32</f>
        <v>3</v>
      </c>
      <c r="Y32" s="1" t="n">
        <v>7</v>
      </c>
      <c r="Z32" s="1" t="n">
        <v>10</v>
      </c>
      <c r="AA32" s="1" t="n">
        <f aca="false">Z32-Y32</f>
        <v>3</v>
      </c>
      <c r="AB32" s="1" t="n">
        <v>4</v>
      </c>
      <c r="AC32" s="1" t="n">
        <v>7</v>
      </c>
      <c r="AD32" s="1" t="n">
        <f aca="false">AC32-AB32</f>
        <v>3</v>
      </c>
      <c r="AE32" s="1" t="n">
        <v>4</v>
      </c>
      <c r="AF32" s="1" t="n">
        <v>4</v>
      </c>
      <c r="AG32" s="1" t="n">
        <f aca="false">AF32-AE32</f>
        <v>0</v>
      </c>
      <c r="AI32" s="1" t="s">
        <v>41</v>
      </c>
      <c r="AJ32" s="1" t="n">
        <f aca="false">COUNTIFS(T$2:T$1000,2,S$2:S$1000,2)</f>
        <v>24</v>
      </c>
      <c r="AM32" s="1" t="n">
        <v>21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1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4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1</v>
      </c>
      <c r="BT32" s="1" t="n">
        <v>0</v>
      </c>
      <c r="BW32" s="1" t="n">
        <f aca="false">$AM32</f>
        <v>21</v>
      </c>
      <c r="BX32" s="1" t="n">
        <f aca="false">MAX(BX31-AN32/AN$9*100,0)</f>
        <v>0</v>
      </c>
      <c r="BY32" s="1" t="n">
        <f aca="false">MAX(BY31-AO32/AO$9*100,0)</f>
        <v>0</v>
      </c>
      <c r="BZ32" s="1" t="n">
        <f aca="false">MAX(BZ31-AQ32/AQ$9*100,0)</f>
        <v>0</v>
      </c>
      <c r="CA32" s="1" t="n">
        <f aca="false">MAX(CA31-AR32/AR$9*100,0)</f>
        <v>0</v>
      </c>
      <c r="CB32" s="1" t="n">
        <f aca="false">CB$7*EXP(-$AM32/CB$8)</f>
        <v>2.99055177101376E-010</v>
      </c>
      <c r="CC32" s="1" t="n">
        <f aca="false">(BZ32-CB32)^2</f>
        <v>8.94339989511354E-020</v>
      </c>
      <c r="CD32" s="1" t="n">
        <f aca="false">MAX(CD31-AT32/AT$9*100,0)</f>
        <v>0</v>
      </c>
      <c r="CE32" s="1" t="n">
        <f aca="false">MAX(CE31-AU32/AU$9*100,0)</f>
        <v>5.32907051820075E-015</v>
      </c>
      <c r="CF32" s="1" t="n">
        <f aca="false">CF$7*EXP(-$AM32/CF$8)</f>
        <v>5.96498595448592E-010</v>
      </c>
      <c r="CG32" s="1" t="n">
        <f aca="false">(CD32-CF32)^2</f>
        <v>3.55810574372143E-019</v>
      </c>
      <c r="CH32" s="1" t="n">
        <f aca="false">$AM32</f>
        <v>21</v>
      </c>
      <c r="CI32" s="1" t="n">
        <f aca="false">MAX(CI31-AW32/AW$9*100,0)</f>
        <v>0</v>
      </c>
      <c r="CJ32" s="1" t="n">
        <f aca="false">MAX(CJ31-AX32/AX$9*100,0)</f>
        <v>0</v>
      </c>
      <c r="CK32" s="1" t="n">
        <f aca="false">CK$7*EXP(-$AM32/CK$8)</f>
        <v>2.85358517409084E-006</v>
      </c>
      <c r="CL32" s="1" t="n">
        <f aca="false">(CI32-CK32)^2</f>
        <v>8.14294834579105E-012</v>
      </c>
      <c r="CM32" s="1" t="n">
        <f aca="false">MAX(CM31-AZ32/AZ$9*100,0)</f>
        <v>0</v>
      </c>
      <c r="CN32" s="1" t="n">
        <f aca="false">MAX(CN31-BA32/BA$9*100,0)</f>
        <v>5.32907051820075E-015</v>
      </c>
      <c r="CO32" s="1" t="n">
        <f aca="false">CO$7*EXP(-$AM32/CO$8)</f>
        <v>0.00548463508040552</v>
      </c>
      <c r="CP32" s="1" t="n">
        <f aca="false">(CM32-CO32)^2</f>
        <v>3.00812219652149E-005</v>
      </c>
      <c r="CQ32" s="1" t="n">
        <f aca="false">$AM32</f>
        <v>21</v>
      </c>
      <c r="CR32" s="1" t="n">
        <f aca="false">MAX(CR31-BC32/BC$9*100,0)</f>
        <v>0</v>
      </c>
      <c r="CS32" s="1" t="n">
        <f aca="false">MAX(CS31-BD32/BD$9*100,0)</f>
        <v>0</v>
      </c>
      <c r="CT32" s="1" t="n">
        <f aca="false">CT$7*EXP(-$AM32/CT$8)</f>
        <v>9.68433928295676E-006</v>
      </c>
      <c r="CU32" s="1" t="n">
        <f aca="false">(CR32-CT32)^2</f>
        <v>9.37864273474195E-011</v>
      </c>
      <c r="CV32" s="1" t="n">
        <f aca="false">MAX(CV31-BF32/BF$9*100,0)</f>
        <v>8.88178419700125E-015</v>
      </c>
      <c r="CW32" s="1" t="n">
        <f aca="false">MAX(CW31-BG32/BG$9*100,0)</f>
        <v>1.00502512562815</v>
      </c>
      <c r="CX32" s="1" t="n">
        <f aca="false">CX$7*EXP(-$AM32/CX$8)</f>
        <v>0.022962478794276</v>
      </c>
      <c r="CY32" s="1" t="n">
        <f aca="false">(CV32-CX32)^2</f>
        <v>0.000527275432377167</v>
      </c>
      <c r="CZ32" s="1" t="n">
        <f aca="false">$AM32</f>
        <v>21</v>
      </c>
      <c r="DA32" s="1" t="n">
        <f aca="false">MAX(DA31-BI32/BI$9*100,0)</f>
        <v>0</v>
      </c>
      <c r="DB32" s="1" t="n">
        <f aca="false">MAX(DB31-BJ32/BJ$9*100,0)</f>
        <v>9.88098491916389E-015</v>
      </c>
      <c r="DC32" s="1" t="n">
        <f aca="false">DC$7*EXP(-$AM32/DC$8)</f>
        <v>3.52412481822182E-005</v>
      </c>
      <c r="DD32" s="1" t="n">
        <f aca="false">(DA32-DC32)^2</f>
        <v>1.2419455734407E-009</v>
      </c>
      <c r="DE32" s="1" t="n">
        <f aca="false">MAX(DE31-BL32/BL$9*100,0)</f>
        <v>0.636942675159231</v>
      </c>
      <c r="DF32" s="1" t="n">
        <f aca="false">MAX(DF31-BM32/BM$9*100,0)</f>
        <v>5.09554140127387</v>
      </c>
      <c r="DG32" s="1" t="n">
        <f aca="false">DG$7*EXP(-$AM32/DG$8)</f>
        <v>0.632325967101357</v>
      </c>
      <c r="DH32" s="1" t="n">
        <f aca="false">(DE32-DG32)^2</f>
        <v>2.13139932916414E-005</v>
      </c>
      <c r="DI32" s="1" t="n">
        <f aca="false">$AM32</f>
        <v>21</v>
      </c>
      <c r="DJ32" s="1" t="n">
        <f aca="false">MAX(DJ31-BO32/BO$9*100,0)</f>
        <v>0</v>
      </c>
      <c r="DK32" s="1" t="n">
        <f aca="false">MAX(DK31-BP32/BP$9*100,0)</f>
        <v>9.99200722162641E-015</v>
      </c>
      <c r="DL32" s="1" t="n">
        <f aca="false">DL$7*EXP(-$AM32/DL$8)</f>
        <v>0.000380966052169072</v>
      </c>
      <c r="DM32" s="1" t="n">
        <f aca="false">(DJ32-DL32)^2</f>
        <v>1.45135132905288E-007</v>
      </c>
      <c r="DN32" s="1" t="n">
        <f aca="false">MAX(DN31-BR32/BR$9*100,0)</f>
        <v>2.01005025125628</v>
      </c>
      <c r="DO32" s="1" t="n">
        <f aca="false">MAX(DO31-BS32/BS$9*100,0)</f>
        <v>7.03517587939698</v>
      </c>
      <c r="DP32" s="1" t="n">
        <f aca="false">DP$7*EXP(-$AM32/DP$8)</f>
        <v>0.318227910300371</v>
      </c>
      <c r="DQ32" s="1" t="n">
        <f aca="false">(DN32-DP32)^2</f>
        <v>2.86226283335754</v>
      </c>
      <c r="DS32" s="1" t="n">
        <f aca="false">$AM32</f>
        <v>21</v>
      </c>
      <c r="DT32" s="1" t="n">
        <f aca="false">CA32</f>
        <v>0</v>
      </c>
      <c r="DU32" s="1" t="n">
        <f aca="false">DU$7*EXP(-DS32/DU$8)</f>
        <v>6.4555899131143E-008</v>
      </c>
      <c r="DV32" s="1" t="n">
        <f aca="false">(DT32-DU32)^2</f>
        <v>4.16746411263031E-015</v>
      </c>
      <c r="DX32" s="1" t="n">
        <f aca="false">$AM32</f>
        <v>21</v>
      </c>
      <c r="DY32" s="1" t="n">
        <f aca="false">CM32</f>
        <v>0</v>
      </c>
      <c r="DZ32" s="1" t="n">
        <f aca="false">DZ$7*EXP(-DX32/DZ$8)</f>
        <v>0.00118838768635502</v>
      </c>
      <c r="EA32" s="1" t="n">
        <f aca="false">(DY32-DZ32)^2</f>
        <v>1.41226529308024E-006</v>
      </c>
      <c r="EC32" s="1" t="n">
        <f aca="false">$AM32</f>
        <v>21</v>
      </c>
      <c r="ED32" s="1" t="n">
        <f aca="false">CV32</f>
        <v>8.88178419700125E-015</v>
      </c>
      <c r="EE32" s="1" t="n">
        <f aca="false">EE$7*EXP(-EC32/EE$8)</f>
        <v>0.0147800257794086</v>
      </c>
      <c r="EF32" s="1" t="n">
        <f aca="false">(ED32-EE32)^2</f>
        <v>0.00021844916203972</v>
      </c>
      <c r="EH32" s="1" t="n">
        <f aca="false">$AM32</f>
        <v>21</v>
      </c>
      <c r="EI32" s="1" t="n">
        <f aca="false">DE32</f>
        <v>0.636942675159231</v>
      </c>
      <c r="EJ32" s="1" t="n">
        <f aca="false">EJ$7*EXP(-EH32/EJ$8)</f>
        <v>0.629702207901766</v>
      </c>
      <c r="EK32" s="1" t="n">
        <f aca="false">(EI32-EJ32)^2</f>
        <v>5.24243661064271E-005</v>
      </c>
      <c r="EM32" s="1" t="n">
        <f aca="false">AM32</f>
        <v>21</v>
      </c>
      <c r="EN32" s="1" t="n">
        <f aca="false">DN32</f>
        <v>2.01005025125628</v>
      </c>
      <c r="EO32" s="1" t="n">
        <f aca="false">EO$7*EXP(-EM32/EO$8)</f>
        <v>0.380627940630957</v>
      </c>
      <c r="EP32" s="1" t="n">
        <f aca="false">(EN32-EO32)^2</f>
        <v>2.65501706636358</v>
      </c>
      <c r="ER32" s="1" t="n">
        <f aca="false">$AM32</f>
        <v>21</v>
      </c>
      <c r="ES32" s="1" t="n">
        <f aca="false">BZ32</f>
        <v>0</v>
      </c>
      <c r="ET32" s="1" t="n">
        <f aca="false">ET$7*EXP(-ER32/ET$8)</f>
        <v>2.54149372728842E-009</v>
      </c>
      <c r="EU32" s="1" t="n">
        <f aca="false">(ES32-ET32)^2</f>
        <v>6.45919036584639E-018</v>
      </c>
      <c r="EW32" s="1" t="n">
        <f aca="false">$AM32</f>
        <v>21</v>
      </c>
      <c r="EX32" s="1" t="n">
        <f aca="false">CI32</f>
        <v>0</v>
      </c>
      <c r="EY32" s="1" t="n">
        <f aca="false">EY$7*EXP(-EW32/EY$8)</f>
        <v>2.32801477750373E-008</v>
      </c>
      <c r="EZ32" s="1" t="n">
        <f aca="false">(EX32-EY32)^2</f>
        <v>5.41965280427574E-016</v>
      </c>
      <c r="FB32" s="1" t="n">
        <f aca="false">$AM32</f>
        <v>21</v>
      </c>
      <c r="FC32" s="1" t="n">
        <f aca="false">CR32</f>
        <v>0</v>
      </c>
      <c r="FD32" s="1" t="n">
        <f aca="false">FD$7*EXP(-FB32/FD$8)</f>
        <v>3.66885344794063E-007</v>
      </c>
      <c r="FE32" s="1" t="n">
        <f aca="false">(FC32-FD32)^2</f>
        <v>1.34604856224659E-013</v>
      </c>
      <c r="FG32" s="1" t="n">
        <f aca="false">$AM32</f>
        <v>21</v>
      </c>
      <c r="FH32" s="1" t="n">
        <f aca="false">DA32</f>
        <v>0</v>
      </c>
      <c r="FI32" s="1" t="n">
        <f aca="false">FI$7*EXP(-FG32/FI$8)</f>
        <v>5.39722714947678E-006</v>
      </c>
      <c r="FJ32" s="1" t="n">
        <f aca="false">(FH32-FI32)^2</f>
        <v>2.91300609030493E-011</v>
      </c>
      <c r="FL32" s="1" t="n">
        <f aca="false">EM32</f>
        <v>21</v>
      </c>
      <c r="FM32" s="1" t="n">
        <f aca="false">DJ32</f>
        <v>0</v>
      </c>
      <c r="FN32" s="1" t="n">
        <f aca="false">FN$7*EXP(-FL32/FN$8)</f>
        <v>0.000141359882247607</v>
      </c>
      <c r="FO32" s="1" t="n">
        <f aca="false">(FM32-FN32)^2</f>
        <v>1.99826163090573E-008</v>
      </c>
      <c r="FQ32" s="1" t="n">
        <f aca="false">AM32</f>
        <v>21</v>
      </c>
      <c r="FR32" s="1" t="n">
        <f aca="false">AN32/AN$9*100</f>
        <v>0</v>
      </c>
      <c r="FS32" s="1" t="n">
        <f aca="false">AO32/AO$9*100</f>
        <v>0</v>
      </c>
      <c r="FT32" s="1" t="n">
        <f aca="false">AQ32/AQ$9*100</f>
        <v>0</v>
      </c>
      <c r="FU32" s="1" t="n">
        <f aca="false">AR32/AR$9*100</f>
        <v>0</v>
      </c>
      <c r="FV32" s="1" t="n">
        <f aca="false">AT32/AT$9*100</f>
        <v>0</v>
      </c>
      <c r="FW32" s="1" t="n">
        <f aca="false">AU32/AU$9*100</f>
        <v>0</v>
      </c>
      <c r="FX32" s="1" t="n">
        <f aca="false">AW32/AW$9*100</f>
        <v>0</v>
      </c>
      <c r="FY32" s="1" t="n">
        <f aca="false">AX32/AX$9*100</f>
        <v>0</v>
      </c>
      <c r="FZ32" s="1" t="n">
        <f aca="false">AZ32/AZ$9*100</f>
        <v>0</v>
      </c>
      <c r="GA32" s="1" t="n">
        <f aca="false">BA32/BA$9*100</f>
        <v>0</v>
      </c>
      <c r="GB32" s="1" t="n">
        <f aca="false">BC32/BC$9*100</f>
        <v>0</v>
      </c>
      <c r="GC32" s="1" t="n">
        <f aca="false">BD32/BD$9*100</f>
        <v>0</v>
      </c>
      <c r="GD32" s="1" t="n">
        <f aca="false">BF32/BF$9*100</f>
        <v>0</v>
      </c>
      <c r="GE32" s="1" t="n">
        <f aca="false">BG32/BG$9*100</f>
        <v>0.50251256281407</v>
      </c>
      <c r="GF32" s="1" t="n">
        <f aca="false">BI32/BI$9*100</f>
        <v>0</v>
      </c>
      <c r="GG32" s="1" t="n">
        <f aca="false">BJ32/BJ$9*100</f>
        <v>0</v>
      </c>
      <c r="GH32" s="1" t="n">
        <f aca="false">BL32/BL$9*100</f>
        <v>0</v>
      </c>
      <c r="GI32" s="1" t="n">
        <f aca="false">BM32/BM$9*100</f>
        <v>2.54777070063694</v>
      </c>
      <c r="GJ32" s="1" t="n">
        <f aca="false">BO32/BO$9*100</f>
        <v>0</v>
      </c>
      <c r="GK32" s="1" t="n">
        <f aca="false">BP32/BP$9*100</f>
        <v>0</v>
      </c>
      <c r="GL32" s="1" t="n">
        <f aca="false">BR32/BR$9*100</f>
        <v>0</v>
      </c>
      <c r="GM32" s="1" t="n">
        <f aca="false">BS32/BS$9*100</f>
        <v>0.50251256281407</v>
      </c>
      <c r="GO32" s="1" t="n">
        <f aca="false">$AM32</f>
        <v>21</v>
      </c>
      <c r="GP32" s="1" t="n">
        <f aca="false">FT32</f>
        <v>0</v>
      </c>
      <c r="GQ32" s="1" t="n">
        <f aca="false">GQ$6*(1+GQ$5*(-1)^$FQ32)*EXP(-$FQ32/GQ$4)</f>
        <v>8.65603271218318E-006</v>
      </c>
      <c r="GR32" s="1" t="n">
        <f aca="false">(GP32-GQ32)^2</f>
        <v>7.49269023143853E-011</v>
      </c>
      <c r="GS32" s="1" t="n">
        <f aca="false">EXP($FQ32/$JG$4)*GP32</f>
        <v>0</v>
      </c>
      <c r="GT32" s="1" t="n">
        <f aca="false">EXP($FQ32/$JG$4)*(-1)^$FQ32*GP32</f>
        <v>-0</v>
      </c>
      <c r="GU32" s="1" t="n">
        <f aca="false">(-1)^GO32*GP32</f>
        <v>-0</v>
      </c>
      <c r="GW32" s="1" t="n">
        <f aca="false">$AM32</f>
        <v>21</v>
      </c>
      <c r="GX32" s="1" t="n">
        <f aca="false">FX32</f>
        <v>0</v>
      </c>
      <c r="GY32" s="1" t="n">
        <f aca="false">GY$6*(1+GY$5*(-1)^$FQ32)*EXP(-$FQ32/GY$4)</f>
        <v>8.65603271218318E-006</v>
      </c>
      <c r="GZ32" s="1" t="n">
        <f aca="false">(GX32-GY32)^2</f>
        <v>7.49269023143853E-011</v>
      </c>
      <c r="HA32" s="1" t="n">
        <f aca="false">EXP($FQ32/$JG$4)*GX32</f>
        <v>0</v>
      </c>
      <c r="HB32" s="1" t="n">
        <f aca="false">EXP($FQ32/$JG$4)*(-1)^$FQ32*GX32</f>
        <v>-0</v>
      </c>
      <c r="HC32" s="1" t="n">
        <f aca="false">(-1)^GW32*GX32</f>
        <v>-0</v>
      </c>
      <c r="HE32" s="1" t="n">
        <f aca="false">$AM32</f>
        <v>21</v>
      </c>
      <c r="HF32" s="1" t="n">
        <f aca="false">GB32</f>
        <v>0</v>
      </c>
      <c r="HG32" s="1" t="n">
        <f aca="false">HG$6*(1+HG$5*(-1)^$FQ32)*EXP(-$FQ32/HG$4)</f>
        <v>8.65603271218318E-006</v>
      </c>
      <c r="HH32" s="1" t="n">
        <f aca="false">(HF32-HG32)^2</f>
        <v>7.49269023143853E-011</v>
      </c>
      <c r="HI32" s="1" t="n">
        <f aca="false">EXP($FQ32/$JG$4)*HF32</f>
        <v>0</v>
      </c>
      <c r="HJ32" s="1" t="n">
        <f aca="false">EXP($FQ32/$JG$4)*(-1)^$FQ32*HF32</f>
        <v>-0</v>
      </c>
      <c r="HK32" s="1" t="n">
        <f aca="false">(-1)^HE32*HF32</f>
        <v>-0</v>
      </c>
      <c r="HM32" s="1" t="n">
        <f aca="false">$AM32</f>
        <v>21</v>
      </c>
      <c r="HN32" s="1" t="n">
        <f aca="false">GF32</f>
        <v>0</v>
      </c>
      <c r="HO32" s="1" t="n">
        <f aca="false">HO$6*(1+HO$5*(-1)^$FQ32)*EXP(-$FQ32/HO$4)</f>
        <v>0.000125406088798973</v>
      </c>
      <c r="HP32" s="1" t="n">
        <f aca="false">(HN32-HO32)^2</f>
        <v>1.57266871078559E-008</v>
      </c>
      <c r="HQ32" s="1" t="n">
        <f aca="false">EXP($FQ32/$JG$4)*HN32</f>
        <v>0</v>
      </c>
      <c r="HR32" s="1" t="n">
        <f aca="false">EXP($FQ32/$JG$4)*(-1)^$FQ32*HN32</f>
        <v>-0</v>
      </c>
      <c r="HS32" s="1" t="n">
        <f aca="false">(-1)^HM32*HN32</f>
        <v>-0</v>
      </c>
      <c r="HU32" s="1" t="n">
        <f aca="false">$AM32</f>
        <v>21</v>
      </c>
      <c r="HV32" s="1" t="n">
        <f aca="false">GJ32</f>
        <v>0</v>
      </c>
      <c r="HW32" s="1" t="n">
        <f aca="false">HW$6*(1+HW$5*(-1)^$FQ32)*EXP(-$FQ32/HW$4)</f>
        <v>0.00287773420656721</v>
      </c>
      <c r="HX32" s="1" t="n">
        <f aca="false">(HV32-HW32)^2</f>
        <v>8.28135416364701E-006</v>
      </c>
      <c r="HY32" s="1" t="n">
        <f aca="false">EXP($FQ32/$JG$4)*HV32</f>
        <v>0</v>
      </c>
      <c r="HZ32" s="1" t="n">
        <f aca="false">EXP($FQ32/$JG$4)*(-1)^$FQ32*HV32</f>
        <v>-0</v>
      </c>
      <c r="IA32" s="1" t="n">
        <f aca="false">(-1)^HU32*HV32</f>
        <v>-0</v>
      </c>
      <c r="IB32" s="1" t="n">
        <v>0</v>
      </c>
      <c r="ID32" s="1" t="n">
        <f aca="false">$AM32</f>
        <v>21</v>
      </c>
      <c r="IE32" s="1" t="n">
        <f aca="false">FZ32</f>
        <v>0</v>
      </c>
      <c r="IF32" s="1" t="n">
        <f aca="false">IF$6*(1+IF$5*(-1)^$FQ32)*EXP(-$FQ32/IF$4)</f>
        <v>0.0258997978955218</v>
      </c>
      <c r="IG32" s="1" t="n">
        <f aca="false">(IE32-IF32)^2</f>
        <v>0.000670799531028876</v>
      </c>
      <c r="IH32" s="1" t="n">
        <f aca="false">EXP($FQ32/$JG$4)*IE32</f>
        <v>0</v>
      </c>
      <c r="II32" s="1" t="n">
        <f aca="false">EXP($FQ32/$JG$4)*(-1)^$FQ32*IE32</f>
        <v>-0</v>
      </c>
      <c r="IJ32" s="1" t="n">
        <f aca="false">(-1)^ID32*IE32</f>
        <v>-0</v>
      </c>
      <c r="IK32" s="1" t="n">
        <v>0</v>
      </c>
      <c r="IM32" s="1" t="n">
        <f aca="false">$AM32</f>
        <v>21</v>
      </c>
      <c r="IN32" s="1" t="n">
        <f aca="false">GD32</f>
        <v>0</v>
      </c>
      <c r="IO32" s="1" t="n">
        <f aca="false">IO$6*(1+IO$5*(-1)^$FQ32)*EXP(-$FQ32/IO$4)</f>
        <v>0.054506070447933</v>
      </c>
      <c r="IP32" s="1" t="n">
        <f aca="false">(IN32-IO32)^2</f>
        <v>0.00297091171567504</v>
      </c>
      <c r="IQ32" s="1" t="n">
        <f aca="false">EXP($FQ32/$JG$4)*IN32</f>
        <v>0</v>
      </c>
      <c r="IR32" s="1" t="n">
        <f aca="false">EXP($FQ32/$JG$4)*(-1)^$FQ32*IN32</f>
        <v>-0</v>
      </c>
      <c r="IS32" s="1" t="n">
        <f aca="false">(-1)^IM32*IN32</f>
        <v>-0</v>
      </c>
      <c r="IT32" s="1" t="n">
        <v>0</v>
      </c>
      <c r="IV32" s="1" t="n">
        <f aca="false">$AM32</f>
        <v>21</v>
      </c>
      <c r="IW32" s="1" t="n">
        <f aca="false">GH32</f>
        <v>0</v>
      </c>
      <c r="IX32" s="1" t="n">
        <f aca="false">IX$6*(1+IX$5*(-1)^$FQ32)*EXP(-$FQ32/IX$4)</f>
        <v>0.162409408745624</v>
      </c>
      <c r="IY32" s="1" t="n">
        <f aca="false">(IW32-IX32)^2</f>
        <v>0.0263768160491032</v>
      </c>
      <c r="IZ32" s="1" t="n">
        <f aca="false">EXP($FQ32/$JG$4)*IW32</f>
        <v>0</v>
      </c>
      <c r="JA32" s="1" t="n">
        <f aca="false">EXP($FQ32/$JG$4)*(-1)^$FQ32*IW32</f>
        <v>-0</v>
      </c>
      <c r="JB32" s="1" t="n">
        <f aca="false">(-1)^IV32*IW32</f>
        <v>-0</v>
      </c>
      <c r="JC32" s="1" t="n">
        <v>0.063976</v>
      </c>
      <c r="JE32" s="1" t="n">
        <f aca="false">$AM32</f>
        <v>21</v>
      </c>
      <c r="JF32" s="1" t="n">
        <f aca="false">GL32</f>
        <v>0</v>
      </c>
      <c r="JG32" s="1" t="n">
        <f aca="false">JG$6*(1+JG$5*(-1)^$FQ32)*EXP(-$FQ32/JG$4)</f>
        <v>0.0564216237539782</v>
      </c>
      <c r="JH32" s="1" t="n">
        <f aca="false">(JF32-JG32)^2</f>
        <v>0.00318339962703548</v>
      </c>
      <c r="JI32" s="1" t="n">
        <f aca="false">EXP($FQ32/$JG$4)*JF32</f>
        <v>0</v>
      </c>
      <c r="JJ32" s="1" t="n">
        <f aca="false">EXP($FQ32/$JG$4)*(-1)^$FQ32*JF32</f>
        <v>-0</v>
      </c>
      <c r="JK32" s="1" t="n">
        <f aca="false">(-1)^JE32*JF32</f>
        <v>-0</v>
      </c>
      <c r="JL32" s="1" t="n">
        <v>0.046246</v>
      </c>
      <c r="JO32" s="1" t="n">
        <f aca="false">$AM32</f>
        <v>21</v>
      </c>
      <c r="JP32" s="1" t="n">
        <f aca="false">GM32</f>
        <v>0.50251256281407</v>
      </c>
      <c r="JQ32" s="1" t="n">
        <f aca="false">JQ$6*(1+JQ$5*(-1)^$FQ32)*EXP(-$FQ32/JQ$4)</f>
        <v>0.510602323363127</v>
      </c>
      <c r="JR32" s="1" t="n">
        <f aca="false">(JP32-JQ32)^2</f>
        <v>6.54442257410749E-005</v>
      </c>
      <c r="JS32" s="1" t="n">
        <f aca="false">EXP($FQ32/$JG$4)*JP32</f>
        <v>67.9252215734743</v>
      </c>
      <c r="JT32" s="1" t="n">
        <f aca="false">EXP($FQ32/$JG$4)*(-1)^$FQ32*JP32</f>
        <v>-67.9252215734743</v>
      </c>
      <c r="JU32" s="1" t="n">
        <f aca="false">(-1)^JO32*JP32</f>
        <v>-0.50251256281407</v>
      </c>
    </row>
    <row r="33" customFormat="false" ht="16" hidden="false" customHeight="false" outlineLevel="0" collapsed="false">
      <c r="A33" s="1" t="n">
        <v>1</v>
      </c>
      <c r="B33" s="1" t="n">
        <v>1</v>
      </c>
      <c r="C33" s="1" t="n">
        <f aca="false">B33-A33</f>
        <v>0</v>
      </c>
      <c r="D33" s="1" t="n">
        <v>2</v>
      </c>
      <c r="E33" s="1" t="n">
        <v>2</v>
      </c>
      <c r="F33" s="1" t="n">
        <f aca="false">E33-D33</f>
        <v>0</v>
      </c>
      <c r="G33" s="1" t="n">
        <v>1</v>
      </c>
      <c r="H33" s="1" t="n">
        <v>1</v>
      </c>
      <c r="I33" s="1" t="n">
        <f aca="false">H33-G33</f>
        <v>0</v>
      </c>
      <c r="J33" s="1" t="n">
        <v>1</v>
      </c>
      <c r="K33" s="1" t="n">
        <v>1</v>
      </c>
      <c r="L33" s="1" t="n">
        <f aca="false">K33-J33</f>
        <v>0</v>
      </c>
      <c r="M33" s="1" t="n">
        <v>5</v>
      </c>
      <c r="N33" s="1" t="n">
        <v>6</v>
      </c>
      <c r="O33" s="1" t="n">
        <f aca="false">N33-M33</f>
        <v>1</v>
      </c>
      <c r="P33" s="1" t="n">
        <v>2</v>
      </c>
      <c r="Q33" s="1" t="n">
        <v>2</v>
      </c>
      <c r="R33" s="1" t="n">
        <f aca="false">Q33-P33</f>
        <v>0</v>
      </c>
      <c r="S33" s="1" t="n">
        <v>5</v>
      </c>
      <c r="T33" s="1" t="n">
        <v>8</v>
      </c>
      <c r="U33" s="1" t="n">
        <f aca="false">T33-S33</f>
        <v>3</v>
      </c>
      <c r="V33" s="1" t="n">
        <v>4</v>
      </c>
      <c r="W33" s="1" t="n">
        <v>6</v>
      </c>
      <c r="X33" s="1" t="n">
        <f aca="false">W33-V33</f>
        <v>2</v>
      </c>
      <c r="Y33" s="1" t="n">
        <v>6</v>
      </c>
      <c r="Z33" s="1" t="n">
        <v>6</v>
      </c>
      <c r="AA33" s="1" t="n">
        <f aca="false">Z33-Y33</f>
        <v>0</v>
      </c>
      <c r="AB33" s="1" t="n">
        <v>2</v>
      </c>
      <c r="AC33" s="1" t="n">
        <v>6</v>
      </c>
      <c r="AD33" s="1" t="n">
        <f aca="false">AC33-AB33</f>
        <v>4</v>
      </c>
      <c r="AE33" s="1" t="n">
        <v>5</v>
      </c>
      <c r="AF33" s="1" t="n">
        <v>7</v>
      </c>
      <c r="AG33" s="1" t="n">
        <f aca="false">AF33-AE33</f>
        <v>2</v>
      </c>
      <c r="AI33" s="1" t="s">
        <v>48</v>
      </c>
      <c r="AJ33" s="1" t="n">
        <f aca="false">COUNTIFS(T$2:T$1000,2,S$2:S$1000,1)</f>
        <v>3</v>
      </c>
      <c r="AM33" s="1" t="n">
        <v>22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1</v>
      </c>
      <c r="BN33" s="1" t="n">
        <v>1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2</v>
      </c>
      <c r="BT33" s="1" t="n">
        <v>1</v>
      </c>
      <c r="BW33" s="1" t="n">
        <f aca="false">$AM33</f>
        <v>22</v>
      </c>
      <c r="BX33" s="1" t="n">
        <f aca="false">MAX(BX32-AN33/AN$9*100,0)</f>
        <v>0</v>
      </c>
      <c r="BY33" s="1" t="n">
        <f aca="false">MAX(BY32-AO33/AO$9*100,0)</f>
        <v>0</v>
      </c>
      <c r="BZ33" s="1" t="n">
        <f aca="false">MAX(BZ32-AQ33/AQ$9*100,0)</f>
        <v>0</v>
      </c>
      <c r="CA33" s="1" t="n">
        <f aca="false">MAX(CA32-AR33/AR$9*100,0)</f>
        <v>0</v>
      </c>
      <c r="CB33" s="1" t="n">
        <f aca="false">CB$7*EXP(-$AM33/CB$8)</f>
        <v>8.16079592029119E-011</v>
      </c>
      <c r="CC33" s="1" t="n">
        <f aca="false">(BZ33-CB33)^2</f>
        <v>6.65985900526413E-021</v>
      </c>
      <c r="CD33" s="1" t="n">
        <f aca="false">MAX(CD32-AT33/AT$9*100,0)</f>
        <v>0</v>
      </c>
      <c r="CE33" s="1" t="n">
        <f aca="false">MAX(CE32-AU33/AU$9*100,0)</f>
        <v>5.32907051820075E-015</v>
      </c>
      <c r="CF33" s="1" t="n">
        <f aca="false">CF$7*EXP(-$AM33/CF$8)</f>
        <v>1.68216880479239E-010</v>
      </c>
      <c r="CG33" s="1" t="n">
        <f aca="false">(CD33-CF33)^2</f>
        <v>2.82969188781666E-020</v>
      </c>
      <c r="CH33" s="1" t="n">
        <f aca="false">$AM33</f>
        <v>22</v>
      </c>
      <c r="CI33" s="1" t="n">
        <f aca="false">MAX(CI32-AW33/AW$9*100,0)</f>
        <v>0</v>
      </c>
      <c r="CJ33" s="1" t="n">
        <f aca="false">MAX(CJ32-AX33/AX$9*100,0)</f>
        <v>0</v>
      </c>
      <c r="CK33" s="1" t="n">
        <f aca="false">CK$7*EXP(-$AM33/CK$8)</f>
        <v>1.21394490046153E-006</v>
      </c>
      <c r="CL33" s="1" t="n">
        <f aca="false">(CI33-CK33)^2</f>
        <v>1.47366222135655E-012</v>
      </c>
      <c r="CM33" s="1" t="n">
        <f aca="false">MAX(CM32-AZ33/AZ$9*100,0)</f>
        <v>0</v>
      </c>
      <c r="CN33" s="1" t="n">
        <f aca="false">MAX(CN32-BA33/BA$9*100,0)</f>
        <v>5.32907051820075E-015</v>
      </c>
      <c r="CO33" s="1" t="n">
        <f aca="false">CO$7*EXP(-$AM33/CO$8)</f>
        <v>0.00339119148546889</v>
      </c>
      <c r="CP33" s="1" t="n">
        <f aca="false">(CM33-CO33)^2</f>
        <v>1.15001796911167E-005</v>
      </c>
      <c r="CQ33" s="1" t="n">
        <f aca="false">$AM33</f>
        <v>22</v>
      </c>
      <c r="CR33" s="1" t="n">
        <f aca="false">MAX(CR32-BC33/BC$9*100,0)</f>
        <v>0</v>
      </c>
      <c r="CS33" s="1" t="n">
        <f aca="false">MAX(CS32-BD33/BD$9*100,0)</f>
        <v>0</v>
      </c>
      <c r="CT33" s="1" t="n">
        <f aca="false">CT$7*EXP(-$AM33/CT$8)</f>
        <v>4.40662239451165E-006</v>
      </c>
      <c r="CU33" s="1" t="n">
        <f aca="false">(CR33-CT33)^2</f>
        <v>1.94183209278116E-011</v>
      </c>
      <c r="CV33" s="1" t="n">
        <f aca="false">MAX(CV32-BF33/BF$9*100,0)</f>
        <v>8.88178419700125E-015</v>
      </c>
      <c r="CW33" s="1" t="n">
        <f aca="false">MAX(CW32-BG33/BG$9*100,0)</f>
        <v>1.00502512562815</v>
      </c>
      <c r="CX33" s="1" t="n">
        <f aca="false">CX$7*EXP(-$AM33/CX$8)</f>
        <v>0.0151900162524515</v>
      </c>
      <c r="CY33" s="1" t="n">
        <f aca="false">(CV33-CX33)^2</f>
        <v>0.000230736593749471</v>
      </c>
      <c r="CZ33" s="1" t="n">
        <f aca="false">$AM33</f>
        <v>22</v>
      </c>
      <c r="DA33" s="1" t="n">
        <f aca="false">MAX(DA32-BI33/BI$9*100,0)</f>
        <v>0</v>
      </c>
      <c r="DB33" s="1" t="n">
        <f aca="false">MAX(DB32-BJ33/BJ$9*100,0)</f>
        <v>9.88098491916389E-015</v>
      </c>
      <c r="DC33" s="1" t="n">
        <f aca="false">DC$7*EXP(-$AM33/DC$8)</f>
        <v>1.69843140067158E-005</v>
      </c>
      <c r="DD33" s="1" t="n">
        <f aca="false">(DA33-DC33)^2</f>
        <v>2.88466922278723E-010</v>
      </c>
      <c r="DE33" s="1" t="n">
        <f aca="false">MAX(DE32-BL33/BL$9*100,0)</f>
        <v>0.636942675159231</v>
      </c>
      <c r="DF33" s="1" t="n">
        <f aca="false">MAX(DF32-BM33/BM$9*100,0)</f>
        <v>4.45859872611464</v>
      </c>
      <c r="DG33" s="1" t="n">
        <f aca="false">DG$7*EXP(-$AM33/DG$8)</f>
        <v>0.49245595833492</v>
      </c>
      <c r="DH33" s="1" t="n">
        <f aca="false">(DE33-DG33)^2</f>
        <v>0.0208764113386687</v>
      </c>
      <c r="DI33" s="1" t="n">
        <f aca="false">$AM33</f>
        <v>22</v>
      </c>
      <c r="DJ33" s="1" t="n">
        <f aca="false">MAX(DJ32-BO33/BO$9*100,0)</f>
        <v>0</v>
      </c>
      <c r="DK33" s="1" t="n">
        <f aca="false">MAX(DK32-BP33/BP$9*100,0)</f>
        <v>9.99200722162641E-015</v>
      </c>
      <c r="DL33" s="1" t="n">
        <f aca="false">DL$7*EXP(-$AM33/DL$8)</f>
        <v>0.000206275640842283</v>
      </c>
      <c r="DM33" s="1" t="n">
        <f aca="false">(DJ33-DL33)^2</f>
        <v>4.25496400048945E-008</v>
      </c>
      <c r="DN33" s="1" t="n">
        <f aca="false">MAX(DN32-BR33/BR$9*100,0)</f>
        <v>2.01005025125628</v>
      </c>
      <c r="DO33" s="1" t="n">
        <f aca="false">MAX(DO32-BS33/BS$9*100,0)</f>
        <v>6.03015075376884</v>
      </c>
      <c r="DP33" s="1" t="n">
        <f aca="false">DP$7*EXP(-$AM33/DP$8)</f>
        <v>0.239722428510544</v>
      </c>
      <c r="DQ33" s="1" t="n">
        <f aca="false">(DN33-DP33)^2</f>
        <v>3.13406059998767</v>
      </c>
      <c r="DS33" s="1" t="n">
        <f aca="false">$AM33</f>
        <v>22</v>
      </c>
      <c r="DT33" s="1" t="n">
        <f aca="false">CA33</f>
        <v>0</v>
      </c>
      <c r="DU33" s="1" t="n">
        <f aca="false">DU$7*EXP(-DS33/DU$8)</f>
        <v>2.30255315262359E-008</v>
      </c>
      <c r="DV33" s="1" t="n">
        <f aca="false">(DT33-DU33)^2</f>
        <v>5.30175102065683E-016</v>
      </c>
      <c r="DX33" s="1" t="n">
        <f aca="false">$AM33</f>
        <v>22</v>
      </c>
      <c r="DY33" s="1" t="n">
        <f aca="false">CM33</f>
        <v>0</v>
      </c>
      <c r="DZ33" s="1" t="n">
        <f aca="false">DZ$7*EXP(-DX33/DZ$8)</f>
        <v>0.000677598567457299</v>
      </c>
      <c r="EA33" s="1" t="n">
        <f aca="false">(DY33-DZ33)^2</f>
        <v>4.59139818620184E-007</v>
      </c>
      <c r="EC33" s="1" t="n">
        <f aca="false">$AM33</f>
        <v>22</v>
      </c>
      <c r="ED33" s="1" t="n">
        <f aca="false">CV33</f>
        <v>8.88178419700125E-015</v>
      </c>
      <c r="EE33" s="1" t="n">
        <f aca="false">EE$7*EXP(-EC33/EE$8)</f>
        <v>0.00955051841220729</v>
      </c>
      <c r="EF33" s="1" t="n">
        <f aca="false">(ED33-EE33)^2</f>
        <v>9.12124019417408E-005</v>
      </c>
      <c r="EH33" s="1" t="n">
        <f aca="false">$AM33</f>
        <v>22</v>
      </c>
      <c r="EI33" s="1" t="n">
        <f aca="false">DE33</f>
        <v>0.636942675159231</v>
      </c>
      <c r="EJ33" s="1" t="n">
        <f aca="false">EJ$7*EXP(-EH33/EJ$8)</f>
        <v>0.490412572615688</v>
      </c>
      <c r="EK33" s="1" t="n">
        <f aca="false">(EI33-EJ33)^2</f>
        <v>0.0214710709514213</v>
      </c>
      <c r="EM33" s="1" t="n">
        <f aca="false">AM33</f>
        <v>22</v>
      </c>
      <c r="EN33" s="1" t="n">
        <f aca="false">DN33</f>
        <v>2.01005025125628</v>
      </c>
      <c r="EO33" s="1" t="n">
        <f aca="false">EO$7*EXP(-EM33/EO$8)</f>
        <v>0.289411560977457</v>
      </c>
      <c r="EP33" s="1" t="n">
        <f aca="false">(EN33-EO33)^2</f>
        <v>2.96059750248443</v>
      </c>
      <c r="ER33" s="1" t="n">
        <f aca="false">$AM33</f>
        <v>22</v>
      </c>
      <c r="ES33" s="1" t="n">
        <f aca="false">BZ33</f>
        <v>0</v>
      </c>
      <c r="ET33" s="1" t="n">
        <f aca="false">ET$7*EXP(-ER33/ET$8)</f>
        <v>7.72808342726651E-010</v>
      </c>
      <c r="EU33" s="1" t="n">
        <f aca="false">(ES33-ET33)^2</f>
        <v>5.97232734587913E-019</v>
      </c>
      <c r="EW33" s="1" t="n">
        <f aca="false">$AM33</f>
        <v>22</v>
      </c>
      <c r="EX33" s="1" t="n">
        <f aca="false">CI33</f>
        <v>0</v>
      </c>
      <c r="EY33" s="1" t="n">
        <f aca="false">EY$7*EXP(-EW33/EY$8)</f>
        <v>7.75780840031841E-009</v>
      </c>
      <c r="EZ33" s="1" t="n">
        <f aca="false">(EX33-EY33)^2</f>
        <v>6.01835911760509E-017</v>
      </c>
      <c r="FB33" s="1" t="n">
        <f aca="false">$AM33</f>
        <v>22</v>
      </c>
      <c r="FC33" s="1" t="n">
        <f aca="false">CR33</f>
        <v>0</v>
      </c>
      <c r="FD33" s="1" t="n">
        <f aca="false">FD$7*EXP(-FB33/FD$8)</f>
        <v>1.41552183184899E-007</v>
      </c>
      <c r="FE33" s="1" t="n">
        <f aca="false">(FC33-FD33)^2</f>
        <v>2.00370205644112E-014</v>
      </c>
      <c r="FG33" s="1" t="n">
        <f aca="false">$AM33</f>
        <v>22</v>
      </c>
      <c r="FH33" s="1" t="n">
        <f aca="false">DA33</f>
        <v>0</v>
      </c>
      <c r="FI33" s="1" t="n">
        <f aca="false">FI$7*EXP(-FG33/FI$8)</f>
        <v>2.36183545011469E-006</v>
      </c>
      <c r="FJ33" s="1" t="n">
        <f aca="false">(FH33-FI33)^2</f>
        <v>5.57826669341846E-012</v>
      </c>
      <c r="FL33" s="1" t="n">
        <f aca="false">EM33</f>
        <v>22</v>
      </c>
      <c r="FM33" s="1" t="n">
        <f aca="false">DJ33</f>
        <v>0</v>
      </c>
      <c r="FN33" s="1" t="n">
        <f aca="false">FN$7*EXP(-FL33/FN$8)</f>
        <v>7.25765834903526E-005</v>
      </c>
      <c r="FO33" s="1" t="n">
        <f aca="false">(FM33-FN33)^2</f>
        <v>5.26736047113212E-009</v>
      </c>
      <c r="FQ33" s="1" t="n">
        <f aca="false">AM33</f>
        <v>22</v>
      </c>
      <c r="FR33" s="1" t="n">
        <f aca="false">AN33/AN$9*100</f>
        <v>0</v>
      </c>
      <c r="FS33" s="1" t="n">
        <f aca="false">AO33/AO$9*100</f>
        <v>0</v>
      </c>
      <c r="FT33" s="1" t="n">
        <f aca="false">AQ33/AQ$9*100</f>
        <v>0</v>
      </c>
      <c r="FU33" s="1" t="n">
        <f aca="false">AR33/AR$9*100</f>
        <v>0</v>
      </c>
      <c r="FV33" s="1" t="n">
        <f aca="false">AT33/AT$9*100</f>
        <v>0</v>
      </c>
      <c r="FW33" s="1" t="n">
        <f aca="false">AU33/AU$9*100</f>
        <v>0</v>
      </c>
      <c r="FX33" s="1" t="n">
        <f aca="false">AW33/AW$9*100</f>
        <v>0</v>
      </c>
      <c r="FY33" s="1" t="n">
        <f aca="false">AX33/AX$9*100</f>
        <v>0</v>
      </c>
      <c r="FZ33" s="1" t="n">
        <f aca="false">AZ33/AZ$9*100</f>
        <v>0</v>
      </c>
      <c r="GA33" s="1" t="n">
        <f aca="false">BA33/BA$9*100</f>
        <v>0</v>
      </c>
      <c r="GB33" s="1" t="n">
        <f aca="false">BC33/BC$9*100</f>
        <v>0</v>
      </c>
      <c r="GC33" s="1" t="n">
        <f aca="false">BD33/BD$9*100</f>
        <v>0</v>
      </c>
      <c r="GD33" s="1" t="n">
        <f aca="false">BF33/BF$9*100</f>
        <v>0</v>
      </c>
      <c r="GE33" s="1" t="n">
        <f aca="false">BG33/BG$9*100</f>
        <v>0</v>
      </c>
      <c r="GF33" s="1" t="n">
        <f aca="false">BI33/BI$9*100</f>
        <v>0</v>
      </c>
      <c r="GG33" s="1" t="n">
        <f aca="false">BJ33/BJ$9*100</f>
        <v>0</v>
      </c>
      <c r="GH33" s="1" t="n">
        <f aca="false">BL33/BL$9*100</f>
        <v>0</v>
      </c>
      <c r="GI33" s="1" t="n">
        <f aca="false">BM33/BM$9*100</f>
        <v>0.636942675159236</v>
      </c>
      <c r="GJ33" s="1" t="n">
        <f aca="false">BO33/BO$9*100</f>
        <v>0</v>
      </c>
      <c r="GK33" s="1" t="n">
        <f aca="false">BP33/BP$9*100</f>
        <v>0</v>
      </c>
      <c r="GL33" s="1" t="n">
        <f aca="false">BR33/BR$9*100</f>
        <v>0</v>
      </c>
      <c r="GM33" s="1" t="n">
        <f aca="false">BS33/BS$9*100</f>
        <v>1.00502512562814</v>
      </c>
      <c r="GO33" s="1" t="n">
        <f aca="false">$AM33</f>
        <v>22</v>
      </c>
      <c r="GP33" s="1" t="n">
        <f aca="false">FT33</f>
        <v>0</v>
      </c>
      <c r="GQ33" s="1" t="n">
        <f aca="false">GQ$6*(1+GQ$5*(-1)^$FQ33)*EXP(-$FQ33/GQ$4)</f>
        <v>1.18556128880321E-005</v>
      </c>
      <c r="GR33" s="1" t="n">
        <f aca="false">(GP33-GQ33)^2</f>
        <v>1.40555556950873E-010</v>
      </c>
      <c r="GS33" s="1" t="n">
        <f aca="false">EXP($FQ33/$JG$4)*GP33</f>
        <v>0</v>
      </c>
      <c r="GT33" s="1" t="n">
        <f aca="false">EXP($FQ33/$JG$4)*(-1)^$FQ33*GP33</f>
        <v>0</v>
      </c>
      <c r="GU33" s="1" t="n">
        <f aca="false">(-1)^GO33*GP33</f>
        <v>0</v>
      </c>
      <c r="GW33" s="1" t="n">
        <f aca="false">$AM33</f>
        <v>22</v>
      </c>
      <c r="GX33" s="1" t="n">
        <f aca="false">FX33</f>
        <v>0</v>
      </c>
      <c r="GY33" s="1" t="n">
        <f aca="false">GY$6*(1+GY$5*(-1)^$FQ33)*EXP(-$FQ33/GY$4)</f>
        <v>1.18556128880321E-005</v>
      </c>
      <c r="GZ33" s="1" t="n">
        <f aca="false">(GX33-GY33)^2</f>
        <v>1.40555556950873E-010</v>
      </c>
      <c r="HA33" s="1" t="n">
        <f aca="false">EXP($FQ33/$JG$4)*GX33</f>
        <v>0</v>
      </c>
      <c r="HB33" s="1" t="n">
        <f aca="false">EXP($FQ33/$JG$4)*(-1)^$FQ33*GX33</f>
        <v>0</v>
      </c>
      <c r="HC33" s="1" t="n">
        <f aca="false">(-1)^GW33*GX33</f>
        <v>0</v>
      </c>
      <c r="HE33" s="1" t="n">
        <f aca="false">$AM33</f>
        <v>22</v>
      </c>
      <c r="HF33" s="1" t="n">
        <f aca="false">GB33</f>
        <v>0</v>
      </c>
      <c r="HG33" s="1" t="n">
        <f aca="false">HG$6*(1+HG$5*(-1)^$FQ33)*EXP(-$FQ33/HG$4)</f>
        <v>1.18556128880321E-005</v>
      </c>
      <c r="HH33" s="1" t="n">
        <f aca="false">(HF33-HG33)^2</f>
        <v>1.40555556950873E-010</v>
      </c>
      <c r="HI33" s="1" t="n">
        <f aca="false">EXP($FQ33/$JG$4)*HF33</f>
        <v>0</v>
      </c>
      <c r="HJ33" s="1" t="n">
        <f aca="false">EXP($FQ33/$JG$4)*(-1)^$FQ33*HF33</f>
        <v>0</v>
      </c>
      <c r="HK33" s="1" t="n">
        <f aca="false">(-1)^HE33*HF33</f>
        <v>0</v>
      </c>
      <c r="HM33" s="1" t="n">
        <f aca="false">$AM33</f>
        <v>22</v>
      </c>
      <c r="HN33" s="1" t="n">
        <f aca="false">GF33</f>
        <v>0</v>
      </c>
      <c r="HO33" s="1" t="n">
        <f aca="false">HO$6*(1+HO$5*(-1)^$FQ33)*EXP(-$FQ33/HO$4)</f>
        <v>0.00031390873041694</v>
      </c>
      <c r="HP33" s="1" t="n">
        <f aca="false">(HN33-HO33)^2</f>
        <v>9.85386910319751E-008</v>
      </c>
      <c r="HQ33" s="1" t="n">
        <f aca="false">EXP($FQ33/$JG$4)*HN33</f>
        <v>0</v>
      </c>
      <c r="HR33" s="1" t="n">
        <f aca="false">EXP($FQ33/$JG$4)*(-1)^$FQ33*HN33</f>
        <v>0</v>
      </c>
      <c r="HS33" s="1" t="n">
        <f aca="false">(-1)^HM33*HN33</f>
        <v>0</v>
      </c>
      <c r="HU33" s="1" t="n">
        <f aca="false">$AM33</f>
        <v>22</v>
      </c>
      <c r="HV33" s="1" t="n">
        <f aca="false">GJ33</f>
        <v>0</v>
      </c>
      <c r="HW33" s="1" t="n">
        <f aca="false">HW$6*(1+HW$5*(-1)^$FQ33)*EXP(-$FQ33/HW$4)</f>
        <v>0.00554633674142425</v>
      </c>
      <c r="HX33" s="1" t="n">
        <f aca="false">(HV33-HW33)^2</f>
        <v>3.07618512492726E-005</v>
      </c>
      <c r="HY33" s="1" t="n">
        <f aca="false">EXP($FQ33/$JG$4)*HV33</f>
        <v>0</v>
      </c>
      <c r="HZ33" s="1" t="n">
        <f aca="false">EXP($FQ33/$JG$4)*(-1)^$FQ33*HV33</f>
        <v>0</v>
      </c>
      <c r="IA33" s="1" t="n">
        <f aca="false">(-1)^HU33*HV33</f>
        <v>0</v>
      </c>
      <c r="IB33" s="1" t="n">
        <v>0</v>
      </c>
      <c r="ID33" s="1" t="n">
        <f aca="false">$AM33</f>
        <v>22</v>
      </c>
      <c r="IE33" s="1" t="n">
        <f aca="false">FZ33</f>
        <v>0</v>
      </c>
      <c r="IF33" s="1" t="n">
        <f aca="false">IF$6*(1+IF$5*(-1)^$FQ33)*EXP(-$FQ33/IF$4)</f>
        <v>0.036024384251721</v>
      </c>
      <c r="IG33" s="1" t="n">
        <f aca="false">(IE33-IF33)^2</f>
        <v>0.00129775626071564</v>
      </c>
      <c r="IH33" s="1" t="n">
        <f aca="false">EXP($FQ33/$JG$4)*IE33</f>
        <v>0</v>
      </c>
      <c r="II33" s="1" t="n">
        <f aca="false">EXP($FQ33/$JG$4)*(-1)^$FQ33*IE33</f>
        <v>0</v>
      </c>
      <c r="IJ33" s="1" t="n">
        <f aca="false">(-1)^ID33*IE33</f>
        <v>0</v>
      </c>
      <c r="IK33" s="1" t="n">
        <v>0</v>
      </c>
      <c r="IM33" s="1" t="n">
        <f aca="false">$AM33</f>
        <v>22</v>
      </c>
      <c r="IN33" s="1" t="n">
        <f aca="false">GD33</f>
        <v>0</v>
      </c>
      <c r="IO33" s="1" t="n">
        <f aca="false">IO$6*(1+IO$5*(-1)^$FQ33)*EXP(-$FQ33/IO$4)</f>
        <v>0.0890719075534054</v>
      </c>
      <c r="IP33" s="1" t="n">
        <f aca="false">(IN33-IO33)^2</f>
        <v>0.0079338047152024</v>
      </c>
      <c r="IQ33" s="1" t="n">
        <f aca="false">EXP($FQ33/$JG$4)*IN33</f>
        <v>0</v>
      </c>
      <c r="IR33" s="1" t="n">
        <f aca="false">EXP($FQ33/$JG$4)*(-1)^$FQ33*IN33</f>
        <v>0</v>
      </c>
      <c r="IS33" s="1" t="n">
        <f aca="false">(-1)^IM33*IN33</f>
        <v>0</v>
      </c>
      <c r="IT33" s="1" t="n">
        <v>0.000461</v>
      </c>
      <c r="IV33" s="1" t="n">
        <f aca="false">$AM33</f>
        <v>22</v>
      </c>
      <c r="IW33" s="1" t="n">
        <f aca="false">GH33</f>
        <v>0</v>
      </c>
      <c r="IX33" s="1" t="n">
        <f aca="false">IX$6*(1+IX$5*(-1)^$FQ33)*EXP(-$FQ33/IX$4)</f>
        <v>0.519644438137315</v>
      </c>
      <c r="IY33" s="1" t="n">
        <f aca="false">(IW33-IX33)^2</f>
        <v>0.270030342087046</v>
      </c>
      <c r="IZ33" s="1" t="n">
        <f aca="false">EXP($FQ33/$JG$4)*IW33</f>
        <v>0</v>
      </c>
      <c r="JA33" s="1" t="n">
        <f aca="false">EXP($FQ33/$JG$4)*(-1)^$FQ33*IW33</f>
        <v>0</v>
      </c>
      <c r="JB33" s="1" t="n">
        <f aca="false">(-1)^IV33*IW33</f>
        <v>0</v>
      </c>
      <c r="JC33" s="1" t="n">
        <v>0.029895</v>
      </c>
      <c r="JE33" s="1" t="n">
        <f aca="false">$AM33</f>
        <v>22</v>
      </c>
      <c r="JF33" s="1" t="n">
        <f aca="false">GL33</f>
        <v>0</v>
      </c>
      <c r="JG33" s="1" t="n">
        <f aca="false">JG$6*(1+JG$5*(-1)^$FQ33)*EXP(-$FQ33/JG$4)</f>
        <v>0.292434436111371</v>
      </c>
      <c r="JH33" s="1" t="n">
        <f aca="false">(JF33-JG33)^2</f>
        <v>0.0855178994237755</v>
      </c>
      <c r="JI33" s="1" t="n">
        <f aca="false">EXP($FQ33/$JG$4)*JF33</f>
        <v>0</v>
      </c>
      <c r="JJ33" s="1" t="n">
        <f aca="false">EXP($FQ33/$JG$4)*(-1)^$FQ33*JF33</f>
        <v>0</v>
      </c>
      <c r="JK33" s="1" t="n">
        <f aca="false">(-1)^JE33*JF33</f>
        <v>0</v>
      </c>
      <c r="JL33" s="1" t="n">
        <v>0.012798</v>
      </c>
      <c r="JO33" s="1" t="n">
        <f aca="false">$AM33</f>
        <v>22</v>
      </c>
      <c r="JP33" s="1" t="n">
        <f aca="false">GM33</f>
        <v>1.00502512562814</v>
      </c>
      <c r="JQ33" s="1" t="n">
        <f aca="false">JQ$6*(1+JQ$5*(-1)^$FQ33)*EXP(-$FQ33/JQ$4)</f>
        <v>2.47456309379736</v>
      </c>
      <c r="JR33" s="1" t="n">
        <f aca="false">(JP33-JQ33)^2</f>
        <v>2.15954183989092</v>
      </c>
      <c r="JS33" s="1" t="n">
        <f aca="false">EXP($FQ33/$JG$4)*JP33</f>
        <v>171.605709339809</v>
      </c>
      <c r="JT33" s="1" t="n">
        <f aca="false">EXP($FQ33/$JG$4)*(-1)^$FQ33*JP33</f>
        <v>171.605709339809</v>
      </c>
      <c r="JU33" s="1" t="n">
        <f aca="false">(-1)^JO33*JP33</f>
        <v>1.00502512562814</v>
      </c>
    </row>
    <row r="34" customFormat="false" ht="16" hidden="false" customHeight="false" outlineLevel="0" collapsed="false">
      <c r="A34" s="1" t="n">
        <v>2</v>
      </c>
      <c r="B34" s="1" t="n">
        <v>2</v>
      </c>
      <c r="C34" s="1" t="n">
        <f aca="false">B34-A34</f>
        <v>0</v>
      </c>
      <c r="D34" s="1" t="n">
        <v>2</v>
      </c>
      <c r="E34" s="1" t="n">
        <v>2</v>
      </c>
      <c r="F34" s="1" t="n">
        <f aca="false">E34-D34</f>
        <v>0</v>
      </c>
      <c r="G34" s="1" t="n">
        <v>1</v>
      </c>
      <c r="H34" s="1" t="n">
        <v>1</v>
      </c>
      <c r="I34" s="1" t="n">
        <f aca="false">H34-G34</f>
        <v>0</v>
      </c>
      <c r="J34" s="1" t="n">
        <v>2</v>
      </c>
      <c r="K34" s="1" t="n">
        <v>4</v>
      </c>
      <c r="L34" s="1" t="n">
        <f aca="false">K34-J34</f>
        <v>2</v>
      </c>
      <c r="M34" s="1" t="n">
        <v>4</v>
      </c>
      <c r="N34" s="1" t="n">
        <v>4</v>
      </c>
      <c r="O34" s="1" t="n">
        <f aca="false">N34-M34</f>
        <v>0</v>
      </c>
      <c r="P34" s="1" t="n">
        <v>2</v>
      </c>
      <c r="Q34" s="1" t="n">
        <v>2</v>
      </c>
      <c r="R34" s="1" t="n">
        <f aca="false">Q34-P34</f>
        <v>0</v>
      </c>
      <c r="S34" s="1" t="n">
        <v>10</v>
      </c>
      <c r="T34" s="1" t="n">
        <v>10</v>
      </c>
      <c r="U34" s="1" t="n">
        <f aca="false">T34-S34</f>
        <v>0</v>
      </c>
      <c r="V34" s="1" t="n">
        <v>2</v>
      </c>
      <c r="W34" s="1" t="n">
        <v>2</v>
      </c>
      <c r="X34" s="1" t="n">
        <f aca="false">W34-V34</f>
        <v>0</v>
      </c>
      <c r="Y34" s="1" t="n">
        <v>8</v>
      </c>
      <c r="Z34" s="1" t="n">
        <v>12</v>
      </c>
      <c r="AA34" s="1" t="n">
        <f aca="false">Z34-Y34</f>
        <v>4</v>
      </c>
      <c r="AB34" s="1" t="n">
        <v>1</v>
      </c>
      <c r="AC34" s="1" t="n">
        <v>5</v>
      </c>
      <c r="AD34" s="1" t="n">
        <f aca="false">AC34-AB34</f>
        <v>4</v>
      </c>
      <c r="AE34" s="1" t="n">
        <v>20</v>
      </c>
      <c r="AF34" s="1" t="n">
        <v>28</v>
      </c>
      <c r="AG34" s="1" t="n">
        <f aca="false">AF34-AE34</f>
        <v>8</v>
      </c>
      <c r="AI34" s="1" t="s">
        <v>52</v>
      </c>
      <c r="AJ34" s="1" t="n">
        <f aca="false">COUNTIFS(T$2:T$1000,2,S$2:S$1000,0)</f>
        <v>0</v>
      </c>
      <c r="AM34" s="1" t="n">
        <v>23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1</v>
      </c>
      <c r="BT34" s="1" t="n">
        <v>0</v>
      </c>
      <c r="BW34" s="1" t="n">
        <f aca="false">$AM34</f>
        <v>23</v>
      </c>
      <c r="BX34" s="1" t="n">
        <f aca="false">MAX(BX33-AN34/AN$9*100,0)</f>
        <v>0</v>
      </c>
      <c r="BY34" s="1" t="n">
        <f aca="false">MAX(BY33-AO34/AO$9*100,0)</f>
        <v>0</v>
      </c>
      <c r="BZ34" s="1" t="n">
        <f aca="false">MAX(BZ33-AQ34/AQ$9*100,0)</f>
        <v>0</v>
      </c>
      <c r="CA34" s="1" t="n">
        <f aca="false">MAX(CA33-AR34/AR$9*100,0)</f>
        <v>0</v>
      </c>
      <c r="CB34" s="1" t="n">
        <f aca="false">CB$7*EXP(-$AM34/CB$8)</f>
        <v>2.2269666319826E-011</v>
      </c>
      <c r="CC34" s="1" t="n">
        <f aca="false">(BZ34-CB34)^2</f>
        <v>4.95938037996393E-022</v>
      </c>
      <c r="CD34" s="1" t="n">
        <f aca="false">MAX(CD33-AT34/AT$9*100,0)</f>
        <v>0</v>
      </c>
      <c r="CE34" s="1" t="n">
        <f aca="false">MAX(CE33-AU34/AU$9*100,0)</f>
        <v>5.32907051820075E-015</v>
      </c>
      <c r="CF34" s="1" t="n">
        <f aca="false">CF$7*EXP(-$AM34/CF$8)</f>
        <v>4.74383663164973E-011</v>
      </c>
      <c r="CG34" s="1" t="n">
        <f aca="false">(CD34-CF34)^2</f>
        <v>2.25039859877819E-021</v>
      </c>
      <c r="CH34" s="1" t="n">
        <f aca="false">$AM34</f>
        <v>23</v>
      </c>
      <c r="CI34" s="1" t="n">
        <f aca="false">MAX(CI33-AW34/AW$9*100,0)</f>
        <v>0</v>
      </c>
      <c r="CJ34" s="1" t="n">
        <f aca="false">MAX(CJ33-AX34/AX$9*100,0)</f>
        <v>0</v>
      </c>
      <c r="CK34" s="1" t="n">
        <f aca="false">CK$7*EXP(-$AM34/CK$8)</f>
        <v>5.16424824020217E-007</v>
      </c>
      <c r="CL34" s="1" t="n">
        <f aca="false">(CI34-CK34)^2</f>
        <v>2.66694598864312E-013</v>
      </c>
      <c r="CM34" s="1" t="n">
        <f aca="false">MAX(CM33-AZ34/AZ$9*100,0)</f>
        <v>0</v>
      </c>
      <c r="CN34" s="1" t="n">
        <f aca="false">MAX(CN33-BA34/BA$9*100,0)</f>
        <v>5.32907051820075E-015</v>
      </c>
      <c r="CO34" s="1" t="n">
        <f aca="false">CO$7*EXP(-$AM34/CO$8)</f>
        <v>0.00209679942649283</v>
      </c>
      <c r="CP34" s="1" t="n">
        <f aca="false">(CM34-CO34)^2</f>
        <v>4.39656783494066E-006</v>
      </c>
      <c r="CQ34" s="1" t="n">
        <f aca="false">$AM34</f>
        <v>23</v>
      </c>
      <c r="CR34" s="1" t="n">
        <f aca="false">MAX(CR33-BC34/BC$9*100,0)</f>
        <v>0</v>
      </c>
      <c r="CS34" s="1" t="n">
        <f aca="false">MAX(CS33-BD34/BD$9*100,0)</f>
        <v>0</v>
      </c>
      <c r="CT34" s="1" t="n">
        <f aca="false">CT$7*EXP(-$AM34/CT$8)</f>
        <v>2.00512604530342E-006</v>
      </c>
      <c r="CU34" s="1" t="n">
        <f aca="false">(CR34-CT34)^2</f>
        <v>4.02053045755413E-012</v>
      </c>
      <c r="CV34" s="1" t="n">
        <f aca="false">MAX(CV33-BF34/BF$9*100,0)</f>
        <v>8.88178419700125E-015</v>
      </c>
      <c r="CW34" s="1" t="n">
        <f aca="false">MAX(CW33-BG34/BG$9*100,0)</f>
        <v>1.00502512562815</v>
      </c>
      <c r="CX34" s="1" t="n">
        <f aca="false">CX$7*EXP(-$AM34/CX$8)</f>
        <v>0.0100484183705489</v>
      </c>
      <c r="CY34" s="1" t="n">
        <f aca="false">(CV34-CX34)^2</f>
        <v>0.000100970711749406</v>
      </c>
      <c r="CZ34" s="1" t="n">
        <f aca="false">$AM34</f>
        <v>23</v>
      </c>
      <c r="DA34" s="1" t="n">
        <f aca="false">MAX(DA33-BI34/BI$9*100,0)</f>
        <v>0</v>
      </c>
      <c r="DB34" s="1" t="n">
        <f aca="false">MAX(DB33-BJ34/BJ$9*100,0)</f>
        <v>9.88098491916389E-015</v>
      </c>
      <c r="DC34" s="1" t="n">
        <f aca="false">DC$7*EXP(-$AM34/DC$8)</f>
        <v>8.18549106964591E-006</v>
      </c>
      <c r="DD34" s="1" t="n">
        <f aca="false">(DA34-DC34)^2</f>
        <v>6.7002264051253E-011</v>
      </c>
      <c r="DE34" s="1" t="n">
        <f aca="false">MAX(DE33-BL34/BL$9*100,0)</f>
        <v>0.636942675159231</v>
      </c>
      <c r="DF34" s="1" t="n">
        <f aca="false">MAX(DF33-BM34/BM$9*100,0)</f>
        <v>4.45859872611464</v>
      </c>
      <c r="DG34" s="1" t="n">
        <f aca="false">DG$7*EXP(-$AM34/DG$8)</f>
        <v>0.383525085979415</v>
      </c>
      <c r="DH34" s="1" t="n">
        <f aca="false">(DE34-DG34)^2</f>
        <v>0.0642204745057102</v>
      </c>
      <c r="DI34" s="1" t="n">
        <f aca="false">$AM34</f>
        <v>23</v>
      </c>
      <c r="DJ34" s="1" t="n">
        <f aca="false">MAX(DJ33-BO34/BO$9*100,0)</f>
        <v>0</v>
      </c>
      <c r="DK34" s="1" t="n">
        <f aca="false">MAX(DK33-BP34/BP$9*100,0)</f>
        <v>9.99200722162641E-015</v>
      </c>
      <c r="DL34" s="1" t="n">
        <f aca="false">DL$7*EXP(-$AM34/DL$8)</f>
        <v>0.000111688796843271</v>
      </c>
      <c r="DM34" s="1" t="n">
        <f aca="false">(DJ34-DL34)^2</f>
        <v>1.24743873402975E-008</v>
      </c>
      <c r="DN34" s="1" t="n">
        <f aca="false">MAX(DN33-BR34/BR$9*100,0)</f>
        <v>2.01005025125628</v>
      </c>
      <c r="DO34" s="1" t="n">
        <f aca="false">MAX(DO33-BS34/BS$9*100,0)</f>
        <v>5.52763819095477</v>
      </c>
      <c r="DP34" s="1" t="n">
        <f aca="false">DP$7*EXP(-$AM34/DP$8)</f>
        <v>0.180583917597771</v>
      </c>
      <c r="DQ34" s="1" t="n">
        <f aca="false">(DN34-DP34)^2</f>
        <v>3.34694706598992</v>
      </c>
      <c r="DS34" s="1" t="n">
        <f aca="false">$AM34</f>
        <v>23</v>
      </c>
      <c r="DT34" s="1" t="n">
        <f aca="false">CA34</f>
        <v>0</v>
      </c>
      <c r="DU34" s="1" t="n">
        <f aca="false">DU$7*EXP(-DS34/DU$8)</f>
        <v>8.21265150360079E-009</v>
      </c>
      <c r="DV34" s="1" t="n">
        <f aca="false">(DT34-DU34)^2</f>
        <v>6.74476447195963E-017</v>
      </c>
      <c r="DX34" s="1" t="n">
        <f aca="false">$AM34</f>
        <v>23</v>
      </c>
      <c r="DY34" s="1" t="n">
        <f aca="false">CM34</f>
        <v>0</v>
      </c>
      <c r="DZ34" s="1" t="n">
        <f aca="false">DZ$7*EXP(-DX34/DZ$8)</f>
        <v>0.000386355247443231</v>
      </c>
      <c r="EA34" s="1" t="n">
        <f aca="false">(DY34-DZ34)^2</f>
        <v>1.4927037722692E-007</v>
      </c>
      <c r="EC34" s="1" t="n">
        <f aca="false">$AM34</f>
        <v>23</v>
      </c>
      <c r="ED34" s="1" t="n">
        <f aca="false">CV34</f>
        <v>8.88178419700125E-015</v>
      </c>
      <c r="EE34" s="1" t="n">
        <f aca="false">EE$7*EXP(-EC34/EE$8)</f>
        <v>0.00617132901547352</v>
      </c>
      <c r="EF34" s="1" t="n">
        <f aca="false">(ED34-EE34)^2</f>
        <v>3.80853018171157E-005</v>
      </c>
      <c r="EH34" s="1" t="n">
        <f aca="false">$AM34</f>
        <v>23</v>
      </c>
      <c r="EI34" s="1" t="n">
        <f aca="false">DE34</f>
        <v>0.636942675159231</v>
      </c>
      <c r="EJ34" s="1" t="n">
        <f aca="false">EJ$7*EXP(-EH34/EJ$8)</f>
        <v>0.38193369558116</v>
      </c>
      <c r="EK34" s="1" t="n">
        <f aca="false">(EI34-EJ34)^2</f>
        <v>0.0650295796654492</v>
      </c>
      <c r="EM34" s="1" t="n">
        <f aca="false">AM34</f>
        <v>23</v>
      </c>
      <c r="EN34" s="1" t="n">
        <f aca="false">DN34</f>
        <v>2.01005025125628</v>
      </c>
      <c r="EO34" s="1" t="n">
        <f aca="false">EO$7*EXP(-EM34/EO$8)</f>
        <v>0.220054921581856</v>
      </c>
      <c r="EP34" s="1" t="n">
        <f aca="false">(EN34-EO34)^2</f>
        <v>3.20408328025626</v>
      </c>
      <c r="ER34" s="1" t="n">
        <f aca="false">$AM34</f>
        <v>23</v>
      </c>
      <c r="ES34" s="1" t="n">
        <f aca="false">BZ34</f>
        <v>0</v>
      </c>
      <c r="ET34" s="1" t="n">
        <f aca="false">ET$7*EXP(-ER34/ET$8)</f>
        <v>2.34992802923466E-010</v>
      </c>
      <c r="EU34" s="1" t="n">
        <f aca="false">(ES34-ET34)^2</f>
        <v>5.52216174258269E-020</v>
      </c>
      <c r="EW34" s="1" t="n">
        <f aca="false">$AM34</f>
        <v>23</v>
      </c>
      <c r="EX34" s="1" t="n">
        <f aca="false">CI34</f>
        <v>0</v>
      </c>
      <c r="EY34" s="1" t="n">
        <f aca="false">EY$7*EXP(-EW34/EY$8)</f>
        <v>2.58518939646011E-009</v>
      </c>
      <c r="EZ34" s="1" t="n">
        <f aca="false">(EX34-EY34)^2</f>
        <v>6.68320421556979E-018</v>
      </c>
      <c r="FB34" s="1" t="n">
        <f aca="false">$AM34</f>
        <v>23</v>
      </c>
      <c r="FC34" s="1" t="n">
        <f aca="false">CR34</f>
        <v>0</v>
      </c>
      <c r="FD34" s="1" t="n">
        <f aca="false">FD$7*EXP(-FB34/FD$8)</f>
        <v>5.46138483009134E-008</v>
      </c>
      <c r="FE34" s="1" t="n">
        <f aca="false">(FC34-FD34)^2</f>
        <v>2.98267242623518E-015</v>
      </c>
      <c r="FG34" s="1" t="n">
        <f aca="false">$AM34</f>
        <v>23</v>
      </c>
      <c r="FH34" s="1" t="n">
        <f aca="false">DA34</f>
        <v>0</v>
      </c>
      <c r="FI34" s="1" t="n">
        <f aca="false">FI$7*EXP(-FG34/FI$8)</f>
        <v>1.03354306552749E-006</v>
      </c>
      <c r="FJ34" s="1" t="n">
        <f aca="false">(FH34-FI34)^2</f>
        <v>1.06821126829996E-012</v>
      </c>
      <c r="FL34" s="1" t="n">
        <f aca="false">EM34</f>
        <v>23</v>
      </c>
      <c r="FM34" s="1" t="n">
        <f aca="false">DJ34</f>
        <v>0</v>
      </c>
      <c r="FN34" s="1" t="n">
        <f aca="false">FN$7*EXP(-FL34/FN$8)</f>
        <v>3.72620604048452E-005</v>
      </c>
      <c r="FO34" s="1" t="n">
        <f aca="false">(FM34-FN34)^2</f>
        <v>1.38846114561433E-009</v>
      </c>
      <c r="FQ34" s="1" t="n">
        <f aca="false">AM34</f>
        <v>23</v>
      </c>
      <c r="FR34" s="1" t="n">
        <f aca="false">AN34/AN$9*100</f>
        <v>0</v>
      </c>
      <c r="FS34" s="1" t="n">
        <f aca="false">AO34/AO$9*100</f>
        <v>0</v>
      </c>
      <c r="FT34" s="1" t="n">
        <f aca="false">AQ34/AQ$9*100</f>
        <v>0</v>
      </c>
      <c r="FU34" s="1" t="n">
        <f aca="false">AR34/AR$9*100</f>
        <v>0</v>
      </c>
      <c r="FV34" s="1" t="n">
        <f aca="false">AT34/AT$9*100</f>
        <v>0</v>
      </c>
      <c r="FW34" s="1" t="n">
        <f aca="false">AU34/AU$9*100</f>
        <v>0</v>
      </c>
      <c r="FX34" s="1" t="n">
        <f aca="false">AW34/AW$9*100</f>
        <v>0</v>
      </c>
      <c r="FY34" s="1" t="n">
        <f aca="false">AX34/AX$9*100</f>
        <v>0</v>
      </c>
      <c r="FZ34" s="1" t="n">
        <f aca="false">AZ34/AZ$9*100</f>
        <v>0</v>
      </c>
      <c r="GA34" s="1" t="n">
        <f aca="false">BA34/BA$9*100</f>
        <v>0</v>
      </c>
      <c r="GB34" s="1" t="n">
        <f aca="false">BC34/BC$9*100</f>
        <v>0</v>
      </c>
      <c r="GC34" s="1" t="n">
        <f aca="false">BD34/BD$9*100</f>
        <v>0</v>
      </c>
      <c r="GD34" s="1" t="n">
        <f aca="false">BF34/BF$9*100</f>
        <v>0</v>
      </c>
      <c r="GE34" s="1" t="n">
        <f aca="false">BG34/BG$9*100</f>
        <v>0</v>
      </c>
      <c r="GF34" s="1" t="n">
        <f aca="false">BI34/BI$9*100</f>
        <v>0</v>
      </c>
      <c r="GG34" s="1" t="n">
        <f aca="false">BJ34/BJ$9*100</f>
        <v>0</v>
      </c>
      <c r="GH34" s="1" t="n">
        <f aca="false">BL34/BL$9*100</f>
        <v>0</v>
      </c>
      <c r="GI34" s="1" t="n">
        <f aca="false">BM34/BM$9*100</f>
        <v>0</v>
      </c>
      <c r="GJ34" s="1" t="n">
        <f aca="false">BO34/BO$9*100</f>
        <v>0</v>
      </c>
      <c r="GK34" s="1" t="n">
        <f aca="false">BP34/BP$9*100</f>
        <v>0</v>
      </c>
      <c r="GL34" s="1" t="n">
        <f aca="false">BR34/BR$9*100</f>
        <v>0</v>
      </c>
      <c r="GM34" s="1" t="n">
        <f aca="false">BS34/BS$9*100</f>
        <v>0.50251256281407</v>
      </c>
      <c r="GO34" s="1" t="n">
        <f aca="false">$AM34</f>
        <v>23</v>
      </c>
      <c r="GP34" s="1" t="n">
        <f aca="false">FT34</f>
        <v>0</v>
      </c>
      <c r="GQ34" s="1" t="n">
        <f aca="false">GQ$6*(1+GQ$5*(-1)^$FQ34)*EXP(-$FQ34/GQ$4)</f>
        <v>1.90237857743203E-006</v>
      </c>
      <c r="GR34" s="1" t="n">
        <f aca="false">(GP34-GQ34)^2</f>
        <v>3.61904425187231E-012</v>
      </c>
      <c r="GS34" s="1" t="n">
        <f aca="false">EXP($FQ34/$JG$4)*GP34</f>
        <v>0</v>
      </c>
      <c r="GT34" s="1" t="n">
        <f aca="false">EXP($FQ34/$JG$4)*(-1)^$FQ34*GP34</f>
        <v>-0</v>
      </c>
      <c r="GU34" s="1" t="n">
        <f aca="false">(-1)^GO34*GP34</f>
        <v>-0</v>
      </c>
      <c r="GW34" s="1" t="n">
        <f aca="false">$AM34</f>
        <v>23</v>
      </c>
      <c r="GX34" s="1" t="n">
        <f aca="false">FX34</f>
        <v>0</v>
      </c>
      <c r="GY34" s="1" t="n">
        <f aca="false">GY$6*(1+GY$5*(-1)^$FQ34)*EXP(-$FQ34/GY$4)</f>
        <v>1.90237857743203E-006</v>
      </c>
      <c r="GZ34" s="1" t="n">
        <f aca="false">(GX34-GY34)^2</f>
        <v>3.61904425187231E-012</v>
      </c>
      <c r="HA34" s="1" t="n">
        <f aca="false">EXP($FQ34/$JG$4)*GX34</f>
        <v>0</v>
      </c>
      <c r="HB34" s="1" t="n">
        <f aca="false">EXP($FQ34/$JG$4)*(-1)^$FQ34*GX34</f>
        <v>-0</v>
      </c>
      <c r="HC34" s="1" t="n">
        <f aca="false">(-1)^GW34*GX34</f>
        <v>-0</v>
      </c>
      <c r="HE34" s="1" t="n">
        <f aca="false">$AM34</f>
        <v>23</v>
      </c>
      <c r="HF34" s="1" t="n">
        <f aca="false">GB34</f>
        <v>0</v>
      </c>
      <c r="HG34" s="1" t="n">
        <f aca="false">HG$6*(1+HG$5*(-1)^$FQ34)*EXP(-$FQ34/HG$4)</f>
        <v>1.90237857743203E-006</v>
      </c>
      <c r="HH34" s="1" t="n">
        <f aca="false">(HF34-HG34)^2</f>
        <v>3.61904425187231E-012</v>
      </c>
      <c r="HI34" s="1" t="n">
        <f aca="false">EXP($FQ34/$JG$4)*HF34</f>
        <v>0</v>
      </c>
      <c r="HJ34" s="1" t="n">
        <f aca="false">EXP($FQ34/$JG$4)*(-1)^$FQ34*HF34</f>
        <v>-0</v>
      </c>
      <c r="HK34" s="1" t="n">
        <f aca="false">(-1)^HE34*HF34</f>
        <v>-0</v>
      </c>
      <c r="HM34" s="1" t="n">
        <f aca="false">$AM34</f>
        <v>23</v>
      </c>
      <c r="HN34" s="1" t="n">
        <f aca="false">GF34</f>
        <v>0</v>
      </c>
      <c r="HO34" s="1" t="n">
        <f aca="false">HO$6*(1+HO$5*(-1)^$FQ34)*EXP(-$FQ34/HO$4)</f>
        <v>3.78621673893669E-005</v>
      </c>
      <c r="HP34" s="1" t="n">
        <f aca="false">(HN34-HO34)^2</f>
        <v>1.43354371942044E-009</v>
      </c>
      <c r="HQ34" s="1" t="n">
        <f aca="false">EXP($FQ34/$JG$4)*HN34</f>
        <v>0</v>
      </c>
      <c r="HR34" s="1" t="n">
        <f aca="false">EXP($FQ34/$JG$4)*(-1)^$FQ34*HN34</f>
        <v>-0</v>
      </c>
      <c r="HS34" s="1" t="n">
        <f aca="false">(-1)^HM34*HN34</f>
        <v>-0</v>
      </c>
      <c r="HU34" s="1" t="n">
        <f aca="false">$AM34</f>
        <v>23</v>
      </c>
      <c r="HV34" s="1" t="n">
        <f aca="false">GJ34</f>
        <v>0</v>
      </c>
      <c r="HW34" s="1" t="n">
        <f aca="false">HW$6*(1+HW$5*(-1)^$FQ34)*EXP(-$FQ34/HW$4)</f>
        <v>0.00118773424743025</v>
      </c>
      <c r="HX34" s="1" t="n">
        <f aca="false">(HV34-HW34)^2</f>
        <v>1.4107126425187E-006</v>
      </c>
      <c r="HY34" s="1" t="n">
        <f aca="false">EXP($FQ34/$JG$4)*HV34</f>
        <v>0</v>
      </c>
      <c r="HZ34" s="1" t="n">
        <f aca="false">EXP($FQ34/$JG$4)*(-1)^$FQ34*HV34</f>
        <v>-0</v>
      </c>
      <c r="IA34" s="1" t="n">
        <f aca="false">(-1)^HU34*HV34</f>
        <v>-0</v>
      </c>
      <c r="IB34" s="1" t="n">
        <v>0</v>
      </c>
      <c r="ID34" s="1" t="n">
        <f aca="false">$AM34</f>
        <v>23</v>
      </c>
      <c r="IE34" s="1" t="n">
        <f aca="false">FZ34</f>
        <v>0</v>
      </c>
      <c r="IF34" s="1" t="n">
        <f aca="false">IF$6*(1+IF$5*(-1)^$FQ34)*EXP(-$FQ34/IF$4)</f>
        <v>0.0132973996190452</v>
      </c>
      <c r="IG34" s="1" t="n">
        <f aca="false">(IE34-IF34)^2</f>
        <v>0.000176820836628583</v>
      </c>
      <c r="IH34" s="1" t="n">
        <f aca="false">EXP($FQ34/$JG$4)*IE34</f>
        <v>0</v>
      </c>
      <c r="II34" s="1" t="n">
        <f aca="false">EXP($FQ34/$JG$4)*(-1)^$FQ34*IE34</f>
        <v>-0</v>
      </c>
      <c r="IJ34" s="1" t="n">
        <f aca="false">(-1)^ID34*IE34</f>
        <v>-0</v>
      </c>
      <c r="IK34" s="1" t="n">
        <v>0</v>
      </c>
      <c r="IM34" s="1" t="n">
        <f aca="false">$AM34</f>
        <v>23</v>
      </c>
      <c r="IN34" s="1" t="n">
        <f aca="false">GD34</f>
        <v>0</v>
      </c>
      <c r="IO34" s="1" t="n">
        <f aca="false">IO$6*(1+IO$5*(-1)^$FQ34)*EXP(-$FQ34/IO$4)</f>
        <v>0.0307805657413793</v>
      </c>
      <c r="IP34" s="1" t="n">
        <f aca="false">(IN34-IO34)^2</f>
        <v>0.000947443227359373</v>
      </c>
      <c r="IQ34" s="1" t="n">
        <f aca="false">EXP($FQ34/$JG$4)*IN34</f>
        <v>0</v>
      </c>
      <c r="IR34" s="1" t="n">
        <f aca="false">EXP($FQ34/$JG$4)*(-1)^$FQ34*IN34</f>
        <v>-0</v>
      </c>
      <c r="IS34" s="1" t="n">
        <f aca="false">(-1)^IM34*IN34</f>
        <v>-0</v>
      </c>
      <c r="IT34" s="1" t="n">
        <v>0</v>
      </c>
      <c r="IV34" s="1" t="n">
        <f aca="false">$AM34</f>
        <v>23</v>
      </c>
      <c r="IW34" s="1" t="n">
        <f aca="false">GH34</f>
        <v>0</v>
      </c>
      <c r="IX34" s="1" t="n">
        <f aca="false">IX$6*(1+IX$5*(-1)^$FQ34)*EXP(-$FQ34/IX$4)</f>
        <v>0.110554098137517</v>
      </c>
      <c r="IY34" s="1" t="n">
        <f aca="false">(IW34-IX34)^2</f>
        <v>0.0122222086149997</v>
      </c>
      <c r="IZ34" s="1" t="n">
        <f aca="false">EXP($FQ34/$JG$4)*IW34</f>
        <v>0</v>
      </c>
      <c r="JA34" s="1" t="n">
        <f aca="false">EXP($FQ34/$JG$4)*(-1)^$FQ34*IW34</f>
        <v>-0</v>
      </c>
      <c r="JB34" s="1" t="n">
        <f aca="false">(-1)^IV34*IW34</f>
        <v>-0</v>
      </c>
      <c r="JC34" s="1" t="n">
        <v>0.024813</v>
      </c>
      <c r="JE34" s="1" t="n">
        <f aca="false">$AM34</f>
        <v>23</v>
      </c>
      <c r="JF34" s="1" t="n">
        <f aca="false">GL34</f>
        <v>0</v>
      </c>
      <c r="JG34" s="1" t="n">
        <f aca="false">JG$6*(1+JG$5*(-1)^$FQ34)*EXP(-$FQ34/JG$4)</f>
        <v>0.0353593468192347</v>
      </c>
      <c r="JH34" s="1" t="n">
        <f aca="false">(JF34-JG34)^2</f>
        <v>0.00125028340748292</v>
      </c>
      <c r="JI34" s="1" t="n">
        <f aca="false">EXP($FQ34/$JG$4)*JF34</f>
        <v>0</v>
      </c>
      <c r="JJ34" s="1" t="n">
        <f aca="false">EXP($FQ34/$JG$4)*(-1)^$FQ34*JF34</f>
        <v>-0</v>
      </c>
      <c r="JK34" s="1" t="n">
        <f aca="false">(-1)^JE34*JF34</f>
        <v>-0</v>
      </c>
      <c r="JL34" s="1" t="n">
        <v>0.015706</v>
      </c>
      <c r="JO34" s="1" t="n">
        <f aca="false">$AM34</f>
        <v>23</v>
      </c>
      <c r="JP34" s="1" t="n">
        <f aca="false">GM34</f>
        <v>0.50251256281407</v>
      </c>
      <c r="JQ34" s="1" t="n">
        <f aca="false">JQ$6*(1+JQ$5*(-1)^$FQ34)*EXP(-$FQ34/JQ$4)</f>
        <v>0.435106598485606</v>
      </c>
      <c r="JR34" s="1" t="n">
        <f aca="false">(JP34-JQ34)^2</f>
        <v>0.0045435640270502</v>
      </c>
      <c r="JS34" s="1" t="n">
        <f aca="false">EXP($FQ34/$JG$4)*JP34</f>
        <v>108.385805728159</v>
      </c>
      <c r="JT34" s="1" t="n">
        <f aca="false">EXP($FQ34/$JG$4)*(-1)^$FQ34*JP34</f>
        <v>-108.385805728159</v>
      </c>
      <c r="JU34" s="1" t="n">
        <f aca="false">(-1)^JO34*JP34</f>
        <v>-0.50251256281407</v>
      </c>
    </row>
    <row r="35" customFormat="false" ht="16" hidden="false" customHeight="false" outlineLevel="0" collapsed="false">
      <c r="A35" s="1" t="n">
        <v>1</v>
      </c>
      <c r="B35" s="1" t="n">
        <v>1</v>
      </c>
      <c r="C35" s="1" t="n">
        <f aca="false">B35-A35</f>
        <v>0</v>
      </c>
      <c r="D35" s="1" t="n">
        <v>1</v>
      </c>
      <c r="E35" s="1" t="n">
        <v>1</v>
      </c>
      <c r="F35" s="1" t="n">
        <f aca="false">E35-D35</f>
        <v>0</v>
      </c>
      <c r="G35" s="1" t="n">
        <v>2</v>
      </c>
      <c r="H35" s="1" t="n">
        <v>2</v>
      </c>
      <c r="I35" s="1" t="n">
        <f aca="false">H35-G35</f>
        <v>0</v>
      </c>
      <c r="J35" s="1" t="n">
        <v>1</v>
      </c>
      <c r="K35" s="1" t="n">
        <v>1</v>
      </c>
      <c r="L35" s="1" t="n">
        <f aca="false">K35-J35</f>
        <v>0</v>
      </c>
      <c r="M35" s="1" t="n">
        <v>2</v>
      </c>
      <c r="N35" s="1" t="n">
        <v>2</v>
      </c>
      <c r="O35" s="1" t="n">
        <f aca="false">N35-M35</f>
        <v>0</v>
      </c>
      <c r="P35" s="1" t="n">
        <v>5</v>
      </c>
      <c r="Q35" s="1" t="n">
        <v>5</v>
      </c>
      <c r="R35" s="1" t="n">
        <f aca="false">Q35-P35</f>
        <v>0</v>
      </c>
      <c r="S35" s="1" t="n">
        <v>4</v>
      </c>
      <c r="T35" s="1" t="n">
        <v>6</v>
      </c>
      <c r="U35" s="1" t="n">
        <f aca="false">T35-S35</f>
        <v>2</v>
      </c>
      <c r="V35" s="1" t="n">
        <v>1</v>
      </c>
      <c r="W35" s="1" t="n">
        <v>1</v>
      </c>
      <c r="X35" s="1" t="n">
        <f aca="false">W35-V35</f>
        <v>0</v>
      </c>
      <c r="Y35" s="1" t="n">
        <v>2</v>
      </c>
      <c r="Z35" s="1" t="n">
        <v>2</v>
      </c>
      <c r="AA35" s="1" t="n">
        <f aca="false">Z35-Y35</f>
        <v>0</v>
      </c>
      <c r="AB35" s="1" t="n">
        <v>2</v>
      </c>
      <c r="AC35" s="1" t="n">
        <v>4</v>
      </c>
      <c r="AD35" s="1" t="n">
        <f aca="false">AC35-AB35</f>
        <v>2</v>
      </c>
      <c r="AE35" s="1" t="n">
        <v>8</v>
      </c>
      <c r="AF35" s="1" t="n">
        <v>13</v>
      </c>
      <c r="AG35" s="1" t="n">
        <f aca="false">AF35-AE35</f>
        <v>5</v>
      </c>
      <c r="AM35" s="1" t="n">
        <v>24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1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1</v>
      </c>
      <c r="BS35" s="1" t="n">
        <v>2</v>
      </c>
      <c r="BT35" s="1" t="n">
        <v>1</v>
      </c>
      <c r="BW35" s="1" t="n">
        <f aca="false">$AM35</f>
        <v>24</v>
      </c>
      <c r="BX35" s="1" t="n">
        <f aca="false">MAX(BX34-AN35/AN$9*100,0)</f>
        <v>0</v>
      </c>
      <c r="BY35" s="1" t="n">
        <f aca="false">MAX(BY34-AO35/AO$9*100,0)</f>
        <v>0</v>
      </c>
      <c r="BZ35" s="1" t="n">
        <f aca="false">MAX(BZ34-AQ35/AQ$9*100,0)</f>
        <v>0</v>
      </c>
      <c r="CA35" s="1" t="n">
        <f aca="false">MAX(CA34-AR35/AR$9*100,0)</f>
        <v>0</v>
      </c>
      <c r="CB35" s="1" t="n">
        <f aca="false">CB$7*EXP(-$AM35/CB$8)</f>
        <v>6.07707928050597E-012</v>
      </c>
      <c r="CC35" s="1" t="n">
        <f aca="false">(BZ35-CB35)^2</f>
        <v>3.6930892581555E-023</v>
      </c>
      <c r="CD35" s="1" t="n">
        <f aca="false">MAX(CD34-AT35/AT$9*100,0)</f>
        <v>0</v>
      </c>
      <c r="CE35" s="1" t="n">
        <f aca="false">MAX(CE34-AU35/AU$9*100,0)</f>
        <v>5.32907051820075E-015</v>
      </c>
      <c r="CF35" s="1" t="n">
        <f aca="false">CF$7*EXP(-$AM35/CF$8)</f>
        <v>1.337795940792E-011</v>
      </c>
      <c r="CG35" s="1" t="n">
        <f aca="false">(CD35-CF35)^2</f>
        <v>1.78969797919955E-022</v>
      </c>
      <c r="CH35" s="1" t="n">
        <f aca="false">$AM35</f>
        <v>24</v>
      </c>
      <c r="CI35" s="1" t="n">
        <f aca="false">MAX(CI34-AW35/AW$9*100,0)</f>
        <v>0</v>
      </c>
      <c r="CJ35" s="1" t="n">
        <f aca="false">MAX(CJ34-AX35/AX$9*100,0)</f>
        <v>0</v>
      </c>
      <c r="CK35" s="1" t="n">
        <f aca="false">CK$7*EXP(-$AM35/CK$8)</f>
        <v>2.19692507265294E-007</v>
      </c>
      <c r="CL35" s="1" t="n">
        <f aca="false">(CI35-CK35)^2</f>
        <v>4.82647977485113E-014</v>
      </c>
      <c r="CM35" s="1" t="n">
        <f aca="false">MAX(CM34-AZ35/AZ$9*100,0)</f>
        <v>0</v>
      </c>
      <c r="CN35" s="1" t="n">
        <f aca="false">MAX(CN34-BA35/BA$9*100,0)</f>
        <v>5.32907051820075E-015</v>
      </c>
      <c r="CO35" s="1" t="n">
        <f aca="false">CO$7*EXP(-$AM35/CO$8)</f>
        <v>0.00129646699509</v>
      </c>
      <c r="CP35" s="1" t="n">
        <f aca="false">(CM35-CO35)^2</f>
        <v>1.68082666935769E-006</v>
      </c>
      <c r="CQ35" s="1" t="n">
        <f aca="false">$AM35</f>
        <v>24</v>
      </c>
      <c r="CR35" s="1" t="n">
        <f aca="false">MAX(CR34-BC35/BC$9*100,0)</f>
        <v>0</v>
      </c>
      <c r="CS35" s="1" t="n">
        <f aca="false">MAX(CS34-BD35/BD$9*100,0)</f>
        <v>0</v>
      </c>
      <c r="CT35" s="1" t="n">
        <f aca="false">CT$7*EXP(-$AM35/CT$8)</f>
        <v>9.1238370289263E-007</v>
      </c>
      <c r="CU35" s="1" t="n">
        <f aca="false">(CR35-CT35)^2</f>
        <v>8.32444021304067E-013</v>
      </c>
      <c r="CV35" s="1" t="n">
        <f aca="false">MAX(CV34-BF35/BF$9*100,0)</f>
        <v>8.88178419700125E-015</v>
      </c>
      <c r="CW35" s="1" t="n">
        <f aca="false">MAX(CW34-BG35/BG$9*100,0)</f>
        <v>1.00502512562815</v>
      </c>
      <c r="CX35" s="1" t="n">
        <f aca="false">CX$7*EXP(-$AM35/CX$8)</f>
        <v>0.00664717601821449</v>
      </c>
      <c r="CY35" s="1" t="n">
        <f aca="false">(CV35-CX35)^2</f>
        <v>4.41849490170078E-005</v>
      </c>
      <c r="CZ35" s="1" t="n">
        <f aca="false">$AM35</f>
        <v>24</v>
      </c>
      <c r="DA35" s="1" t="n">
        <f aca="false">MAX(DA34-BI35/BI$9*100,0)</f>
        <v>0</v>
      </c>
      <c r="DB35" s="1" t="n">
        <f aca="false">MAX(DB34-BJ35/BJ$9*100,0)</f>
        <v>9.88098491916389E-015</v>
      </c>
      <c r="DC35" s="1" t="n">
        <f aca="false">DC$7*EXP(-$AM35/DC$8)</f>
        <v>3.94494967678762E-006</v>
      </c>
      <c r="DD35" s="1" t="n">
        <f aca="false">(DA35-DC35)^2</f>
        <v>1.55626279523867E-011</v>
      </c>
      <c r="DE35" s="1" t="n">
        <f aca="false">MAX(DE34-BL35/BL$9*100,0)</f>
        <v>0.636942675159231</v>
      </c>
      <c r="DF35" s="1" t="n">
        <f aca="false">MAX(DF34-BM35/BM$9*100,0)</f>
        <v>3.8216560509554</v>
      </c>
      <c r="DG35" s="1" t="n">
        <f aca="false">DG$7*EXP(-$AM35/DG$8)</f>
        <v>0.298689637288296</v>
      </c>
      <c r="DH35" s="1" t="n">
        <f aca="false">(DE35-DG35)^2</f>
        <v>0.114415117628916</v>
      </c>
      <c r="DI35" s="1" t="n">
        <f aca="false">$AM35</f>
        <v>24</v>
      </c>
      <c r="DJ35" s="1" t="n">
        <f aca="false">MAX(DJ34-BO35/BO$9*100,0)</f>
        <v>0</v>
      </c>
      <c r="DK35" s="1" t="n">
        <f aca="false">MAX(DK34-BP35/BP$9*100,0)</f>
        <v>9.99200722162641E-015</v>
      </c>
      <c r="DL35" s="1" t="n">
        <f aca="false">DL$7*EXP(-$AM35/DL$8)</f>
        <v>6.04743598873864E-005</v>
      </c>
      <c r="DM35" s="1" t="n">
        <f aca="false">(DJ35-DL35)^2</f>
        <v>3.65714820378913E-009</v>
      </c>
      <c r="DN35" s="1" t="n">
        <f aca="false">MAX(DN34-BR35/BR$9*100,0)</f>
        <v>1.50753768844221</v>
      </c>
      <c r="DO35" s="1" t="n">
        <f aca="false">MAX(DO34-BS35/BS$9*100,0)</f>
        <v>4.52261306532663</v>
      </c>
      <c r="DP35" s="1" t="n">
        <f aca="false">DP$7*EXP(-$AM35/DP$8)</f>
        <v>0.136034627621521</v>
      </c>
      <c r="DQ35" s="1" t="n">
        <f aca="false">(DN35-DP35)^2</f>
        <v>1.88102064584053</v>
      </c>
      <c r="DS35" s="1" t="n">
        <f aca="false">$AM35</f>
        <v>24</v>
      </c>
      <c r="DT35" s="1" t="n">
        <f aca="false">CA35</f>
        <v>0</v>
      </c>
      <c r="DU35" s="1" t="n">
        <f aca="false">DU$7*EXP(-DS35/DU$8)</f>
        <v>2.92925462514274E-009</v>
      </c>
      <c r="DV35" s="1" t="n">
        <f aca="false">(DT35-DU35)^2</f>
        <v>8.58053265892014E-018</v>
      </c>
      <c r="DX35" s="1" t="n">
        <f aca="false">$AM35</f>
        <v>24</v>
      </c>
      <c r="DY35" s="1" t="n">
        <f aca="false">CM35</f>
        <v>0</v>
      </c>
      <c r="DZ35" s="1" t="n">
        <f aca="false">DZ$7*EXP(-DX35/DZ$8)</f>
        <v>0.000220293230233736</v>
      </c>
      <c r="EA35" s="1" t="n">
        <f aca="false">(DY35-DZ35)^2</f>
        <v>4.85291072868138E-008</v>
      </c>
      <c r="EC35" s="1" t="n">
        <f aca="false">$AM35</f>
        <v>24</v>
      </c>
      <c r="ED35" s="1" t="n">
        <f aca="false">CV35</f>
        <v>8.88178419700125E-015</v>
      </c>
      <c r="EE35" s="1" t="n">
        <f aca="false">EE$7*EXP(-EC35/EE$8)</f>
        <v>0.0039877732467952</v>
      </c>
      <c r="EF35" s="1" t="n">
        <f aca="false">(ED35-EE35)^2</f>
        <v>1.59023354677847E-005</v>
      </c>
      <c r="EH35" s="1" t="n">
        <f aca="false">$AM35</f>
        <v>24</v>
      </c>
      <c r="EI35" s="1" t="n">
        <f aca="false">DE35</f>
        <v>0.636942675159231</v>
      </c>
      <c r="EJ35" s="1" t="n">
        <f aca="false">EJ$7*EXP(-EH35/EJ$8)</f>
        <v>0.297450261199963</v>
      </c>
      <c r="EK35" s="1" t="n">
        <f aca="false">(EI35-EJ35)^2</f>
        <v>0.115255099135891</v>
      </c>
      <c r="EM35" s="1" t="n">
        <f aca="false">AM35</f>
        <v>24</v>
      </c>
      <c r="EN35" s="1" t="n">
        <f aca="false">DN35</f>
        <v>1.50753768844221</v>
      </c>
      <c r="EO35" s="1" t="n">
        <f aca="false">EO$7*EXP(-EM35/EO$8)</f>
        <v>0.167319399228037</v>
      </c>
      <c r="EP35" s="1" t="n">
        <f aca="false">(EN35-EO35)^2</f>
        <v>1.79618506274417</v>
      </c>
      <c r="ER35" s="1" t="n">
        <f aca="false">$AM35</f>
        <v>24</v>
      </c>
      <c r="ES35" s="1" t="n">
        <f aca="false">BZ35</f>
        <v>0</v>
      </c>
      <c r="ET35" s="1" t="n">
        <f aca="false">ET$7*EXP(-ER35/ET$8)</f>
        <v>7.14557728905877E-011</v>
      </c>
      <c r="EU35" s="1" t="n">
        <f aca="false">(ES35-ET35)^2</f>
        <v>5.10592747939125E-021</v>
      </c>
      <c r="EW35" s="1" t="n">
        <f aca="false">$AM35</f>
        <v>24</v>
      </c>
      <c r="EX35" s="1" t="n">
        <f aca="false">CI35</f>
        <v>0</v>
      </c>
      <c r="EY35" s="1" t="n">
        <f aca="false">EY$7*EXP(-EW35/EY$8)</f>
        <v>8.61480958371629E-010</v>
      </c>
      <c r="EZ35" s="1" t="n">
        <f aca="false">(EX35-EY35)^2</f>
        <v>7.421494416369E-019</v>
      </c>
      <c r="FB35" s="1" t="n">
        <f aca="false">$AM35</f>
        <v>24</v>
      </c>
      <c r="FC35" s="1" t="n">
        <f aca="false">CR35</f>
        <v>0</v>
      </c>
      <c r="FD35" s="1" t="n">
        <f aca="false">FD$7*EXP(-FB35/FD$8)</f>
        <v>2.10711863224259E-008</v>
      </c>
      <c r="FE35" s="1" t="n">
        <f aca="false">(FC35-FD35)^2</f>
        <v>4.43994893034388E-016</v>
      </c>
      <c r="FG35" s="1" t="n">
        <f aca="false">$AM35</f>
        <v>24</v>
      </c>
      <c r="FH35" s="1" t="n">
        <f aca="false">DA35</f>
        <v>0</v>
      </c>
      <c r="FI35" s="1" t="n">
        <f aca="false">FI$7*EXP(-FG35/FI$8)</f>
        <v>4.52280140112256E-007</v>
      </c>
      <c r="FJ35" s="1" t="n">
        <f aca="false">(FH35-FI35)^2</f>
        <v>2.04557325139962E-013</v>
      </c>
      <c r="FL35" s="1" t="n">
        <f aca="false">EM35</f>
        <v>24</v>
      </c>
      <c r="FM35" s="1" t="n">
        <f aca="false">DJ35</f>
        <v>0</v>
      </c>
      <c r="FN35" s="1" t="n">
        <f aca="false">FN$7*EXP(-FL35/FN$8)</f>
        <v>1.91309797022741E-005</v>
      </c>
      <c r="FO35" s="1" t="n">
        <f aca="false">(FM35-FN35)^2</f>
        <v>3.65994384368824E-010</v>
      </c>
      <c r="FQ35" s="1" t="n">
        <f aca="false">AM35</f>
        <v>24</v>
      </c>
      <c r="FR35" s="1" t="n">
        <f aca="false">AN35/AN$9*100</f>
        <v>0</v>
      </c>
      <c r="FS35" s="1" t="n">
        <f aca="false">AO35/AO$9*100</f>
        <v>0</v>
      </c>
      <c r="FT35" s="1" t="n">
        <f aca="false">AQ35/AQ$9*100</f>
        <v>0</v>
      </c>
      <c r="FU35" s="1" t="n">
        <f aca="false">AR35/AR$9*100</f>
        <v>0</v>
      </c>
      <c r="FV35" s="1" t="n">
        <f aca="false">AT35/AT$9*100</f>
        <v>0</v>
      </c>
      <c r="FW35" s="1" t="n">
        <f aca="false">AU35/AU$9*100</f>
        <v>0</v>
      </c>
      <c r="FX35" s="1" t="n">
        <f aca="false">AW35/AW$9*100</f>
        <v>0</v>
      </c>
      <c r="FY35" s="1" t="n">
        <f aca="false">AX35/AX$9*100</f>
        <v>0</v>
      </c>
      <c r="FZ35" s="1" t="n">
        <f aca="false">AZ35/AZ$9*100</f>
        <v>0</v>
      </c>
      <c r="GA35" s="1" t="n">
        <f aca="false">BA35/BA$9*100</f>
        <v>0</v>
      </c>
      <c r="GB35" s="1" t="n">
        <f aca="false">BC35/BC$9*100</f>
        <v>0</v>
      </c>
      <c r="GC35" s="1" t="n">
        <f aca="false">BD35/BD$9*100</f>
        <v>0</v>
      </c>
      <c r="GD35" s="1" t="n">
        <f aca="false">BF35/BF$9*100</f>
        <v>0</v>
      </c>
      <c r="GE35" s="1" t="n">
        <f aca="false">BG35/BG$9*100</f>
        <v>0</v>
      </c>
      <c r="GF35" s="1" t="n">
        <f aca="false">BI35/BI$9*100</f>
        <v>0</v>
      </c>
      <c r="GG35" s="1" t="n">
        <f aca="false">BJ35/BJ$9*100</f>
        <v>0</v>
      </c>
      <c r="GH35" s="1" t="n">
        <f aca="false">BL35/BL$9*100</f>
        <v>0</v>
      </c>
      <c r="GI35" s="1" t="n">
        <f aca="false">BM35/BM$9*100</f>
        <v>0.636942675159236</v>
      </c>
      <c r="GJ35" s="1" t="n">
        <f aca="false">BO35/BO$9*100</f>
        <v>0</v>
      </c>
      <c r="GK35" s="1" t="n">
        <f aca="false">BP35/BP$9*100</f>
        <v>0</v>
      </c>
      <c r="GL35" s="1" t="n">
        <f aca="false">BR35/BR$9*100</f>
        <v>0.50251256281407</v>
      </c>
      <c r="GM35" s="1" t="n">
        <f aca="false">BS35/BS$9*100</f>
        <v>1.00502512562814</v>
      </c>
      <c r="GO35" s="1" t="n">
        <f aca="false">$AM35</f>
        <v>24</v>
      </c>
      <c r="GP35" s="1" t="n">
        <f aca="false">FT35</f>
        <v>0</v>
      </c>
      <c r="GQ35" s="1" t="n">
        <f aca="false">GQ$6*(1+GQ$5*(-1)^$FQ35)*EXP(-$FQ35/GQ$4)</f>
        <v>2.60556593654911E-006</v>
      </c>
      <c r="GR35" s="1" t="n">
        <f aca="false">(GP35-GQ35)^2</f>
        <v>6.78897384970504E-012</v>
      </c>
      <c r="GS35" s="1" t="n">
        <f aca="false">EXP($FQ35/$JG$4)*GP35</f>
        <v>0</v>
      </c>
      <c r="GT35" s="1" t="n">
        <f aca="false">EXP($FQ35/$JG$4)*(-1)^$FQ35*GP35</f>
        <v>0</v>
      </c>
      <c r="GU35" s="1" t="n">
        <f aca="false">(-1)^GO35*GP35</f>
        <v>0</v>
      </c>
      <c r="GW35" s="1" t="n">
        <f aca="false">$AM35</f>
        <v>24</v>
      </c>
      <c r="GX35" s="1" t="n">
        <f aca="false">FX35</f>
        <v>0</v>
      </c>
      <c r="GY35" s="1" t="n">
        <f aca="false">GY$6*(1+GY$5*(-1)^$FQ35)*EXP(-$FQ35/GY$4)</f>
        <v>2.60556593654911E-006</v>
      </c>
      <c r="GZ35" s="1" t="n">
        <f aca="false">(GX35-GY35)^2</f>
        <v>6.78897384970504E-012</v>
      </c>
      <c r="HA35" s="1" t="n">
        <f aca="false">EXP($FQ35/$JG$4)*GX35</f>
        <v>0</v>
      </c>
      <c r="HB35" s="1" t="n">
        <f aca="false">EXP($FQ35/$JG$4)*(-1)^$FQ35*GX35</f>
        <v>0</v>
      </c>
      <c r="HC35" s="1" t="n">
        <f aca="false">(-1)^GW35*GX35</f>
        <v>0</v>
      </c>
      <c r="HE35" s="1" t="n">
        <f aca="false">$AM35</f>
        <v>24</v>
      </c>
      <c r="HF35" s="1" t="n">
        <f aca="false">GB35</f>
        <v>0</v>
      </c>
      <c r="HG35" s="1" t="n">
        <f aca="false">HG$6*(1+HG$5*(-1)^$FQ35)*EXP(-$FQ35/HG$4)</f>
        <v>2.60556593654911E-006</v>
      </c>
      <c r="HH35" s="1" t="n">
        <f aca="false">(HF35-HG35)^2</f>
        <v>6.78897384970504E-012</v>
      </c>
      <c r="HI35" s="1" t="n">
        <f aca="false">EXP($FQ35/$JG$4)*HF35</f>
        <v>0</v>
      </c>
      <c r="HJ35" s="1" t="n">
        <f aca="false">EXP($FQ35/$JG$4)*(-1)^$FQ35*HF35</f>
        <v>0</v>
      </c>
      <c r="HK35" s="1" t="n">
        <f aca="false">(-1)^HE35*HF35</f>
        <v>0</v>
      </c>
      <c r="HM35" s="1" t="n">
        <f aca="false">$AM35</f>
        <v>24</v>
      </c>
      <c r="HN35" s="1" t="n">
        <f aca="false">GF35</f>
        <v>0</v>
      </c>
      <c r="HO35" s="1" t="n">
        <f aca="false">HO$6*(1+HO$5*(-1)^$FQ35)*EXP(-$FQ35/HO$4)</f>
        <v>9.47742251580942E-005</v>
      </c>
      <c r="HP35" s="1" t="n">
        <f aca="false">(HN35-HO35)^2</f>
        <v>8.98215375431714E-009</v>
      </c>
      <c r="HQ35" s="1" t="n">
        <f aca="false">EXP($FQ35/$JG$4)*HN35</f>
        <v>0</v>
      </c>
      <c r="HR35" s="1" t="n">
        <f aca="false">EXP($FQ35/$JG$4)*(-1)^$FQ35*HN35</f>
        <v>0</v>
      </c>
      <c r="HS35" s="1" t="n">
        <f aca="false">(-1)^HM35*HN35</f>
        <v>0</v>
      </c>
      <c r="HU35" s="1" t="n">
        <f aca="false">$AM35</f>
        <v>24</v>
      </c>
      <c r="HV35" s="1" t="n">
        <f aca="false">GJ35</f>
        <v>0</v>
      </c>
      <c r="HW35" s="1" t="n">
        <f aca="false">HW$6*(1+HW$5*(-1)^$FQ35)*EXP(-$FQ35/HW$4)</f>
        <v>0.00228915307068211</v>
      </c>
      <c r="HX35" s="1" t="n">
        <f aca="false">(HV35-HW35)^2</f>
        <v>5.24022178101333E-006</v>
      </c>
      <c r="HY35" s="1" t="n">
        <f aca="false">EXP($FQ35/$JG$4)*HV35</f>
        <v>0</v>
      </c>
      <c r="HZ35" s="1" t="n">
        <f aca="false">EXP($FQ35/$JG$4)*(-1)^$FQ35*HV35</f>
        <v>0</v>
      </c>
      <c r="IA35" s="1" t="n">
        <f aca="false">(-1)^HU35*HV35</f>
        <v>0</v>
      </c>
      <c r="IB35" s="1" t="n">
        <v>0</v>
      </c>
      <c r="ID35" s="1" t="n">
        <f aca="false">$AM35</f>
        <v>24</v>
      </c>
      <c r="IE35" s="1" t="n">
        <f aca="false">FZ35</f>
        <v>0</v>
      </c>
      <c r="IF35" s="1" t="n">
        <f aca="false">IF$6*(1+IF$5*(-1)^$FQ35)*EXP(-$FQ35/IF$4)</f>
        <v>0.0184955355774417</v>
      </c>
      <c r="IG35" s="1" t="n">
        <f aca="false">(IE35-IF35)^2</f>
        <v>0.000342084836296412</v>
      </c>
      <c r="IH35" s="1" t="n">
        <f aca="false">EXP($FQ35/$JG$4)*IE35</f>
        <v>0</v>
      </c>
      <c r="II35" s="1" t="n">
        <f aca="false">EXP($FQ35/$JG$4)*(-1)^$FQ35*IE35</f>
        <v>0</v>
      </c>
      <c r="IJ35" s="1" t="n">
        <f aca="false">(-1)^ID35*IE35</f>
        <v>0</v>
      </c>
      <c r="IK35" s="1" t="n">
        <v>0</v>
      </c>
      <c r="IM35" s="1" t="n">
        <f aca="false">$AM35</f>
        <v>24</v>
      </c>
      <c r="IN35" s="1" t="n">
        <f aca="false">GD35</f>
        <v>0</v>
      </c>
      <c r="IO35" s="1" t="n">
        <f aca="false">IO$6*(1+IO$5*(-1)^$FQ35)*EXP(-$FQ35/IO$4)</f>
        <v>0.0503005203572079</v>
      </c>
      <c r="IP35" s="1" t="n">
        <f aca="false">(IN35-IO35)^2</f>
        <v>0.00253014234820589</v>
      </c>
      <c r="IQ35" s="1" t="n">
        <f aca="false">EXP($FQ35/$JG$4)*IN35</f>
        <v>0</v>
      </c>
      <c r="IR35" s="1" t="n">
        <f aca="false">EXP($FQ35/$JG$4)*(-1)^$FQ35*IN35</f>
        <v>0</v>
      </c>
      <c r="IS35" s="1" t="n">
        <f aca="false">(-1)^IM35*IN35</f>
        <v>0</v>
      </c>
      <c r="IT35" s="1" t="n">
        <v>0</v>
      </c>
      <c r="IV35" s="1" t="n">
        <f aca="false">$AM35</f>
        <v>24</v>
      </c>
      <c r="IW35" s="1" t="n">
        <f aca="false">GH35</f>
        <v>0</v>
      </c>
      <c r="IX35" s="1" t="n">
        <f aca="false">IX$6*(1+IX$5*(-1)^$FQ35)*EXP(-$FQ35/IX$4)</f>
        <v>0.35372841175986</v>
      </c>
      <c r="IY35" s="1" t="n">
        <f aca="false">(IW35-IX35)^2</f>
        <v>0.125123789286153</v>
      </c>
      <c r="IZ35" s="1" t="n">
        <f aca="false">EXP($FQ35/$JG$4)*IW35</f>
        <v>0</v>
      </c>
      <c r="JA35" s="1" t="n">
        <f aca="false">EXP($FQ35/$JG$4)*(-1)^$FQ35*IW35</f>
        <v>0</v>
      </c>
      <c r="JB35" s="1" t="n">
        <f aca="false">(-1)^IV35*IW35</f>
        <v>0</v>
      </c>
      <c r="JC35" s="1" t="n">
        <v>0.013752</v>
      </c>
      <c r="JE35" s="1" t="n">
        <f aca="false">$AM35</f>
        <v>24</v>
      </c>
      <c r="JF35" s="1" t="n">
        <f aca="false">GL35</f>
        <v>0.50251256281407</v>
      </c>
      <c r="JG35" s="1" t="n">
        <f aca="false">JG$6*(1+JG$5*(-1)^$FQ35)*EXP(-$FQ35/JG$4)</f>
        <v>0.183268221656244</v>
      </c>
      <c r="JH35" s="1" t="n">
        <f aca="false">(JF35-JG35)^2</f>
        <v>0.101916949361295</v>
      </c>
      <c r="JI35" s="1" t="n">
        <f aca="false">EXP($FQ35/$JG$4)*JF35</f>
        <v>136.912494677904</v>
      </c>
      <c r="JJ35" s="1" t="n">
        <f aca="false">EXP($FQ35/$JG$4)*(-1)^$FQ35*JF35</f>
        <v>136.912494677904</v>
      </c>
      <c r="JK35" s="1" t="n">
        <f aca="false">(-1)^JE35*JF35</f>
        <v>0.50251256281407</v>
      </c>
      <c r="JL35" s="1" t="n">
        <v>0.006981</v>
      </c>
      <c r="JO35" s="1" t="n">
        <f aca="false">$AM35</f>
        <v>24</v>
      </c>
      <c r="JP35" s="1" t="n">
        <f aca="false">GM35</f>
        <v>1.00502512562814</v>
      </c>
      <c r="JQ35" s="1" t="n">
        <f aca="false">JQ$6*(1+JQ$5*(-1)^$FQ35)*EXP(-$FQ35/JQ$4)</f>
        <v>2.10868357078443</v>
      </c>
      <c r="JR35" s="1" t="n">
        <f aca="false">(JP35-JQ35)^2</f>
        <v>1.2180619635648</v>
      </c>
      <c r="JS35" s="1" t="n">
        <f aca="false">EXP($FQ35/$JG$4)*JP35</f>
        <v>273.824989355807</v>
      </c>
      <c r="JT35" s="1" t="n">
        <f aca="false">EXP($FQ35/$JG$4)*(-1)^$FQ35*JP35</f>
        <v>273.824989355807</v>
      </c>
      <c r="JU35" s="1" t="n">
        <f aca="false">(-1)^JO35*JP35</f>
        <v>1.00502512562814</v>
      </c>
    </row>
    <row r="36" customFormat="false" ht="16" hidden="false" customHeight="false" outlineLevel="0" collapsed="false">
      <c r="A36" s="1" t="n">
        <v>2</v>
      </c>
      <c r="B36" s="1" t="n">
        <v>2</v>
      </c>
      <c r="C36" s="1" t="n">
        <f aca="false">B36-A36</f>
        <v>0</v>
      </c>
      <c r="D36" s="1" t="n">
        <v>1</v>
      </c>
      <c r="E36" s="1" t="n">
        <v>1</v>
      </c>
      <c r="F36" s="1" t="n">
        <f aca="false">E36-D36</f>
        <v>0</v>
      </c>
      <c r="G36" s="1" t="n">
        <v>2</v>
      </c>
      <c r="H36" s="1" t="n">
        <v>2</v>
      </c>
      <c r="I36" s="1" t="n">
        <f aca="false">H36-G36</f>
        <v>0</v>
      </c>
      <c r="J36" s="1" t="n">
        <v>2</v>
      </c>
      <c r="K36" s="1" t="n">
        <v>2</v>
      </c>
      <c r="L36" s="1" t="n">
        <f aca="false">K36-J36</f>
        <v>0</v>
      </c>
      <c r="M36" s="1" t="n">
        <v>6</v>
      </c>
      <c r="N36" s="1" t="n">
        <v>6</v>
      </c>
      <c r="O36" s="1" t="n">
        <f aca="false">N36-M36</f>
        <v>0</v>
      </c>
      <c r="P36" s="1" t="n">
        <v>4</v>
      </c>
      <c r="Q36" s="1" t="n">
        <v>4</v>
      </c>
      <c r="R36" s="1" t="n">
        <f aca="false">Q36-P36</f>
        <v>0</v>
      </c>
      <c r="S36" s="1" t="n">
        <v>6</v>
      </c>
      <c r="T36" s="1" t="n">
        <v>9</v>
      </c>
      <c r="U36" s="1" t="n">
        <f aca="false">T36-S36</f>
        <v>3</v>
      </c>
      <c r="V36" s="1" t="n">
        <v>1</v>
      </c>
      <c r="W36" s="1" t="n">
        <v>3</v>
      </c>
      <c r="X36" s="1" t="n">
        <f aca="false">W36-V36</f>
        <v>2</v>
      </c>
      <c r="Y36" s="1" t="n">
        <v>6</v>
      </c>
      <c r="Z36" s="1" t="n">
        <v>16</v>
      </c>
      <c r="AA36" s="1" t="n">
        <f aca="false">Z36-Y36</f>
        <v>10</v>
      </c>
      <c r="AB36" s="1" t="n">
        <v>4</v>
      </c>
      <c r="AC36" s="1" t="n">
        <v>6</v>
      </c>
      <c r="AD36" s="1" t="n">
        <f aca="false">AC36-AB36</f>
        <v>2</v>
      </c>
      <c r="AE36" s="1" t="n">
        <v>3</v>
      </c>
      <c r="AF36" s="1" t="n">
        <v>3</v>
      </c>
      <c r="AG36" s="1" t="n">
        <f aca="false">AF36-AE36</f>
        <v>0</v>
      </c>
      <c r="AI36" s="1" t="s">
        <v>75</v>
      </c>
      <c r="AM36" s="1" t="n">
        <v>25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W36" s="1" t="n">
        <f aca="false">$AM36</f>
        <v>25</v>
      </c>
      <c r="BX36" s="1" t="n">
        <f aca="false">MAX(BX35-AN36/AN$9*100,0)</f>
        <v>0</v>
      </c>
      <c r="BY36" s="1" t="n">
        <f aca="false">MAX(BY35-AO36/AO$9*100,0)</f>
        <v>0</v>
      </c>
      <c r="BZ36" s="1" t="n">
        <f aca="false">MAX(BZ35-AQ36/AQ$9*100,0)</f>
        <v>0</v>
      </c>
      <c r="CA36" s="1" t="n">
        <f aca="false">MAX(CA35-AR36/AR$9*100,0)</f>
        <v>0</v>
      </c>
      <c r="CB36" s="1" t="n">
        <f aca="false">CB$7*EXP(-$AM36/CB$8)</f>
        <v>1.65834961562386E-012</v>
      </c>
      <c r="CC36" s="1" t="n">
        <f aca="false">(BZ36-CB36)^2</f>
        <v>2.7501234476398E-024</v>
      </c>
      <c r="CD36" s="1" t="n">
        <f aca="false">MAX(CD35-AT36/AT$9*100,0)</f>
        <v>0</v>
      </c>
      <c r="CE36" s="1" t="n">
        <f aca="false">MAX(CE35-AU36/AU$9*100,0)</f>
        <v>5.32907051820075E-015</v>
      </c>
      <c r="CF36" s="1" t="n">
        <f aca="false">CF$7*EXP(-$AM36/CF$8)</f>
        <v>3.77268046555213E-012</v>
      </c>
      <c r="CG36" s="1" t="n">
        <f aca="false">(CD36-CF36)^2</f>
        <v>1.42331178951586E-023</v>
      </c>
      <c r="CH36" s="1" t="n">
        <f aca="false">$AM36</f>
        <v>25</v>
      </c>
      <c r="CI36" s="1" t="n">
        <f aca="false">MAX(CI35-AW36/AW$9*100,0)</f>
        <v>0</v>
      </c>
      <c r="CJ36" s="1" t="n">
        <f aca="false">MAX(CJ35-AX36/AX$9*100,0)</f>
        <v>0</v>
      </c>
      <c r="CK36" s="1" t="n">
        <f aca="false">CK$7*EXP(-$AM36/CK$8)</f>
        <v>9.3459484330718E-008</v>
      </c>
      <c r="CL36" s="1" t="n">
        <f aca="false">(CI36-CK36)^2</f>
        <v>8.73467521136373E-015</v>
      </c>
      <c r="CM36" s="1" t="n">
        <f aca="false">MAX(CM35-AZ36/AZ$9*100,0)</f>
        <v>0</v>
      </c>
      <c r="CN36" s="1" t="n">
        <f aca="false">MAX(CN35-BA36/BA$9*100,0)</f>
        <v>5.32907051820075E-015</v>
      </c>
      <c r="CO36" s="1" t="n">
        <f aca="false">CO$7*EXP(-$AM36/CO$8)</f>
        <v>0.000801615380145873</v>
      </c>
      <c r="CP36" s="1" t="n">
        <f aca="false">(CM36-CO36)^2</f>
        <v>6.42587217686412E-007</v>
      </c>
      <c r="CQ36" s="1" t="n">
        <f aca="false">$AM36</f>
        <v>25</v>
      </c>
      <c r="CR36" s="1" t="n">
        <f aca="false">MAX(CR35-BC36/BC$9*100,0)</f>
        <v>0</v>
      </c>
      <c r="CS36" s="1" t="n">
        <f aca="false">MAX(CS35-BD36/BD$9*100,0)</f>
        <v>0</v>
      </c>
      <c r="CT36" s="1" t="n">
        <f aca="false">CT$7*EXP(-$AM36/CT$8)</f>
        <v>4.15157951418509E-007</v>
      </c>
      <c r="CU36" s="1" t="n">
        <f aca="false">(CR36-CT36)^2</f>
        <v>1.72356124626013E-013</v>
      </c>
      <c r="CV36" s="1" t="n">
        <f aca="false">MAX(CV35-BF36/BF$9*100,0)</f>
        <v>8.88178419700125E-015</v>
      </c>
      <c r="CW36" s="1" t="n">
        <f aca="false">MAX(CW35-BG36/BG$9*100,0)</f>
        <v>1.00502512562815</v>
      </c>
      <c r="CX36" s="1" t="n">
        <f aca="false">CX$7*EXP(-$AM36/CX$8)</f>
        <v>0.00439720435472994</v>
      </c>
      <c r="CY36" s="1" t="n">
        <f aca="false">(CV36-CX36)^2</f>
        <v>1.93354061371778E-005</v>
      </c>
      <c r="CZ36" s="1" t="n">
        <f aca="false">$AM36</f>
        <v>25</v>
      </c>
      <c r="DA36" s="1" t="n">
        <f aca="false">MAX(DA35-BI36/BI$9*100,0)</f>
        <v>0</v>
      </c>
      <c r="DB36" s="1" t="n">
        <f aca="false">MAX(DB35-BJ36/BJ$9*100,0)</f>
        <v>9.88098491916389E-015</v>
      </c>
      <c r="DC36" s="1" t="n">
        <f aca="false">DC$7*EXP(-$AM36/DC$8)</f>
        <v>1.90124548667549E-006</v>
      </c>
      <c r="DD36" s="1" t="n">
        <f aca="false">(DA36-DC36)^2</f>
        <v>3.61473440060392E-012</v>
      </c>
      <c r="DE36" s="1" t="n">
        <f aca="false">MAX(DE35-BL36/BL$9*100,0)</f>
        <v>0.636942675159231</v>
      </c>
      <c r="DF36" s="1" t="n">
        <f aca="false">MAX(DF35-BM36/BM$9*100,0)</f>
        <v>3.8216560509554</v>
      </c>
      <c r="DG36" s="1" t="n">
        <f aca="false">DG$7*EXP(-$AM36/DG$8)</f>
        <v>0.232619723415439</v>
      </c>
      <c r="DH36" s="1" t="n">
        <f aca="false">(DE36-DG36)^2</f>
        <v>0.163477049306813</v>
      </c>
      <c r="DI36" s="1" t="n">
        <f aca="false">$AM36</f>
        <v>25</v>
      </c>
      <c r="DJ36" s="1" t="n">
        <f aca="false">MAX(DJ35-BO36/BO$9*100,0)</f>
        <v>0</v>
      </c>
      <c r="DK36" s="1" t="n">
        <f aca="false">MAX(DK35-BP36/BP$9*100,0)</f>
        <v>9.99200722162641E-015</v>
      </c>
      <c r="DL36" s="1" t="n">
        <f aca="false">DL$7*EXP(-$AM36/DL$8)</f>
        <v>3.27440916829024E-005</v>
      </c>
      <c r="DM36" s="1" t="n">
        <f aca="false">(DJ36-DL36)^2</f>
        <v>1.07217554013832E-009</v>
      </c>
      <c r="DN36" s="1" t="n">
        <f aca="false">MAX(DN35-BR36/BR$9*100,0)</f>
        <v>1.50753768844221</v>
      </c>
      <c r="DO36" s="1" t="n">
        <f aca="false">MAX(DO35-BS36/BS$9*100,0)</f>
        <v>4.52261306532663</v>
      </c>
      <c r="DP36" s="1" t="n">
        <f aca="false">DP$7*EXP(-$AM36/DP$8)</f>
        <v>0.102475459378085</v>
      </c>
      <c r="DQ36" s="1" t="n">
        <f aca="false">(DN36-DP36)^2</f>
        <v>1.97419986754266</v>
      </c>
      <c r="DS36" s="1" t="n">
        <f aca="false">$AM36</f>
        <v>25</v>
      </c>
      <c r="DT36" s="1" t="n">
        <f aca="false">CA36</f>
        <v>0</v>
      </c>
      <c r="DU36" s="1" t="n">
        <f aca="false">DU$7*EXP(-DS36/DU$8)</f>
        <v>1.04479444368947E-009</v>
      </c>
      <c r="DV36" s="1" t="n">
        <f aca="false">(DT36-DU36)^2</f>
        <v>1.09159542956439E-018</v>
      </c>
      <c r="DX36" s="1" t="n">
        <f aca="false">$AM36</f>
        <v>25</v>
      </c>
      <c r="DY36" s="1" t="n">
        <f aca="false">CM36</f>
        <v>0</v>
      </c>
      <c r="DZ36" s="1" t="n">
        <f aca="false">DZ$7*EXP(-DX36/DZ$8)</f>
        <v>0.00012560747552405</v>
      </c>
      <c r="EA36" s="1" t="n">
        <f aca="false">(DY36-DZ36)^2</f>
        <v>1.57772379075248E-008</v>
      </c>
      <c r="EC36" s="1" t="n">
        <f aca="false">$AM36</f>
        <v>25</v>
      </c>
      <c r="ED36" s="1" t="n">
        <f aca="false">CV36</f>
        <v>8.88178419700125E-015</v>
      </c>
      <c r="EE36" s="1" t="n">
        <f aca="false">EE$7*EXP(-EC36/EE$8)</f>
        <v>0.0025768088896222</v>
      </c>
      <c r="EF36" s="1" t="n">
        <f aca="false">(ED36-EE36)^2</f>
        <v>6.63994405359022E-006</v>
      </c>
      <c r="EH36" s="1" t="n">
        <f aca="false">$AM36</f>
        <v>25</v>
      </c>
      <c r="EI36" s="1" t="n">
        <f aca="false">DE36</f>
        <v>0.636942675159231</v>
      </c>
      <c r="EJ36" s="1" t="n">
        <f aca="false">EJ$7*EXP(-EH36/EJ$8)</f>
        <v>0.231654496347325</v>
      </c>
      <c r="EK36" s="1" t="n">
        <f aca="false">(EI36-EJ36)^2</f>
        <v>0.164258507884672</v>
      </c>
      <c r="EM36" s="1" t="n">
        <f aca="false">AM36</f>
        <v>25</v>
      </c>
      <c r="EN36" s="1" t="n">
        <f aca="false">DN36</f>
        <v>1.50753768844221</v>
      </c>
      <c r="EO36" s="1" t="n">
        <f aca="false">EO$7*EXP(-EM36/EO$8)</f>
        <v>0.127221791527246</v>
      </c>
      <c r="EP36" s="1" t="n">
        <f aca="false">(EN36-EO36)^2</f>
        <v>1.90527197527617</v>
      </c>
      <c r="ER36" s="1" t="n">
        <f aca="false">$AM36</f>
        <v>25</v>
      </c>
      <c r="ES36" s="1" t="n">
        <f aca="false">BZ36</f>
        <v>0</v>
      </c>
      <c r="ET36" s="1" t="n">
        <f aca="false">ET$7*EXP(-ER36/ET$8)</f>
        <v>2.17280164152695E-011</v>
      </c>
      <c r="EU36" s="1" t="n">
        <f aca="false">(ES36-ET36)^2</f>
        <v>4.72106697342221E-022</v>
      </c>
      <c r="EW36" s="1" t="n">
        <f aca="false">$AM36</f>
        <v>25</v>
      </c>
      <c r="EX36" s="1" t="n">
        <f aca="false">CI36</f>
        <v>0</v>
      </c>
      <c r="EY36" s="1" t="n">
        <f aca="false">EY$7*EXP(-EW36/EY$8)</f>
        <v>2.87077396593504E-010</v>
      </c>
      <c r="EZ36" s="1" t="n">
        <f aca="false">(EX36-EY36)^2</f>
        <v>8.2413431634904E-020</v>
      </c>
      <c r="FB36" s="1" t="n">
        <f aca="false">$AM36</f>
        <v>25</v>
      </c>
      <c r="FC36" s="1" t="n">
        <f aca="false">CR36</f>
        <v>0</v>
      </c>
      <c r="FD36" s="1" t="n">
        <f aca="false">FD$7*EXP(-FB36/FD$8)</f>
        <v>8.12971264335834E-009</v>
      </c>
      <c r="FE36" s="1" t="n">
        <f aca="false">(FC36-FD36)^2</f>
        <v>6.60922276635804E-017</v>
      </c>
      <c r="FG36" s="1" t="n">
        <f aca="false">$AM36</f>
        <v>25</v>
      </c>
      <c r="FH36" s="1" t="n">
        <f aca="false">DA36</f>
        <v>0</v>
      </c>
      <c r="FI36" s="1" t="n">
        <f aca="false">FI$7*EXP(-FG36/FI$8)</f>
        <v>1.9791853088924E-007</v>
      </c>
      <c r="FJ36" s="1" t="n">
        <f aca="false">(FH36-FI36)^2</f>
        <v>3.91717448693551E-014</v>
      </c>
      <c r="FL36" s="1" t="n">
        <f aca="false">EM36</f>
        <v>25</v>
      </c>
      <c r="FM36" s="1" t="n">
        <f aca="false">DJ36</f>
        <v>0</v>
      </c>
      <c r="FN36" s="1" t="n">
        <f aca="false">FN$7*EXP(-FL36/FN$8)</f>
        <v>9.82217248301253E-006</v>
      </c>
      <c r="FO36" s="1" t="n">
        <f aca="false">(FM36-FN36)^2</f>
        <v>9.64750722860485E-011</v>
      </c>
      <c r="FQ36" s="1" t="n">
        <f aca="false">AM36</f>
        <v>25</v>
      </c>
      <c r="FR36" s="1" t="n">
        <f aca="false">AN36/AN$9*100</f>
        <v>0</v>
      </c>
      <c r="FS36" s="1" t="n">
        <f aca="false">AO36/AO$9*100</f>
        <v>0</v>
      </c>
      <c r="FT36" s="1" t="n">
        <f aca="false">AQ36/AQ$9*100</f>
        <v>0</v>
      </c>
      <c r="FU36" s="1" t="n">
        <f aca="false">AR36/AR$9*100</f>
        <v>0</v>
      </c>
      <c r="FV36" s="1" t="n">
        <f aca="false">AT36/AT$9*100</f>
        <v>0</v>
      </c>
      <c r="FW36" s="1" t="n">
        <f aca="false">AU36/AU$9*100</f>
        <v>0</v>
      </c>
      <c r="FX36" s="1" t="n">
        <f aca="false">AW36/AW$9*100</f>
        <v>0</v>
      </c>
      <c r="FY36" s="1" t="n">
        <f aca="false">AX36/AX$9*100</f>
        <v>0</v>
      </c>
      <c r="FZ36" s="1" t="n">
        <f aca="false">AZ36/AZ$9*100</f>
        <v>0</v>
      </c>
      <c r="GA36" s="1" t="n">
        <f aca="false">BA36/BA$9*100</f>
        <v>0</v>
      </c>
      <c r="GB36" s="1" t="n">
        <f aca="false">BC36/BC$9*100</f>
        <v>0</v>
      </c>
      <c r="GC36" s="1" t="n">
        <f aca="false">BD36/BD$9*100</f>
        <v>0</v>
      </c>
      <c r="GD36" s="1" t="n">
        <f aca="false">BF36/BF$9*100</f>
        <v>0</v>
      </c>
      <c r="GE36" s="1" t="n">
        <f aca="false">BG36/BG$9*100</f>
        <v>0</v>
      </c>
      <c r="GF36" s="1" t="n">
        <f aca="false">BI36/BI$9*100</f>
        <v>0</v>
      </c>
      <c r="GG36" s="1" t="n">
        <f aca="false">BJ36/BJ$9*100</f>
        <v>0</v>
      </c>
      <c r="GH36" s="1" t="n">
        <f aca="false">BL36/BL$9*100</f>
        <v>0</v>
      </c>
      <c r="GI36" s="1" t="n">
        <f aca="false">BM36/BM$9*100</f>
        <v>0</v>
      </c>
      <c r="GJ36" s="1" t="n">
        <f aca="false">BO36/BO$9*100</f>
        <v>0</v>
      </c>
      <c r="GK36" s="1" t="n">
        <f aca="false">BP36/BP$9*100</f>
        <v>0</v>
      </c>
      <c r="GL36" s="1" t="n">
        <f aca="false">BR36/BR$9*100</f>
        <v>0</v>
      </c>
      <c r="GM36" s="1" t="n">
        <f aca="false">BS36/BS$9*100</f>
        <v>0</v>
      </c>
      <c r="GO36" s="1" t="n">
        <f aca="false">$AM36</f>
        <v>25</v>
      </c>
      <c r="GP36" s="1" t="n">
        <f aca="false">FT36</f>
        <v>0</v>
      </c>
      <c r="GQ36" s="1" t="n">
        <f aca="false">GQ$6*(1+GQ$5*(-1)^$FQ36)*EXP(-$FQ36/GQ$4)</f>
        <v>4.18095029467552E-007</v>
      </c>
      <c r="GR36" s="1" t="n">
        <f aca="false">(GP36-GQ36)^2</f>
        <v>1.74803453665473E-013</v>
      </c>
      <c r="GS36" s="1" t="n">
        <f aca="false">EXP($FQ36/$JG$4)*GP36</f>
        <v>0</v>
      </c>
      <c r="GT36" s="1" t="n">
        <f aca="false">EXP($FQ36/$JG$4)*(-1)^$FQ36*GP36</f>
        <v>-0</v>
      </c>
      <c r="GU36" s="1" t="n">
        <f aca="false">(-1)^GO36*GP36</f>
        <v>-0</v>
      </c>
      <c r="GW36" s="1" t="n">
        <f aca="false">$AM36</f>
        <v>25</v>
      </c>
      <c r="GX36" s="1" t="n">
        <f aca="false">FX36</f>
        <v>0</v>
      </c>
      <c r="GY36" s="1" t="n">
        <f aca="false">GY$6*(1+GY$5*(-1)^$FQ36)*EXP(-$FQ36/GY$4)</f>
        <v>4.18095029467552E-007</v>
      </c>
      <c r="GZ36" s="1" t="n">
        <f aca="false">(GX36-GY36)^2</f>
        <v>1.74803453665473E-013</v>
      </c>
      <c r="HA36" s="1" t="n">
        <f aca="false">EXP($FQ36/$JG$4)*GX36</f>
        <v>0</v>
      </c>
      <c r="HB36" s="1" t="n">
        <f aca="false">EXP($FQ36/$JG$4)*(-1)^$FQ36*GX36</f>
        <v>-0</v>
      </c>
      <c r="HC36" s="1" t="n">
        <f aca="false">(-1)^GW36*GX36</f>
        <v>-0</v>
      </c>
      <c r="HE36" s="1" t="n">
        <f aca="false">$AM36</f>
        <v>25</v>
      </c>
      <c r="HF36" s="1" t="n">
        <f aca="false">GB36</f>
        <v>0</v>
      </c>
      <c r="HG36" s="1" t="n">
        <f aca="false">HG$6*(1+HG$5*(-1)^$FQ36)*EXP(-$FQ36/HG$4)</f>
        <v>4.18095029467552E-007</v>
      </c>
      <c r="HH36" s="1" t="n">
        <f aca="false">(HF36-HG36)^2</f>
        <v>1.74803453665473E-013</v>
      </c>
      <c r="HI36" s="1" t="n">
        <f aca="false">EXP($FQ36/$JG$4)*HF36</f>
        <v>0</v>
      </c>
      <c r="HJ36" s="1" t="n">
        <f aca="false">EXP($FQ36/$JG$4)*(-1)^$FQ36*HF36</f>
        <v>-0</v>
      </c>
      <c r="HK36" s="1" t="n">
        <f aca="false">(-1)^HE36*HF36</f>
        <v>-0</v>
      </c>
      <c r="HM36" s="1" t="n">
        <f aca="false">$AM36</f>
        <v>25</v>
      </c>
      <c r="HN36" s="1" t="n">
        <f aca="false">GF36</f>
        <v>0</v>
      </c>
      <c r="HO36" s="1" t="n">
        <f aca="false">HO$6*(1+HO$5*(-1)^$FQ36)*EXP(-$FQ36/HO$4)</f>
        <v>1.14312130547219E-005</v>
      </c>
      <c r="HP36" s="1" t="n">
        <f aca="false">(HN36-HO36)^2</f>
        <v>1.30672631902444E-010</v>
      </c>
      <c r="HQ36" s="1" t="n">
        <f aca="false">EXP($FQ36/$JG$4)*HN36</f>
        <v>0</v>
      </c>
      <c r="HR36" s="1" t="n">
        <f aca="false">EXP($FQ36/$JG$4)*(-1)^$FQ36*HN36</f>
        <v>-0</v>
      </c>
      <c r="HS36" s="1" t="n">
        <f aca="false">(-1)^HM36*HN36</f>
        <v>-0</v>
      </c>
      <c r="HU36" s="1" t="n">
        <f aca="false">$AM36</f>
        <v>25</v>
      </c>
      <c r="HV36" s="1" t="n">
        <f aca="false">GJ36</f>
        <v>0</v>
      </c>
      <c r="HW36" s="1" t="n">
        <f aca="false">HW$6*(1+HW$5*(-1)^$FQ36)*EXP(-$FQ36/HW$4)</f>
        <v>0.000490216448516804</v>
      </c>
      <c r="HX36" s="1" t="n">
        <f aca="false">(HV36-HW36)^2</f>
        <v>2.40312166396428E-007</v>
      </c>
      <c r="HY36" s="1" t="n">
        <f aca="false">EXP($FQ36/$JG$4)*HV36</f>
        <v>0</v>
      </c>
      <c r="HZ36" s="1" t="n">
        <f aca="false">EXP($FQ36/$JG$4)*(-1)^$FQ36*HV36</f>
        <v>-0</v>
      </c>
      <c r="IA36" s="1" t="n">
        <f aca="false">(-1)^HU36*HV36</f>
        <v>-0</v>
      </c>
      <c r="IB36" s="1" t="n">
        <v>0</v>
      </c>
      <c r="ID36" s="1" t="n">
        <f aca="false">$AM36</f>
        <v>25</v>
      </c>
      <c r="IE36" s="1" t="n">
        <f aca="false">FZ36</f>
        <v>0</v>
      </c>
      <c r="IF36" s="1" t="n">
        <f aca="false">IF$6*(1+IF$5*(-1)^$FQ36)*EXP(-$FQ36/IF$4)</f>
        <v>0.00682711260303525</v>
      </c>
      <c r="IG36" s="1" t="n">
        <f aca="false">(IE36-IF36)^2</f>
        <v>4.66094664945227E-005</v>
      </c>
      <c r="IH36" s="1" t="n">
        <f aca="false">EXP($FQ36/$JG$4)*IE36</f>
        <v>0</v>
      </c>
      <c r="II36" s="1" t="n">
        <f aca="false">EXP($FQ36/$JG$4)*(-1)^$FQ36*IE36</f>
        <v>-0</v>
      </c>
      <c r="IJ36" s="1" t="n">
        <f aca="false">(-1)^ID36*IE36</f>
        <v>-0</v>
      </c>
      <c r="IK36" s="1" t="n">
        <v>0</v>
      </c>
      <c r="IM36" s="1" t="n">
        <f aca="false">$AM36</f>
        <v>25</v>
      </c>
      <c r="IN36" s="1" t="n">
        <f aca="false">GD36</f>
        <v>0</v>
      </c>
      <c r="IO36" s="1" t="n">
        <f aca="false">IO$6*(1+IO$5*(-1)^$FQ36)*EXP(-$FQ36/IO$4)</f>
        <v>0.0173823432798081</v>
      </c>
      <c r="IP36" s="1" t="n">
        <f aca="false">(IN36-IO36)^2</f>
        <v>0.00030214585789709</v>
      </c>
      <c r="IQ36" s="1" t="n">
        <f aca="false">EXP($FQ36/$JG$4)*IN36</f>
        <v>0</v>
      </c>
      <c r="IR36" s="1" t="n">
        <f aca="false">EXP($FQ36/$JG$4)*(-1)^$FQ36*IN36</f>
        <v>-0</v>
      </c>
      <c r="IS36" s="1" t="n">
        <f aca="false">(-1)^IM36*IN36</f>
        <v>-0</v>
      </c>
      <c r="IT36" s="1" t="n">
        <v>0</v>
      </c>
      <c r="IV36" s="1" t="n">
        <f aca="false">$AM36</f>
        <v>25</v>
      </c>
      <c r="IW36" s="1" t="n">
        <f aca="false">GH36</f>
        <v>0</v>
      </c>
      <c r="IX36" s="1" t="n">
        <f aca="false">IX$6*(1+IX$5*(-1)^$FQ36)*EXP(-$FQ36/IX$4)</f>
        <v>0.0752555452876678</v>
      </c>
      <c r="IY36" s="1" t="n">
        <f aca="false">(IW36-IX36)^2</f>
        <v>0.00566339709654422</v>
      </c>
      <c r="IZ36" s="1" t="n">
        <f aca="false">EXP($FQ36/$JG$4)*IW36</f>
        <v>0</v>
      </c>
      <c r="JA36" s="1" t="n">
        <f aca="false">EXP($FQ36/$JG$4)*(-1)^$FQ36*IW36</f>
        <v>-0</v>
      </c>
      <c r="JB36" s="1" t="n">
        <f aca="false">(-1)^IV36*IW36</f>
        <v>-0</v>
      </c>
      <c r="JC36" s="1" t="n">
        <v>0.012257</v>
      </c>
      <c r="JE36" s="1" t="n">
        <f aca="false">$AM36</f>
        <v>25</v>
      </c>
      <c r="JF36" s="1" t="n">
        <f aca="false">GL36</f>
        <v>0</v>
      </c>
      <c r="JG36" s="1" t="n">
        <f aca="false">JG$6*(1+JG$5*(-1)^$FQ36)*EXP(-$FQ36/JG$4)</f>
        <v>0.0221596495154886</v>
      </c>
      <c r="JH36" s="1" t="n">
        <f aca="false">(JF36-JG36)^2</f>
        <v>0.000491050066649294</v>
      </c>
      <c r="JI36" s="1" t="n">
        <f aca="false">EXP($FQ36/$JG$4)*JF36</f>
        <v>0</v>
      </c>
      <c r="JJ36" s="1" t="n">
        <f aca="false">EXP($FQ36/$JG$4)*(-1)^$FQ36*JF36</f>
        <v>-0</v>
      </c>
      <c r="JK36" s="1" t="n">
        <f aca="false">(-1)^JE36*JF36</f>
        <v>-0</v>
      </c>
      <c r="JL36" s="1" t="n">
        <v>0.007271</v>
      </c>
      <c r="JO36" s="1" t="n">
        <f aca="false">$AM36</f>
        <v>25</v>
      </c>
      <c r="JP36" s="1" t="n">
        <f aca="false">GM36</f>
        <v>0</v>
      </c>
      <c r="JQ36" s="1" t="n">
        <f aca="false">JQ$6*(1+JQ$5*(-1)^$FQ36)*EXP(-$FQ36/JQ$4)</f>
        <v>0.370773385437724</v>
      </c>
      <c r="JR36" s="1" t="n">
        <f aca="false">(JP36-JQ36)^2</f>
        <v>0.137472903348951</v>
      </c>
      <c r="JS36" s="1" t="n">
        <f aca="false">EXP($FQ36/$JG$4)*JP36</f>
        <v>0</v>
      </c>
      <c r="JT36" s="1" t="n">
        <f aca="false">EXP($FQ36/$JG$4)*(-1)^$FQ36*JP36</f>
        <v>-0</v>
      </c>
      <c r="JU36" s="1" t="n">
        <f aca="false">(-1)^JO36*JP36</f>
        <v>-0</v>
      </c>
    </row>
    <row r="37" customFormat="false" ht="16" hidden="false" customHeight="false" outlineLevel="0" collapsed="false">
      <c r="A37" s="1" t="n">
        <v>2</v>
      </c>
      <c r="B37" s="1" t="n">
        <v>2</v>
      </c>
      <c r="C37" s="1" t="n">
        <f aca="false">B37-A37</f>
        <v>0</v>
      </c>
      <c r="D37" s="1" t="n">
        <v>2</v>
      </c>
      <c r="E37" s="1" t="n">
        <v>2</v>
      </c>
      <c r="F37" s="1" t="n">
        <f aca="false">E37-D37</f>
        <v>0</v>
      </c>
      <c r="G37" s="1" t="n">
        <v>1</v>
      </c>
      <c r="H37" s="1" t="n">
        <v>1</v>
      </c>
      <c r="I37" s="1" t="n">
        <f aca="false">H37-G37</f>
        <v>0</v>
      </c>
      <c r="J37" s="1" t="n">
        <v>2</v>
      </c>
      <c r="K37" s="1" t="n">
        <v>4</v>
      </c>
      <c r="L37" s="1" t="n">
        <f aca="false">K37-J37</f>
        <v>2</v>
      </c>
      <c r="M37" s="1" t="n">
        <v>6</v>
      </c>
      <c r="N37" s="1" t="n">
        <v>7</v>
      </c>
      <c r="O37" s="1" t="n">
        <f aca="false">N37-M37</f>
        <v>1</v>
      </c>
      <c r="P37" s="1" t="n">
        <v>5</v>
      </c>
      <c r="Q37" s="1" t="n">
        <v>8</v>
      </c>
      <c r="R37" s="1" t="n">
        <f aca="false">Q37-P37</f>
        <v>3</v>
      </c>
      <c r="S37" s="1" t="n">
        <v>4</v>
      </c>
      <c r="T37" s="1" t="n">
        <v>7</v>
      </c>
      <c r="U37" s="1" t="n">
        <f aca="false">T37-S37</f>
        <v>3</v>
      </c>
      <c r="V37" s="1" t="n">
        <v>4</v>
      </c>
      <c r="W37" s="1" t="n">
        <v>7</v>
      </c>
      <c r="X37" s="1" t="n">
        <f aca="false">W37-V37</f>
        <v>3</v>
      </c>
      <c r="Y37" s="1" t="n">
        <v>4</v>
      </c>
      <c r="Z37" s="1" t="n">
        <v>4</v>
      </c>
      <c r="AA37" s="1" t="n">
        <f aca="false">Z37-Y37</f>
        <v>0</v>
      </c>
      <c r="AB37" s="1" t="n">
        <v>2</v>
      </c>
      <c r="AC37" s="1" t="n">
        <v>8</v>
      </c>
      <c r="AD37" s="1" t="n">
        <f aca="false">AC37-AB37</f>
        <v>6</v>
      </c>
      <c r="AE37" s="1" t="n">
        <v>3</v>
      </c>
      <c r="AF37" s="1" t="n">
        <v>5</v>
      </c>
      <c r="AG37" s="1" t="n">
        <f aca="false">AF37-AE37</f>
        <v>2</v>
      </c>
      <c r="AI37" s="1" t="s">
        <v>41</v>
      </c>
      <c r="AJ37" s="1" t="n">
        <f aca="false">COUNTIFS(W$2:W$1000,2,V$2:V$1000,2)</f>
        <v>30</v>
      </c>
      <c r="AM37" s="1" t="n">
        <v>26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1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3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3</v>
      </c>
      <c r="BT37" s="1" t="n">
        <v>0</v>
      </c>
      <c r="BW37" s="1" t="n">
        <f aca="false">$AM37</f>
        <v>26</v>
      </c>
      <c r="BX37" s="1" t="n">
        <f aca="false">MAX(BX36-AN37/AN$9*100,0)</f>
        <v>0</v>
      </c>
      <c r="BY37" s="1" t="n">
        <f aca="false">MAX(BY36-AO37/AO$9*100,0)</f>
        <v>0</v>
      </c>
      <c r="BZ37" s="1" t="n">
        <f aca="false">MAX(BZ36-AQ37/AQ$9*100,0)</f>
        <v>0</v>
      </c>
      <c r="CA37" s="1" t="n">
        <f aca="false">MAX(CA36-AR37/AR$9*100,0)</f>
        <v>0</v>
      </c>
      <c r="CB37" s="1" t="n">
        <f aca="false">CB$7*EXP(-$AM37/CB$8)</f>
        <v>4.52540327466456E-013</v>
      </c>
      <c r="CC37" s="1" t="n">
        <f aca="false">(BZ37-CB37)^2</f>
        <v>2.04792747983447E-025</v>
      </c>
      <c r="CD37" s="1" t="n">
        <f aca="false">MAX(CD36-AT37/AT$9*100,0)</f>
        <v>0</v>
      </c>
      <c r="CE37" s="1" t="n">
        <f aca="false">MAX(CE36-AU37/AU$9*100,0)</f>
        <v>5.32907051820075E-015</v>
      </c>
      <c r="CF37" s="1" t="n">
        <f aca="false">CF$7*EXP(-$AM37/CF$8)</f>
        <v>1.06392293930361E-012</v>
      </c>
      <c r="CG37" s="1" t="n">
        <f aca="false">(CD37-CF37)^2</f>
        <v>1.13193202077643E-024</v>
      </c>
      <c r="CH37" s="1" t="n">
        <f aca="false">$AM37</f>
        <v>26</v>
      </c>
      <c r="CI37" s="1" t="n">
        <f aca="false">MAX(CI36-AW37/AW$9*100,0)</f>
        <v>0</v>
      </c>
      <c r="CJ37" s="1" t="n">
        <f aca="false">MAX(CJ36-AX37/AX$9*100,0)</f>
        <v>0</v>
      </c>
      <c r="CK37" s="1" t="n">
        <f aca="false">CK$7*EXP(-$AM37/CK$8)</f>
        <v>3.97586395644162E-008</v>
      </c>
      <c r="CL37" s="1" t="n">
        <f aca="false">(CI37-CK37)^2</f>
        <v>1.58074942001316E-015</v>
      </c>
      <c r="CM37" s="1" t="n">
        <f aca="false">MAX(CM36-AZ37/AZ$9*100,0)</f>
        <v>0</v>
      </c>
      <c r="CN37" s="1" t="n">
        <f aca="false">MAX(CN36-BA37/BA$9*100,0)</f>
        <v>5.32907051820075E-015</v>
      </c>
      <c r="CO37" s="1" t="n">
        <f aca="false">CO$7*EXP(-$AM37/CO$8)</f>
        <v>0.000495644871886463</v>
      </c>
      <c r="CP37" s="1" t="n">
        <f aca="false">(CM37-CO37)^2</f>
        <v>2.45663839027348E-007</v>
      </c>
      <c r="CQ37" s="1" t="n">
        <f aca="false">$AM37</f>
        <v>26</v>
      </c>
      <c r="CR37" s="1" t="n">
        <f aca="false">MAX(CR36-BC37/BC$9*100,0)</f>
        <v>0</v>
      </c>
      <c r="CS37" s="1" t="n">
        <f aca="false">MAX(CS36-BD37/BD$9*100,0)</f>
        <v>0</v>
      </c>
      <c r="CT37" s="1" t="n">
        <f aca="false">CT$7*EXP(-$AM37/CT$8)</f>
        <v>1.88907500297928E-007</v>
      </c>
      <c r="CU37" s="1" t="n">
        <f aca="false">(CR37-CT37)^2</f>
        <v>3.56860436688117E-014</v>
      </c>
      <c r="CV37" s="1" t="n">
        <f aca="false">MAX(CV36-BF37/BF$9*100,0)</f>
        <v>8.88178419700125E-015</v>
      </c>
      <c r="CW37" s="1" t="n">
        <f aca="false">MAX(CW36-BG37/BG$9*100,0)</f>
        <v>0.502512562814076</v>
      </c>
      <c r="CX37" s="1" t="n">
        <f aca="false">CX$7*EXP(-$AM37/CX$8)</f>
        <v>0.00290881512453911</v>
      </c>
      <c r="CY37" s="1" t="n">
        <f aca="false">(CV37-CX37)^2</f>
        <v>8.46120542869581E-006</v>
      </c>
      <c r="CZ37" s="1" t="n">
        <f aca="false">$AM37</f>
        <v>26</v>
      </c>
      <c r="DA37" s="1" t="n">
        <f aca="false">MAX(DA36-BI37/BI$9*100,0)</f>
        <v>0</v>
      </c>
      <c r="DB37" s="1" t="n">
        <f aca="false">MAX(DB36-BJ37/BJ$9*100,0)</f>
        <v>9.88098491916389E-015</v>
      </c>
      <c r="DC37" s="1" t="n">
        <f aca="false">DC$7*EXP(-$AM37/DC$8)</f>
        <v>9.16294172742753E-007</v>
      </c>
      <c r="DD37" s="1" t="n">
        <f aca="false">(DA37-DC37)^2</f>
        <v>8.39595011002326E-013</v>
      </c>
      <c r="DE37" s="1" t="n">
        <f aca="false">MAX(DE36-BL37/BL$9*100,0)</f>
        <v>0.636942675159231</v>
      </c>
      <c r="DF37" s="1" t="n">
        <f aca="false">MAX(DF36-BM37/BM$9*100,0)</f>
        <v>1.9108280254777</v>
      </c>
      <c r="DG37" s="1" t="n">
        <f aca="false">DG$7*EXP(-$AM37/DG$8)</f>
        <v>0.181164422753797</v>
      </c>
      <c r="DH37" s="1" t="n">
        <f aca="false">(DE37-DG37)^2</f>
        <v>0.207733815365752</v>
      </c>
      <c r="DI37" s="1" t="n">
        <f aca="false">$AM37</f>
        <v>26</v>
      </c>
      <c r="DJ37" s="1" t="n">
        <f aca="false">MAX(DJ36-BO37/BO$9*100,0)</f>
        <v>0</v>
      </c>
      <c r="DK37" s="1" t="n">
        <f aca="false">MAX(DK36-BP37/BP$9*100,0)</f>
        <v>9.99200722162641E-015</v>
      </c>
      <c r="DL37" s="1" t="n">
        <f aca="false">DL$7*EXP(-$AM37/DL$8)</f>
        <v>1.77294235463574E-005</v>
      </c>
      <c r="DM37" s="1" t="n">
        <f aca="false">(DJ37-DL37)^2</f>
        <v>3.14332459286132E-010</v>
      </c>
      <c r="DN37" s="1" t="n">
        <f aca="false">MAX(DN36-BR37/BR$9*100,0)</f>
        <v>1.50753768844221</v>
      </c>
      <c r="DO37" s="1" t="n">
        <f aca="false">MAX(DO36-BS37/BS$9*100,0)</f>
        <v>3.01507537688442</v>
      </c>
      <c r="DP37" s="1" t="n">
        <f aca="false">DP$7*EXP(-$AM37/DP$8)</f>
        <v>0.0771951962405217</v>
      </c>
      <c r="DQ37" s="1" t="n">
        <f aca="false">(DN37-DP37)^2</f>
        <v>2.04587964499774</v>
      </c>
      <c r="DS37" s="1" t="n">
        <f aca="false">$AM37</f>
        <v>26</v>
      </c>
      <c r="DT37" s="1" t="n">
        <f aca="false">CA37</f>
        <v>0</v>
      </c>
      <c r="DU37" s="1" t="n">
        <f aca="false">DU$7*EXP(-DS37/DU$8)</f>
        <v>3.72652967821535E-010</v>
      </c>
      <c r="DV37" s="1" t="n">
        <f aca="false">(DT37-DU37)^2</f>
        <v>1.38870234426198E-019</v>
      </c>
      <c r="DX37" s="1" t="n">
        <f aca="false">$AM37</f>
        <v>26</v>
      </c>
      <c r="DY37" s="1" t="n">
        <f aca="false">CM37</f>
        <v>0</v>
      </c>
      <c r="DZ37" s="1" t="n">
        <f aca="false">DZ$7*EXP(-DX37/DZ$8)</f>
        <v>7.16192589794282E-005</v>
      </c>
      <c r="EA37" s="1" t="n">
        <f aca="false">(DY37-DZ37)^2</f>
        <v>5.12931825676241E-009</v>
      </c>
      <c r="EC37" s="1" t="n">
        <f aca="false">$AM37</f>
        <v>26</v>
      </c>
      <c r="ED37" s="1" t="n">
        <f aca="false">CV37</f>
        <v>8.88178419700125E-015</v>
      </c>
      <c r="EE37" s="1" t="n">
        <f aca="false">EE$7*EXP(-EC37/EE$8)</f>
        <v>0.0016650756306097</v>
      </c>
      <c r="EF37" s="1" t="n">
        <f aca="false">(ED37-EE37)^2</f>
        <v>2.77247685562071E-006</v>
      </c>
      <c r="EH37" s="1" t="n">
        <f aca="false">$AM37</f>
        <v>26</v>
      </c>
      <c r="EI37" s="1" t="n">
        <f aca="false">DE37</f>
        <v>0.636942675159231</v>
      </c>
      <c r="EJ37" s="1" t="n">
        <f aca="false">EJ$7*EXP(-EH37/EJ$8)</f>
        <v>0.180412703157309</v>
      </c>
      <c r="EK37" s="1" t="n">
        <f aca="false">(EI37-EJ37)^2</f>
        <v>0.208419615336076</v>
      </c>
      <c r="EM37" s="1" t="n">
        <f aca="false">AM37</f>
        <v>26</v>
      </c>
      <c r="EN37" s="1" t="n">
        <f aca="false">DN37</f>
        <v>1.50753768844221</v>
      </c>
      <c r="EO37" s="1" t="n">
        <f aca="false">EO$7*EXP(-EM37/EO$8)</f>
        <v>0.0967334589657666</v>
      </c>
      <c r="EP37" s="1" t="n">
        <f aca="false">(EN37-EO37)^2</f>
        <v>1.99036857390863</v>
      </c>
      <c r="ER37" s="1" t="n">
        <f aca="false">$AM37</f>
        <v>26</v>
      </c>
      <c r="ES37" s="1" t="n">
        <f aca="false">BZ37</f>
        <v>0</v>
      </c>
      <c r="ET37" s="1" t="n">
        <f aca="false">ET$7*EXP(-ER37/ET$8)</f>
        <v>6.60697769045343E-012</v>
      </c>
      <c r="EU37" s="1" t="n">
        <f aca="false">(ES37-ET37)^2</f>
        <v>4.36521542021493E-023</v>
      </c>
      <c r="EW37" s="1" t="n">
        <f aca="false">$AM37</f>
        <v>26</v>
      </c>
      <c r="EX37" s="1" t="n">
        <f aca="false">CI37</f>
        <v>0</v>
      </c>
      <c r="EY37" s="1" t="n">
        <f aca="false">EY$7*EXP(-EW37/EY$8)</f>
        <v>9.56648325584374E-011</v>
      </c>
      <c r="EZ37" s="1" t="n">
        <f aca="false">(EX37-EY37)^2</f>
        <v>9.15176018843387E-021</v>
      </c>
      <c r="FB37" s="1" t="n">
        <f aca="false">$AM37</f>
        <v>26</v>
      </c>
      <c r="FC37" s="1" t="n">
        <f aca="false">CR37</f>
        <v>0</v>
      </c>
      <c r="FD37" s="1" t="n">
        <f aca="false">FD$7*EXP(-FB37/FD$8)</f>
        <v>3.13661635620578E-009</v>
      </c>
      <c r="FE37" s="1" t="n">
        <f aca="false">(FC37-FD37)^2</f>
        <v>9.83836216601762E-018</v>
      </c>
      <c r="FG37" s="1" t="n">
        <f aca="false">$AM37</f>
        <v>26</v>
      </c>
      <c r="FH37" s="1" t="n">
        <f aca="false">DA37</f>
        <v>0</v>
      </c>
      <c r="FI37" s="1" t="n">
        <f aca="false">FI$7*EXP(-FG37/FI$8)</f>
        <v>8.66094736320556E-008</v>
      </c>
      <c r="FJ37" s="1" t="n">
        <f aca="false">(FH37-FI37)^2</f>
        <v>7.50120092282173E-015</v>
      </c>
      <c r="FL37" s="1" t="n">
        <f aca="false">EM37</f>
        <v>26</v>
      </c>
      <c r="FM37" s="1" t="n">
        <f aca="false">DJ37</f>
        <v>0</v>
      </c>
      <c r="FN37" s="1" t="n">
        <f aca="false">FN$7*EXP(-FL37/FN$8)</f>
        <v>5.04287149886951E-006</v>
      </c>
      <c r="FO37" s="1" t="n">
        <f aca="false">(FM37-FN37)^2</f>
        <v>2.54305529541104E-011</v>
      </c>
      <c r="FQ37" s="1" t="n">
        <f aca="false">AM37</f>
        <v>26</v>
      </c>
      <c r="FR37" s="1" t="n">
        <f aca="false">AN37/AN$9*100</f>
        <v>0</v>
      </c>
      <c r="FS37" s="1" t="n">
        <f aca="false">AO37/AO$9*100</f>
        <v>0</v>
      </c>
      <c r="FT37" s="1" t="n">
        <f aca="false">AQ37/AQ$9*100</f>
        <v>0</v>
      </c>
      <c r="FU37" s="1" t="n">
        <f aca="false">AR37/AR$9*100</f>
        <v>0</v>
      </c>
      <c r="FV37" s="1" t="n">
        <f aca="false">AT37/AT$9*100</f>
        <v>0</v>
      </c>
      <c r="FW37" s="1" t="n">
        <f aca="false">AU37/AU$9*100</f>
        <v>0</v>
      </c>
      <c r="FX37" s="1" t="n">
        <f aca="false">AW37/AW$9*100</f>
        <v>0</v>
      </c>
      <c r="FY37" s="1" t="n">
        <f aca="false">AX37/AX$9*100</f>
        <v>0</v>
      </c>
      <c r="FZ37" s="1" t="n">
        <f aca="false">AZ37/AZ$9*100</f>
        <v>0</v>
      </c>
      <c r="GA37" s="1" t="n">
        <f aca="false">BA37/BA$9*100</f>
        <v>0</v>
      </c>
      <c r="GB37" s="1" t="n">
        <f aca="false">BC37/BC$9*100</f>
        <v>0</v>
      </c>
      <c r="GC37" s="1" t="n">
        <f aca="false">BD37/BD$9*100</f>
        <v>0</v>
      </c>
      <c r="GD37" s="1" t="n">
        <f aca="false">BF37/BF$9*100</f>
        <v>0</v>
      </c>
      <c r="GE37" s="1" t="n">
        <f aca="false">BG37/BG$9*100</f>
        <v>0.50251256281407</v>
      </c>
      <c r="GF37" s="1" t="n">
        <f aca="false">BI37/BI$9*100</f>
        <v>0</v>
      </c>
      <c r="GG37" s="1" t="n">
        <f aca="false">BJ37/BJ$9*100</f>
        <v>0</v>
      </c>
      <c r="GH37" s="1" t="n">
        <f aca="false">BL37/BL$9*100</f>
        <v>0</v>
      </c>
      <c r="GI37" s="1" t="n">
        <f aca="false">BM37/BM$9*100</f>
        <v>1.91082802547771</v>
      </c>
      <c r="GJ37" s="1" t="n">
        <f aca="false">BO37/BO$9*100</f>
        <v>0</v>
      </c>
      <c r="GK37" s="1" t="n">
        <f aca="false">BP37/BP$9*100</f>
        <v>0</v>
      </c>
      <c r="GL37" s="1" t="n">
        <f aca="false">BR37/BR$9*100</f>
        <v>0</v>
      </c>
      <c r="GM37" s="1" t="n">
        <f aca="false">BS37/BS$9*100</f>
        <v>1.50753768844221</v>
      </c>
      <c r="GO37" s="1" t="n">
        <f aca="false">$AM37</f>
        <v>26</v>
      </c>
      <c r="GP37" s="1" t="n">
        <f aca="false">FT37</f>
        <v>0</v>
      </c>
      <c r="GQ37" s="1" t="n">
        <f aca="false">GQ$6*(1+GQ$5*(-1)^$FQ37)*EXP(-$FQ37/GQ$4)</f>
        <v>5.72637949115083E-007</v>
      </c>
      <c r="GR37" s="1" t="n">
        <f aca="false">(GP37-GQ37)^2</f>
        <v>3.27914220766728E-013</v>
      </c>
      <c r="GS37" s="1" t="n">
        <f aca="false">EXP($FQ37/$JG$4)*GP37</f>
        <v>0</v>
      </c>
      <c r="GT37" s="1" t="n">
        <f aca="false">EXP($FQ37/$JG$4)*(-1)^$FQ37*GP37</f>
        <v>0</v>
      </c>
      <c r="GU37" s="1" t="n">
        <f aca="false">(-1)^GO37*GP37</f>
        <v>0</v>
      </c>
      <c r="GW37" s="1" t="n">
        <f aca="false">$AM37</f>
        <v>26</v>
      </c>
      <c r="GX37" s="1" t="n">
        <f aca="false">FX37</f>
        <v>0</v>
      </c>
      <c r="GY37" s="1" t="n">
        <f aca="false">GY$6*(1+GY$5*(-1)^$FQ37)*EXP(-$FQ37/GY$4)</f>
        <v>5.72637949115083E-007</v>
      </c>
      <c r="GZ37" s="1" t="n">
        <f aca="false">(GX37-GY37)^2</f>
        <v>3.27914220766728E-013</v>
      </c>
      <c r="HA37" s="1" t="n">
        <f aca="false">EXP($FQ37/$JG$4)*GX37</f>
        <v>0</v>
      </c>
      <c r="HB37" s="1" t="n">
        <f aca="false">EXP($FQ37/$JG$4)*(-1)^$FQ37*GX37</f>
        <v>0</v>
      </c>
      <c r="HC37" s="1" t="n">
        <f aca="false">(-1)^GW37*GX37</f>
        <v>0</v>
      </c>
      <c r="HE37" s="1" t="n">
        <f aca="false">$AM37</f>
        <v>26</v>
      </c>
      <c r="HF37" s="1" t="n">
        <f aca="false">GB37</f>
        <v>0</v>
      </c>
      <c r="HG37" s="1" t="n">
        <f aca="false">HG$6*(1+HG$5*(-1)^$FQ37)*EXP(-$FQ37/HG$4)</f>
        <v>5.72637949115083E-007</v>
      </c>
      <c r="HH37" s="1" t="n">
        <f aca="false">(HF37-HG37)^2</f>
        <v>3.27914220766728E-013</v>
      </c>
      <c r="HI37" s="1" t="n">
        <f aca="false">EXP($FQ37/$JG$4)*HF37</f>
        <v>0</v>
      </c>
      <c r="HJ37" s="1" t="n">
        <f aca="false">EXP($FQ37/$JG$4)*(-1)^$FQ37*HF37</f>
        <v>0</v>
      </c>
      <c r="HK37" s="1" t="n">
        <f aca="false">(-1)^HE37*HF37</f>
        <v>0</v>
      </c>
      <c r="HM37" s="1" t="n">
        <f aca="false">$AM37</f>
        <v>26</v>
      </c>
      <c r="HN37" s="1" t="n">
        <f aca="false">GF37</f>
        <v>0</v>
      </c>
      <c r="HO37" s="1" t="n">
        <f aca="false">HO$6*(1+HO$5*(-1)^$FQ37)*EXP(-$FQ37/HO$4)</f>
        <v>2.86139023352006E-005</v>
      </c>
      <c r="HP37" s="1" t="n">
        <f aca="false">(HN37-HO37)^2</f>
        <v>8.18755406848398E-010</v>
      </c>
      <c r="HQ37" s="1" t="n">
        <f aca="false">EXP($FQ37/$JG$4)*HN37</f>
        <v>0</v>
      </c>
      <c r="HR37" s="1" t="n">
        <f aca="false">EXP($FQ37/$JG$4)*(-1)^$FQ37*HN37</f>
        <v>0</v>
      </c>
      <c r="HS37" s="1" t="n">
        <f aca="false">(-1)^HM37*HN37</f>
        <v>0</v>
      </c>
      <c r="HU37" s="1" t="n">
        <f aca="false">$AM37</f>
        <v>26</v>
      </c>
      <c r="HV37" s="1" t="n">
        <f aca="false">GJ37</f>
        <v>0</v>
      </c>
      <c r="HW37" s="1" t="n">
        <f aca="false">HW$6*(1+HW$5*(-1)^$FQ37)*EXP(-$FQ37/HW$4)</f>
        <v>0.000944807721802282</v>
      </c>
      <c r="HX37" s="1" t="n">
        <f aca="false">(HV37-HW37)^2</f>
        <v>8.92661631177218E-007</v>
      </c>
      <c r="HY37" s="1" t="n">
        <f aca="false">EXP($FQ37/$JG$4)*HV37</f>
        <v>0</v>
      </c>
      <c r="HZ37" s="1" t="n">
        <f aca="false">EXP($FQ37/$JG$4)*(-1)^$FQ37*HV37</f>
        <v>0</v>
      </c>
      <c r="IA37" s="1" t="n">
        <f aca="false">(-1)^HU37*HV37</f>
        <v>0</v>
      </c>
      <c r="IB37" s="1" t="n">
        <v>0</v>
      </c>
      <c r="ID37" s="1" t="n">
        <f aca="false">$AM37</f>
        <v>26</v>
      </c>
      <c r="IE37" s="1" t="n">
        <f aca="false">FZ37</f>
        <v>0</v>
      </c>
      <c r="IF37" s="1" t="n">
        <f aca="false">IF$6*(1+IF$5*(-1)^$FQ37)*EXP(-$FQ37/IF$4)</f>
        <v>0.00949592459113493</v>
      </c>
      <c r="IG37" s="1" t="n">
        <f aca="false">(IE37-IF37)^2</f>
        <v>9.01725838405211E-005</v>
      </c>
      <c r="IH37" s="1" t="n">
        <f aca="false">EXP($FQ37/$JG$4)*IE37</f>
        <v>0</v>
      </c>
      <c r="II37" s="1" t="n">
        <f aca="false">EXP($FQ37/$JG$4)*(-1)^$FQ37*IE37</f>
        <v>0</v>
      </c>
      <c r="IJ37" s="1" t="n">
        <f aca="false">(-1)^ID37*IE37</f>
        <v>0</v>
      </c>
      <c r="IK37" s="1" t="n">
        <v>0</v>
      </c>
      <c r="IM37" s="1" t="n">
        <f aca="false">$AM37</f>
        <v>26</v>
      </c>
      <c r="IN37" s="1" t="n">
        <f aca="false">GD37</f>
        <v>0</v>
      </c>
      <c r="IO37" s="1" t="n">
        <f aca="false">IO$6*(1+IO$5*(-1)^$FQ37)*EXP(-$FQ37/IO$4)</f>
        <v>0.0284056153921355</v>
      </c>
      <c r="IP37" s="1" t="n">
        <f aca="false">(IN37-IO37)^2</f>
        <v>0.000806878985805925</v>
      </c>
      <c r="IQ37" s="1" t="n">
        <f aca="false">EXP($FQ37/$JG$4)*IN37</f>
        <v>0</v>
      </c>
      <c r="IR37" s="1" t="n">
        <f aca="false">EXP($FQ37/$JG$4)*(-1)^$FQ37*IN37</f>
        <v>0</v>
      </c>
      <c r="IS37" s="1" t="n">
        <f aca="false">(-1)^IM37*IN37</f>
        <v>0</v>
      </c>
      <c r="IT37" s="1" t="n">
        <v>0</v>
      </c>
      <c r="IV37" s="1" t="n">
        <f aca="false">$AM37</f>
        <v>26</v>
      </c>
      <c r="IW37" s="1" t="n">
        <f aca="false">GH37</f>
        <v>0</v>
      </c>
      <c r="IX37" s="1" t="n">
        <f aca="false">IX$6*(1+IX$5*(-1)^$FQ37)*EXP(-$FQ37/IX$4)</f>
        <v>0.240787315524176</v>
      </c>
      <c r="IY37" s="1" t="n">
        <f aca="false">(IW37-IX37)^2</f>
        <v>0.0579785313173391</v>
      </c>
      <c r="IZ37" s="1" t="n">
        <f aca="false">EXP($FQ37/$JG$4)*IW37</f>
        <v>0</v>
      </c>
      <c r="JA37" s="1" t="n">
        <f aca="false">EXP($FQ37/$JG$4)*(-1)^$FQ37*IW37</f>
        <v>0</v>
      </c>
      <c r="JB37" s="1" t="n">
        <f aca="false">(-1)^IV37*IW37</f>
        <v>0</v>
      </c>
      <c r="JC37" s="1" t="n">
        <v>0.006577</v>
      </c>
      <c r="JE37" s="1" t="n">
        <f aca="false">$AM37</f>
        <v>26</v>
      </c>
      <c r="JF37" s="1" t="n">
        <f aca="false">GL37</f>
        <v>0</v>
      </c>
      <c r="JG37" s="1" t="n">
        <f aca="false">JG$6*(1+JG$5*(-1)^$FQ37)*EXP(-$FQ37/JG$4)</f>
        <v>0.114853919106336</v>
      </c>
      <c r="JH37" s="1" t="n">
        <f aca="false">(JF37-JG37)^2</f>
        <v>0.0131914227340848</v>
      </c>
      <c r="JI37" s="1" t="n">
        <f aca="false">EXP($FQ37/$JG$4)*JF37</f>
        <v>0</v>
      </c>
      <c r="JJ37" s="1" t="n">
        <f aca="false">EXP($FQ37/$JG$4)*(-1)^$FQ37*JF37</f>
        <v>0</v>
      </c>
      <c r="JK37" s="1" t="n">
        <f aca="false">(-1)^JE37*JF37</f>
        <v>0</v>
      </c>
      <c r="JL37" s="1" t="n">
        <v>0.002036</v>
      </c>
      <c r="JO37" s="1" t="n">
        <f aca="false">$AM37</f>
        <v>26</v>
      </c>
      <c r="JP37" s="1" t="n">
        <f aca="false">GM37</f>
        <v>1.50753768844221</v>
      </c>
      <c r="JQ37" s="1" t="n">
        <f aca="false">JQ$6*(1+JQ$5*(-1)^$FQ37)*EXP(-$FQ37/JQ$4)</f>
        <v>1.79690160773905</v>
      </c>
      <c r="JR37" s="1" t="n">
        <f aca="false">(JP37-JQ37)^2</f>
        <v>0.0837314777908276</v>
      </c>
      <c r="JS37" s="1" t="n">
        <f aca="false">EXP($FQ37/$JG$4)*JP37</f>
        <v>655.398865377209</v>
      </c>
      <c r="JT37" s="1" t="n">
        <f aca="false">EXP($FQ37/$JG$4)*(-1)^$FQ37*JP37</f>
        <v>655.398865377209</v>
      </c>
      <c r="JU37" s="1" t="n">
        <f aca="false">(-1)^JO37*JP37</f>
        <v>1.50753768844221</v>
      </c>
    </row>
    <row r="38" customFormat="false" ht="16" hidden="false" customHeight="false" outlineLevel="0" collapsed="false">
      <c r="A38" s="1" t="n">
        <v>1</v>
      </c>
      <c r="B38" s="1" t="n">
        <v>1</v>
      </c>
      <c r="C38" s="1" t="n">
        <f aca="false">B38-A38</f>
        <v>0</v>
      </c>
      <c r="D38" s="1" t="n">
        <v>1</v>
      </c>
      <c r="E38" s="1" t="n">
        <v>1</v>
      </c>
      <c r="F38" s="1" t="n">
        <f aca="false">E38-D38</f>
        <v>0</v>
      </c>
      <c r="G38" s="1" t="n">
        <v>1</v>
      </c>
      <c r="H38" s="1" t="n">
        <v>1</v>
      </c>
      <c r="I38" s="1" t="n">
        <f aca="false">H38-G38</f>
        <v>0</v>
      </c>
      <c r="J38" s="1" t="n">
        <v>4</v>
      </c>
      <c r="K38" s="1" t="n">
        <v>6</v>
      </c>
      <c r="L38" s="1" t="n">
        <f aca="false">K38-J38</f>
        <v>2</v>
      </c>
      <c r="M38" s="1" t="n">
        <v>2</v>
      </c>
      <c r="N38" s="1" t="n">
        <v>3</v>
      </c>
      <c r="O38" s="1" t="n">
        <f aca="false">N38-M38</f>
        <v>1</v>
      </c>
      <c r="P38" s="1" t="n">
        <v>1</v>
      </c>
      <c r="Q38" s="1" t="n">
        <v>1</v>
      </c>
      <c r="R38" s="1" t="n">
        <f aca="false">Q38-P38</f>
        <v>0</v>
      </c>
      <c r="S38" s="1" t="n">
        <v>0</v>
      </c>
      <c r="T38" s="1" t="n">
        <v>4</v>
      </c>
      <c r="U38" s="1" t="n">
        <f aca="false">T38-S38</f>
        <v>4</v>
      </c>
      <c r="V38" s="1" t="n">
        <v>2</v>
      </c>
      <c r="W38" s="1" t="n">
        <v>2</v>
      </c>
      <c r="X38" s="1" t="n">
        <f aca="false">W38-V38</f>
        <v>0</v>
      </c>
      <c r="Y38" s="1" t="n">
        <v>8</v>
      </c>
      <c r="Z38" s="1" t="n">
        <v>8</v>
      </c>
      <c r="AA38" s="1" t="n">
        <f aca="false">Z38-Y38</f>
        <v>0</v>
      </c>
      <c r="AB38" s="1" t="n">
        <v>1</v>
      </c>
      <c r="AC38" s="1" t="n">
        <v>3</v>
      </c>
      <c r="AD38" s="1" t="n">
        <f aca="false">AC38-AB38</f>
        <v>2</v>
      </c>
      <c r="AE38" s="1" t="n">
        <v>4</v>
      </c>
      <c r="AF38" s="1" t="n">
        <v>8</v>
      </c>
      <c r="AG38" s="1" t="n">
        <f aca="false">AF38-AE38</f>
        <v>4</v>
      </c>
      <c r="AI38" s="1" t="s">
        <v>48</v>
      </c>
      <c r="AJ38" s="1" t="n">
        <f aca="false">COUNTIFS(W$2:W$1000,2,V$2:V$1000,1)</f>
        <v>9</v>
      </c>
      <c r="AM38" s="1" t="n">
        <v>27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W38" s="1" t="n">
        <f aca="false">$AM38</f>
        <v>27</v>
      </c>
      <c r="BX38" s="1" t="n">
        <f aca="false">MAX(BX37-AN38/AN$9*100,0)</f>
        <v>0</v>
      </c>
      <c r="BY38" s="1" t="n">
        <f aca="false">MAX(BY37-AO38/AO$9*100,0)</f>
        <v>0</v>
      </c>
      <c r="BZ38" s="1" t="n">
        <f aca="false">MAX(BZ37-AQ38/AQ$9*100,0)</f>
        <v>0</v>
      </c>
      <c r="CA38" s="1" t="n">
        <f aca="false">MAX(CA37-AR38/AR$9*100,0)</f>
        <v>0</v>
      </c>
      <c r="CB38" s="1" t="n">
        <f aca="false">CB$7*EXP(-$AM38/CB$8)</f>
        <v>1.23491901860759E-013</v>
      </c>
      <c r="CC38" s="1" t="n">
        <f aca="false">(BZ38-CB38)^2</f>
        <v>1.52502498251873E-026</v>
      </c>
      <c r="CD38" s="1" t="n">
        <f aca="false">MAX(CD37-AT38/AT$9*100,0)</f>
        <v>0</v>
      </c>
      <c r="CE38" s="1" t="n">
        <f aca="false">MAX(CE37-AU38/AU$9*100,0)</f>
        <v>5.32907051820075E-015</v>
      </c>
      <c r="CF38" s="1" t="n">
        <f aca="false">CF$7*EXP(-$AM38/CF$8)</f>
        <v>3.00033896618588E-013</v>
      </c>
      <c r="CG38" s="1" t="n">
        <f aca="false">(CD38-CF38)^2</f>
        <v>9.00203391201336E-026</v>
      </c>
      <c r="CH38" s="1" t="n">
        <f aca="false">$AM38</f>
        <v>27</v>
      </c>
      <c r="CI38" s="1" t="n">
        <f aca="false">MAX(CI37-AW38/AW$9*100,0)</f>
        <v>0</v>
      </c>
      <c r="CJ38" s="1" t="n">
        <f aca="false">MAX(CJ37-AX38/AX$9*100,0)</f>
        <v>0</v>
      </c>
      <c r="CK38" s="1" t="n">
        <f aca="false">CK$7*EXP(-$AM38/CK$8)</f>
        <v>1.69137400161496E-008</v>
      </c>
      <c r="CL38" s="1" t="n">
        <f aca="false">(CI38-CK38)^2</f>
        <v>2.860746013339E-016</v>
      </c>
      <c r="CM38" s="1" t="n">
        <f aca="false">MAX(CM37-AZ38/AZ$9*100,0)</f>
        <v>0</v>
      </c>
      <c r="CN38" s="1" t="n">
        <f aca="false">MAX(CN37-BA38/BA$9*100,0)</f>
        <v>5.32907051820075E-015</v>
      </c>
      <c r="CO38" s="1" t="n">
        <f aca="false">CO$7*EXP(-$AM38/CO$8)</f>
        <v>0.000306460985045777</v>
      </c>
      <c r="CP38" s="1" t="n">
        <f aca="false">(CM38-CO38)^2</f>
        <v>9.39183353552279E-008</v>
      </c>
      <c r="CQ38" s="1" t="n">
        <f aca="false">$AM38</f>
        <v>27</v>
      </c>
      <c r="CR38" s="1" t="n">
        <f aca="false">MAX(CR37-BC38/BC$9*100,0)</f>
        <v>0</v>
      </c>
      <c r="CS38" s="1" t="n">
        <f aca="false">MAX(CS37-BD38/BD$9*100,0)</f>
        <v>0</v>
      </c>
      <c r="CT38" s="1" t="n">
        <f aca="false">CT$7*EXP(-$AM38/CT$8)</f>
        <v>8.59577506509982E-008</v>
      </c>
      <c r="CU38" s="1" t="n">
        <f aca="false">(CR38-CT38)^2</f>
        <v>7.38873489697918E-015</v>
      </c>
      <c r="CV38" s="1" t="n">
        <f aca="false">MAX(CV37-BF38/BF$9*100,0)</f>
        <v>8.88178419700125E-015</v>
      </c>
      <c r="CW38" s="1" t="n">
        <f aca="false">MAX(CW37-BG38/BG$9*100,0)</f>
        <v>0.502512562814076</v>
      </c>
      <c r="CX38" s="1" t="n">
        <f aca="false">CX$7*EXP(-$AM38/CX$8)</f>
        <v>0.00192422383545718</v>
      </c>
      <c r="CY38" s="1" t="n">
        <f aca="false">(CV38-CX38)^2</f>
        <v>3.70263736890736E-006</v>
      </c>
      <c r="CZ38" s="1" t="n">
        <f aca="false">$AM38</f>
        <v>27</v>
      </c>
      <c r="DA38" s="1" t="n">
        <f aca="false">MAX(DA37-BI38/BI$9*100,0)</f>
        <v>0</v>
      </c>
      <c r="DB38" s="1" t="n">
        <f aca="false">MAX(DB37-BJ38/BJ$9*100,0)</f>
        <v>9.88098491916389E-015</v>
      </c>
      <c r="DC38" s="1" t="n">
        <f aca="false">DC$7*EXP(-$AM38/DC$8)</f>
        <v>4.41602632004371E-007</v>
      </c>
      <c r="DD38" s="1" t="n">
        <f aca="false">(DA38-DC38)^2</f>
        <v>1.95012884593188E-013</v>
      </c>
      <c r="DE38" s="1" t="n">
        <f aca="false">MAX(DE37-BL38/BL$9*100,0)</f>
        <v>0.636942675159231</v>
      </c>
      <c r="DF38" s="1" t="n">
        <f aca="false">MAX(DF37-BM38/BM$9*100,0)</f>
        <v>1.9108280254777</v>
      </c>
      <c r="DG38" s="1" t="n">
        <f aca="false">DG$7*EXP(-$AM38/DG$8)</f>
        <v>0.141090994305337</v>
      </c>
      <c r="DH38" s="1" t="n">
        <f aca="false">(DE38-DG38)^2</f>
        <v>0.245868889405632</v>
      </c>
      <c r="DI38" s="1" t="n">
        <f aca="false">$AM38</f>
        <v>27</v>
      </c>
      <c r="DJ38" s="1" t="n">
        <f aca="false">MAX(DJ37-BO38/BO$9*100,0)</f>
        <v>0</v>
      </c>
      <c r="DK38" s="1" t="n">
        <f aca="false">MAX(DK37-BP38/BP$9*100,0)</f>
        <v>9.99200722162641E-015</v>
      </c>
      <c r="DL38" s="1" t="n">
        <f aca="false">DL$7*EXP(-$AM38/DL$8)</f>
        <v>9.59966953214532E-006</v>
      </c>
      <c r="DM38" s="1" t="n">
        <f aca="false">(DJ38-DL38)^2</f>
        <v>9.21536551263991E-011</v>
      </c>
      <c r="DN38" s="1" t="n">
        <f aca="false">MAX(DN37-BR38/BR$9*100,0)</f>
        <v>1.50753768844221</v>
      </c>
      <c r="DO38" s="1" t="n">
        <f aca="false">MAX(DO37-BS38/BS$9*100,0)</f>
        <v>3.01507537688442</v>
      </c>
      <c r="DP38" s="1" t="n">
        <f aca="false">DP$7*EXP(-$AM38/DP$8)</f>
        <v>0.0581514672759498</v>
      </c>
      <c r="DQ38" s="1" t="n">
        <f aca="false">(DN38-DP38)^2</f>
        <v>2.10072041810662</v>
      </c>
      <c r="DS38" s="1" t="n">
        <f aca="false">$AM38</f>
        <v>27</v>
      </c>
      <c r="DT38" s="1" t="n">
        <f aca="false">CA38</f>
        <v>0</v>
      </c>
      <c r="DU38" s="1" t="n">
        <f aca="false">DU$7*EXP(-DS38/DU$8)</f>
        <v>1.32916321736749E-010</v>
      </c>
      <c r="DV38" s="1" t="n">
        <f aca="false">(DT38-DU38)^2</f>
        <v>1.7666748584027E-020</v>
      </c>
      <c r="DX38" s="1" t="n">
        <f aca="false">$AM38</f>
        <v>27</v>
      </c>
      <c r="DY38" s="1" t="n">
        <f aca="false">CM38</f>
        <v>0</v>
      </c>
      <c r="DZ38" s="1" t="n">
        <f aca="false">DZ$7*EXP(-DX38/DZ$8)</f>
        <v>4.08360906495594E-005</v>
      </c>
      <c r="EA38" s="1" t="n">
        <f aca="false">(DY38-DZ38)^2</f>
        <v>1.66758629953903E-009</v>
      </c>
      <c r="EC38" s="1" t="n">
        <f aca="false">$AM38</f>
        <v>27</v>
      </c>
      <c r="ED38" s="1" t="n">
        <f aca="false">CV38</f>
        <v>8.88178419700125E-015</v>
      </c>
      <c r="EE38" s="1" t="n">
        <f aca="false">EE$7*EXP(-EC38/EE$8)</f>
        <v>0.00107593421724681</v>
      </c>
      <c r="EF38" s="1" t="n">
        <f aca="false">(ED38-EE38)^2</f>
        <v>1.15763443982339E-006</v>
      </c>
      <c r="EH38" s="1" t="n">
        <f aca="false">$AM38</f>
        <v>27</v>
      </c>
      <c r="EI38" s="1" t="n">
        <f aca="false">DE38</f>
        <v>0.636942675159231</v>
      </c>
      <c r="EJ38" s="1" t="n">
        <f aca="false">EJ$7*EXP(-EH38/EJ$8)</f>
        <v>0.140505554494941</v>
      </c>
      <c r="EK38" s="1" t="n">
        <f aca="false">(EI38-EJ38)^2</f>
        <v>0.246449814773451</v>
      </c>
      <c r="EM38" s="1" t="n">
        <f aca="false">AM38</f>
        <v>27</v>
      </c>
      <c r="EN38" s="1" t="n">
        <f aca="false">DN38</f>
        <v>1.50753768844221</v>
      </c>
      <c r="EO38" s="1" t="n">
        <f aca="false">EO$7*EXP(-EM38/EO$8)</f>
        <v>0.0735515666864168</v>
      </c>
      <c r="EP38" s="1" t="n">
        <f aca="false">(EN38-EO38)^2</f>
        <v>2.05631619738823</v>
      </c>
      <c r="ER38" s="1" t="n">
        <f aca="false">$AM38</f>
        <v>27</v>
      </c>
      <c r="ES38" s="1" t="n">
        <f aca="false">BZ38</f>
        <v>0</v>
      </c>
      <c r="ET38" s="1" t="n">
        <f aca="false">ET$7*EXP(-ER38/ET$8)</f>
        <v>2.00902619769158E-012</v>
      </c>
      <c r="EU38" s="1" t="n">
        <f aca="false">(ES38-ET38)^2</f>
        <v>4.03618626301109E-024</v>
      </c>
      <c r="EW38" s="1" t="n">
        <f aca="false">$AM38</f>
        <v>27</v>
      </c>
      <c r="EX38" s="1" t="n">
        <f aca="false">CI38</f>
        <v>0</v>
      </c>
      <c r="EY38" s="1" t="n">
        <f aca="false">EY$7*EXP(-EW38/EY$8)</f>
        <v>3.18790691884133E-011</v>
      </c>
      <c r="EZ38" s="1" t="n">
        <f aca="false">(EX38-EY38)^2</f>
        <v>1.01627505231964E-021</v>
      </c>
      <c r="FB38" s="1" t="n">
        <f aca="false">$AM38</f>
        <v>27</v>
      </c>
      <c r="FC38" s="1" t="n">
        <f aca="false">CR38</f>
        <v>0</v>
      </c>
      <c r="FD38" s="1" t="n">
        <f aca="false">FD$7*EXP(-FB38/FD$8)</f>
        <v>1.21017342157292E-009</v>
      </c>
      <c r="FE38" s="1" t="n">
        <f aca="false">(FC38-FD38)^2</f>
        <v>1.46451971028151E-018</v>
      </c>
      <c r="FG38" s="1" t="n">
        <f aca="false">$AM38</f>
        <v>27</v>
      </c>
      <c r="FH38" s="1" t="n">
        <f aca="false">DA38</f>
        <v>0</v>
      </c>
      <c r="FI38" s="1" t="n">
        <f aca="false">FI$7*EXP(-FG38/FI$8)</f>
        <v>3.79004476696505E-008</v>
      </c>
      <c r="FJ38" s="1" t="n">
        <f aca="false">(FH38-FI38)^2</f>
        <v>1.43644393355992E-015</v>
      </c>
      <c r="FL38" s="1" t="n">
        <f aca="false">EM38</f>
        <v>27</v>
      </c>
      <c r="FM38" s="1" t="n">
        <f aca="false">DJ38</f>
        <v>0</v>
      </c>
      <c r="FN38" s="1" t="n">
        <f aca="false">FN$7*EXP(-FL38/FN$8)</f>
        <v>2.58909655660115E-006</v>
      </c>
      <c r="FO38" s="1" t="n">
        <f aca="false">(FM38-FN38)^2</f>
        <v>6.70342097940393E-012</v>
      </c>
      <c r="FQ38" s="1" t="n">
        <f aca="false">AM38</f>
        <v>27</v>
      </c>
      <c r="FR38" s="1" t="n">
        <f aca="false">AN38/AN$9*100</f>
        <v>0</v>
      </c>
      <c r="FS38" s="1" t="n">
        <f aca="false">AO38/AO$9*100</f>
        <v>0</v>
      </c>
      <c r="FT38" s="1" t="n">
        <f aca="false">AQ38/AQ$9*100</f>
        <v>0</v>
      </c>
      <c r="FU38" s="1" t="n">
        <f aca="false">AR38/AR$9*100</f>
        <v>0</v>
      </c>
      <c r="FV38" s="1" t="n">
        <f aca="false">AT38/AT$9*100</f>
        <v>0</v>
      </c>
      <c r="FW38" s="1" t="n">
        <f aca="false">AU38/AU$9*100</f>
        <v>0</v>
      </c>
      <c r="FX38" s="1" t="n">
        <f aca="false">AW38/AW$9*100</f>
        <v>0</v>
      </c>
      <c r="FY38" s="1" t="n">
        <f aca="false">AX38/AX$9*100</f>
        <v>0</v>
      </c>
      <c r="FZ38" s="1" t="n">
        <f aca="false">AZ38/AZ$9*100</f>
        <v>0</v>
      </c>
      <c r="GA38" s="1" t="n">
        <f aca="false">BA38/BA$9*100</f>
        <v>0</v>
      </c>
      <c r="GB38" s="1" t="n">
        <f aca="false">BC38/BC$9*100</f>
        <v>0</v>
      </c>
      <c r="GC38" s="1" t="n">
        <f aca="false">BD38/BD$9*100</f>
        <v>0</v>
      </c>
      <c r="GD38" s="1" t="n">
        <f aca="false">BF38/BF$9*100</f>
        <v>0</v>
      </c>
      <c r="GE38" s="1" t="n">
        <f aca="false">BG38/BG$9*100</f>
        <v>0</v>
      </c>
      <c r="GF38" s="1" t="n">
        <f aca="false">BI38/BI$9*100</f>
        <v>0</v>
      </c>
      <c r="GG38" s="1" t="n">
        <f aca="false">BJ38/BJ$9*100</f>
        <v>0</v>
      </c>
      <c r="GH38" s="1" t="n">
        <f aca="false">BL38/BL$9*100</f>
        <v>0</v>
      </c>
      <c r="GI38" s="1" t="n">
        <f aca="false">BM38/BM$9*100</f>
        <v>0</v>
      </c>
      <c r="GJ38" s="1" t="n">
        <f aca="false">BO38/BO$9*100</f>
        <v>0</v>
      </c>
      <c r="GK38" s="1" t="n">
        <f aca="false">BP38/BP$9*100</f>
        <v>0</v>
      </c>
      <c r="GL38" s="1" t="n">
        <f aca="false">BR38/BR$9*100</f>
        <v>0</v>
      </c>
      <c r="GM38" s="1" t="n">
        <f aca="false">BS38/BS$9*100</f>
        <v>0</v>
      </c>
      <c r="GO38" s="1" t="n">
        <f aca="false">$AM38</f>
        <v>27</v>
      </c>
      <c r="GP38" s="1" t="n">
        <f aca="false">FT38</f>
        <v>0</v>
      </c>
      <c r="GQ38" s="1" t="n">
        <f aca="false">GQ$6*(1+GQ$5*(-1)^$FQ38)*EXP(-$FQ38/GQ$4)</f>
        <v>9.18867862260282E-008</v>
      </c>
      <c r="GR38" s="1" t="n">
        <f aca="false">(GP38-GQ38)^2</f>
        <v>8.44318148294781E-015</v>
      </c>
      <c r="GS38" s="1" t="n">
        <f aca="false">EXP($FQ38/$JG$4)*GP38</f>
        <v>0</v>
      </c>
      <c r="GT38" s="1" t="n">
        <f aca="false">EXP($FQ38/$JG$4)*(-1)^$FQ38*GP38</f>
        <v>-0</v>
      </c>
      <c r="GU38" s="1" t="n">
        <f aca="false">(-1)^GO38*GP38</f>
        <v>-0</v>
      </c>
      <c r="GW38" s="1" t="n">
        <f aca="false">$AM38</f>
        <v>27</v>
      </c>
      <c r="GX38" s="1" t="n">
        <f aca="false">FX38</f>
        <v>0</v>
      </c>
      <c r="GY38" s="1" t="n">
        <f aca="false">GY$6*(1+GY$5*(-1)^$FQ38)*EXP(-$FQ38/GY$4)</f>
        <v>9.18867862260282E-008</v>
      </c>
      <c r="GZ38" s="1" t="n">
        <f aca="false">(GX38-GY38)^2</f>
        <v>8.44318148294781E-015</v>
      </c>
      <c r="HA38" s="1" t="n">
        <f aca="false">EXP($FQ38/$JG$4)*GX38</f>
        <v>0</v>
      </c>
      <c r="HB38" s="1" t="n">
        <f aca="false">EXP($FQ38/$JG$4)*(-1)^$FQ38*GX38</f>
        <v>-0</v>
      </c>
      <c r="HC38" s="1" t="n">
        <f aca="false">(-1)^GW38*GX38</f>
        <v>-0</v>
      </c>
      <c r="HE38" s="1" t="n">
        <f aca="false">$AM38</f>
        <v>27</v>
      </c>
      <c r="HF38" s="1" t="n">
        <f aca="false">GB38</f>
        <v>0</v>
      </c>
      <c r="HG38" s="1" t="n">
        <f aca="false">HG$6*(1+HG$5*(-1)^$FQ38)*EXP(-$FQ38/HG$4)</f>
        <v>9.18867862260282E-008</v>
      </c>
      <c r="HH38" s="1" t="n">
        <f aca="false">(HF38-HG38)^2</f>
        <v>8.44318148294781E-015</v>
      </c>
      <c r="HI38" s="1" t="n">
        <f aca="false">EXP($FQ38/$JG$4)*HF38</f>
        <v>0</v>
      </c>
      <c r="HJ38" s="1" t="n">
        <f aca="false">EXP($FQ38/$JG$4)*(-1)^$FQ38*HF38</f>
        <v>-0</v>
      </c>
      <c r="HK38" s="1" t="n">
        <f aca="false">(-1)^HE38*HF38</f>
        <v>-0</v>
      </c>
      <c r="HM38" s="1" t="n">
        <f aca="false">$AM38</f>
        <v>27</v>
      </c>
      <c r="HN38" s="1" t="n">
        <f aca="false">GF38</f>
        <v>0</v>
      </c>
      <c r="HO38" s="1" t="n">
        <f aca="false">HO$6*(1+HO$5*(-1)^$FQ38)*EXP(-$FQ38/HO$4)</f>
        <v>3.4512718344577E-006</v>
      </c>
      <c r="HP38" s="1" t="n">
        <f aca="false">(HN38-HO38)^2</f>
        <v>1.1911277275321E-011</v>
      </c>
      <c r="HQ38" s="1" t="n">
        <f aca="false">EXP($FQ38/$JG$4)*HN38</f>
        <v>0</v>
      </c>
      <c r="HR38" s="1" t="n">
        <f aca="false">EXP($FQ38/$JG$4)*(-1)^$FQ38*HN38</f>
        <v>-0</v>
      </c>
      <c r="HS38" s="1" t="n">
        <f aca="false">(-1)^HM38*HN38</f>
        <v>-0</v>
      </c>
      <c r="HU38" s="1" t="n">
        <f aca="false">$AM38</f>
        <v>27</v>
      </c>
      <c r="HV38" s="1" t="n">
        <f aca="false">GJ38</f>
        <v>0</v>
      </c>
      <c r="HW38" s="1" t="n">
        <f aca="false">HW$6*(1+HW$5*(-1)^$FQ38)*EXP(-$FQ38/HW$4)</f>
        <v>0.000202328228655831</v>
      </c>
      <c r="HX38" s="1" t="n">
        <f aca="false">(HV38-HW38)^2</f>
        <v>4.09367121110062E-008</v>
      </c>
      <c r="HY38" s="1" t="n">
        <f aca="false">EXP($FQ38/$JG$4)*HV38</f>
        <v>0</v>
      </c>
      <c r="HZ38" s="1" t="n">
        <f aca="false">EXP($FQ38/$JG$4)*(-1)^$FQ38*HV38</f>
        <v>-0</v>
      </c>
      <c r="IA38" s="1" t="n">
        <f aca="false">(-1)^HU38*HV38</f>
        <v>-0</v>
      </c>
      <c r="IB38" s="1" t="n">
        <v>0</v>
      </c>
      <c r="ID38" s="1" t="n">
        <f aca="false">$AM38</f>
        <v>27</v>
      </c>
      <c r="IE38" s="1" t="n">
        <f aca="false">FZ38</f>
        <v>0</v>
      </c>
      <c r="IF38" s="1" t="n">
        <f aca="false">IF$6*(1+IF$5*(-1)^$FQ38)*EXP(-$FQ38/IF$4)</f>
        <v>0.00350515648396146</v>
      </c>
      <c r="IG38" s="1" t="n">
        <f aca="false">(IE38-IF38)^2</f>
        <v>1.22861219770571E-005</v>
      </c>
      <c r="IH38" s="1" t="n">
        <f aca="false">EXP($FQ38/$JG$4)*IE38</f>
        <v>0</v>
      </c>
      <c r="II38" s="1" t="n">
        <f aca="false">EXP($FQ38/$JG$4)*(-1)^$FQ38*IE38</f>
        <v>-0</v>
      </c>
      <c r="IJ38" s="1" t="n">
        <f aca="false">(-1)^ID38*IE38</f>
        <v>-0</v>
      </c>
      <c r="IK38" s="1" t="n">
        <v>0</v>
      </c>
      <c r="IM38" s="1" t="n">
        <f aca="false">$AM38</f>
        <v>27</v>
      </c>
      <c r="IN38" s="1" t="n">
        <f aca="false">GD38</f>
        <v>0</v>
      </c>
      <c r="IO38" s="1" t="n">
        <f aca="false">IO$6*(1+IO$5*(-1)^$FQ38)*EXP(-$FQ38/IO$4)</f>
        <v>0.00981612425306743</v>
      </c>
      <c r="IP38" s="1" t="n">
        <f aca="false">(IN38-IO38)^2</f>
        <v>9.63562953516586E-005</v>
      </c>
      <c r="IQ38" s="1" t="n">
        <f aca="false">EXP($FQ38/$JG$4)*IN38</f>
        <v>0</v>
      </c>
      <c r="IR38" s="1" t="n">
        <f aca="false">EXP($FQ38/$JG$4)*(-1)^$FQ38*IN38</f>
        <v>-0</v>
      </c>
      <c r="IS38" s="1" t="n">
        <f aca="false">(-1)^IM38*IN38</f>
        <v>-0</v>
      </c>
      <c r="IT38" s="1" t="n">
        <v>0</v>
      </c>
      <c r="IV38" s="1" t="n">
        <f aca="false">$AM38</f>
        <v>27</v>
      </c>
      <c r="IW38" s="1" t="n">
        <f aca="false">GH38</f>
        <v>0</v>
      </c>
      <c r="IX38" s="1" t="n">
        <f aca="false">IX$6*(1+IX$5*(-1)^$FQ38)*EXP(-$FQ38/IX$4)</f>
        <v>0.0512273827199025</v>
      </c>
      <c r="IY38" s="1" t="n">
        <f aca="false">(IW38-IX38)^2</f>
        <v>0.00262424474033137</v>
      </c>
      <c r="IZ38" s="1" t="n">
        <f aca="false">EXP($FQ38/$JG$4)*IW38</f>
        <v>0</v>
      </c>
      <c r="JA38" s="1" t="n">
        <f aca="false">EXP($FQ38/$JG$4)*(-1)^$FQ38*IW38</f>
        <v>-0</v>
      </c>
      <c r="JB38" s="1" t="n">
        <f aca="false">(-1)^IV38*IW38</f>
        <v>-0</v>
      </c>
      <c r="JC38" s="1" t="n">
        <v>0.00568</v>
      </c>
      <c r="JE38" s="1" t="n">
        <f aca="false">$AM38</f>
        <v>27</v>
      </c>
      <c r="JF38" s="1" t="n">
        <f aca="false">GL38</f>
        <v>0</v>
      </c>
      <c r="JG38" s="1" t="n">
        <f aca="false">JG$6*(1+JG$5*(-1)^$FQ38)*EXP(-$FQ38/JG$4)</f>
        <v>0.0138874190510265</v>
      </c>
      <c r="JH38" s="1" t="n">
        <f aca="false">(JF38-JG38)^2</f>
        <v>0.000192860407898814</v>
      </c>
      <c r="JI38" s="1" t="n">
        <f aca="false">EXP($FQ38/$JG$4)*JF38</f>
        <v>0</v>
      </c>
      <c r="JJ38" s="1" t="n">
        <f aca="false">EXP($FQ38/$JG$4)*(-1)^$FQ38*JF38</f>
        <v>-0</v>
      </c>
      <c r="JK38" s="1" t="n">
        <f aca="false">(-1)^JE38*JF38</f>
        <v>-0</v>
      </c>
      <c r="JL38" s="1" t="n">
        <v>0.001745</v>
      </c>
      <c r="JO38" s="1" t="n">
        <f aca="false">$AM38</f>
        <v>27</v>
      </c>
      <c r="JP38" s="1" t="n">
        <f aca="false">GM38</f>
        <v>0</v>
      </c>
      <c r="JQ38" s="1" t="n">
        <f aca="false">JQ$6*(1+JQ$5*(-1)^$FQ38)*EXP(-$FQ38/JQ$4)</f>
        <v>0.315952237514732</v>
      </c>
      <c r="JR38" s="1" t="n">
        <f aca="false">(JP38-JQ38)^2</f>
        <v>0.0998258163905656</v>
      </c>
      <c r="JS38" s="1" t="n">
        <f aca="false">EXP($FQ38/$JG$4)*JP38</f>
        <v>0</v>
      </c>
      <c r="JT38" s="1" t="n">
        <f aca="false">EXP($FQ38/$JG$4)*(-1)^$FQ38*JP38</f>
        <v>-0</v>
      </c>
      <c r="JU38" s="1" t="n">
        <f aca="false">(-1)^JO38*JP38</f>
        <v>-0</v>
      </c>
    </row>
    <row r="39" customFormat="false" ht="16" hidden="false" customHeight="false" outlineLevel="0" collapsed="false">
      <c r="A39" s="1" t="n">
        <v>2</v>
      </c>
      <c r="B39" s="1" t="n">
        <v>2</v>
      </c>
      <c r="C39" s="1" t="n">
        <f aca="false">B39-A39</f>
        <v>0</v>
      </c>
      <c r="D39" s="1" t="n">
        <v>1</v>
      </c>
      <c r="E39" s="1" t="n">
        <v>1</v>
      </c>
      <c r="F39" s="1" t="n">
        <f aca="false">E39-D39</f>
        <v>0</v>
      </c>
      <c r="G39" s="1" t="n">
        <v>1</v>
      </c>
      <c r="H39" s="1" t="n">
        <v>1</v>
      </c>
      <c r="I39" s="1" t="n">
        <f aca="false">H39-G39</f>
        <v>0</v>
      </c>
      <c r="J39" s="1" t="n">
        <v>4</v>
      </c>
      <c r="K39" s="1" t="n">
        <v>7</v>
      </c>
      <c r="L39" s="1" t="n">
        <f aca="false">K39-J39</f>
        <v>3</v>
      </c>
      <c r="M39" s="1" t="n">
        <v>1</v>
      </c>
      <c r="N39" s="1" t="n">
        <v>1</v>
      </c>
      <c r="O39" s="1" t="n">
        <f aca="false">N39-M39</f>
        <v>0</v>
      </c>
      <c r="P39" s="1" t="n">
        <v>4</v>
      </c>
      <c r="Q39" s="1" t="n">
        <v>4</v>
      </c>
      <c r="R39" s="1" t="n">
        <f aca="false">Q39-P39</f>
        <v>0</v>
      </c>
      <c r="S39" s="1" t="n">
        <v>4</v>
      </c>
      <c r="T39" s="1" t="n">
        <v>4</v>
      </c>
      <c r="U39" s="1" t="n">
        <f aca="false">T39-S39</f>
        <v>0</v>
      </c>
      <c r="V39" s="1" t="n">
        <v>2</v>
      </c>
      <c r="W39" s="1" t="n">
        <v>4</v>
      </c>
      <c r="X39" s="1" t="n">
        <f aca="false">W39-V39</f>
        <v>2</v>
      </c>
      <c r="Y39" s="1" t="n">
        <v>1</v>
      </c>
      <c r="Z39" s="1" t="n">
        <v>1</v>
      </c>
      <c r="AA39" s="1" t="n">
        <f aca="false">Z39-Y39</f>
        <v>0</v>
      </c>
      <c r="AB39" s="1" t="n">
        <v>2</v>
      </c>
      <c r="AC39" s="1" t="n">
        <v>5</v>
      </c>
      <c r="AD39" s="1" t="n">
        <f aca="false">AC39-AB39</f>
        <v>3</v>
      </c>
      <c r="AE39" s="1" t="n">
        <v>2</v>
      </c>
      <c r="AF39" s="1" t="n">
        <v>4</v>
      </c>
      <c r="AG39" s="1" t="n">
        <f aca="false">AF39-AE39</f>
        <v>2</v>
      </c>
      <c r="AI39" s="1" t="s">
        <v>52</v>
      </c>
      <c r="AJ39" s="1" t="n">
        <f aca="false">COUNTIFS(W$2:W$1000,2,V$2:V$1000,0)</f>
        <v>0</v>
      </c>
      <c r="AM39" s="1" t="n">
        <v>28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1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1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1</v>
      </c>
      <c r="BT39" s="1" t="n">
        <v>0</v>
      </c>
      <c r="BW39" s="1" t="n">
        <f aca="false">$AM39</f>
        <v>28</v>
      </c>
      <c r="BX39" s="1" t="n">
        <f aca="false">MAX(BX38-AN39/AN$9*100,0)</f>
        <v>0</v>
      </c>
      <c r="BY39" s="1" t="n">
        <f aca="false">MAX(BY38-AO39/AO$9*100,0)</f>
        <v>0</v>
      </c>
      <c r="BZ39" s="1" t="n">
        <f aca="false">MAX(BZ38-AQ39/AQ$9*100,0)</f>
        <v>0</v>
      </c>
      <c r="CA39" s="1" t="n">
        <f aca="false">MAX(CA38-AR39/AR$9*100,0)</f>
        <v>0</v>
      </c>
      <c r="CB39" s="1" t="n">
        <f aca="false">CB$7*EXP(-$AM39/CB$8)</f>
        <v>3.36992062355319E-014</v>
      </c>
      <c r="CC39" s="1" t="n">
        <f aca="false">(BZ39-CB39)^2</f>
        <v>1.13563650090491E-027</v>
      </c>
      <c r="CD39" s="1" t="n">
        <f aca="false">MAX(CD38-AT39/AT$9*100,0)</f>
        <v>0</v>
      </c>
      <c r="CE39" s="1" t="n">
        <f aca="false">MAX(CE38-AU39/AU$9*100,0)</f>
        <v>5.32907051820075E-015</v>
      </c>
      <c r="CF39" s="1" t="n">
        <f aca="false">CF$7*EXP(-$AM39/CF$8)</f>
        <v>8.46117099223898E-014</v>
      </c>
      <c r="CG39" s="1" t="n">
        <f aca="false">(CD39-CF39)^2</f>
        <v>7.15914145599064E-027</v>
      </c>
      <c r="CH39" s="1" t="n">
        <f aca="false">$AM39</f>
        <v>28</v>
      </c>
      <c r="CI39" s="1" t="n">
        <f aca="false">MAX(CI38-AW39/AW$9*100,0)</f>
        <v>0</v>
      </c>
      <c r="CJ39" s="1" t="n">
        <f aca="false">MAX(CJ38-AX39/AX$9*100,0)</f>
        <v>0</v>
      </c>
      <c r="CK39" s="1" t="n">
        <f aca="false">CK$7*EXP(-$AM39/CK$8)</f>
        <v>7.19528143990957E-009</v>
      </c>
      <c r="CL39" s="1" t="n">
        <f aca="false">(CI39-CK39)^2</f>
        <v>5.17720749995071E-017</v>
      </c>
      <c r="CM39" s="1" t="n">
        <f aca="false">MAX(CM38-AZ39/AZ$9*100,0)</f>
        <v>0</v>
      </c>
      <c r="CN39" s="1" t="n">
        <f aca="false">MAX(CN38-BA39/BA$9*100,0)</f>
        <v>5.32907051820075E-015</v>
      </c>
      <c r="CO39" s="1" t="n">
        <f aca="false">CO$7*EXP(-$AM39/CO$8)</f>
        <v>0.000189487152359243</v>
      </c>
      <c r="CP39" s="1" t="n">
        <f aca="false">(CM39-CO39)^2</f>
        <v>3.5905380909215E-008</v>
      </c>
      <c r="CQ39" s="1" t="n">
        <f aca="false">$AM39</f>
        <v>28</v>
      </c>
      <c r="CR39" s="1" t="n">
        <f aca="false">MAX(CR38-BC39/BC$9*100,0)</f>
        <v>0</v>
      </c>
      <c r="CS39" s="1" t="n">
        <f aca="false">MAX(CS38-BD39/BD$9*100,0)</f>
        <v>0</v>
      </c>
      <c r="CT39" s="1" t="n">
        <f aca="false">CT$7*EXP(-$AM39/CT$8)</f>
        <v>3.9112977967134E-008</v>
      </c>
      <c r="CU39" s="1" t="n">
        <f aca="false">(CR39-CT39)^2</f>
        <v>1.52982504545751E-015</v>
      </c>
      <c r="CV39" s="1" t="n">
        <f aca="false">MAX(CV38-BF39/BF$9*100,0)</f>
        <v>8.88178419700125E-015</v>
      </c>
      <c r="CW39" s="1" t="n">
        <f aca="false">MAX(CW38-BG39/BG$9*100,0)</f>
        <v>5.32907051820075E-015</v>
      </c>
      <c r="CX39" s="1" t="n">
        <f aca="false">CX$7*EXP(-$AM39/CX$8)</f>
        <v>0.00127290226790478</v>
      </c>
      <c r="CY39" s="1" t="n">
        <f aca="false">(CV39-CX39)^2</f>
        <v>1.62028018361452E-006</v>
      </c>
      <c r="CZ39" s="1" t="n">
        <f aca="false">$AM39</f>
        <v>28</v>
      </c>
      <c r="DA39" s="1" t="n">
        <f aca="false">MAX(DA38-BI39/BI$9*100,0)</f>
        <v>0</v>
      </c>
      <c r="DB39" s="1" t="n">
        <f aca="false">MAX(DB38-BJ39/BJ$9*100,0)</f>
        <v>9.88098491916389E-015</v>
      </c>
      <c r="DC39" s="1" t="n">
        <f aca="false">DC$7*EXP(-$AM39/DC$8)</f>
        <v>2.1282781272029E-007</v>
      </c>
      <c r="DD39" s="1" t="n">
        <f aca="false">(DA39-DC39)^2</f>
        <v>4.52956778673028E-014</v>
      </c>
      <c r="DE39" s="1" t="n">
        <f aca="false">MAX(DE38-BL39/BL$9*100,0)</f>
        <v>0.636942675159231</v>
      </c>
      <c r="DF39" s="1" t="n">
        <f aca="false">MAX(DF38-BM39/BM$9*100,0)</f>
        <v>1.27388535031846</v>
      </c>
      <c r="DG39" s="1" t="n">
        <f aca="false">DG$7*EXP(-$AM39/DG$8)</f>
        <v>0.109881776849319</v>
      </c>
      <c r="DH39" s="1" t="n">
        <f aca="false">(DE39-DG39)^2</f>
        <v>0.277793190527252</v>
      </c>
      <c r="DI39" s="1" t="n">
        <f aca="false">$AM39</f>
        <v>28</v>
      </c>
      <c r="DJ39" s="1" t="n">
        <f aca="false">MAX(DJ38-BO39/BO$9*100,0)</f>
        <v>0</v>
      </c>
      <c r="DK39" s="1" t="n">
        <f aca="false">MAX(DK38-BP39/BP$9*100,0)</f>
        <v>9.99200722162641E-015</v>
      </c>
      <c r="DL39" s="1" t="n">
        <f aca="false">DL$7*EXP(-$AM39/DL$8)</f>
        <v>5.1977806771576E-006</v>
      </c>
      <c r="DM39" s="1" t="n">
        <f aca="false">(DJ39-DL39)^2</f>
        <v>2.70169239678329E-011</v>
      </c>
      <c r="DN39" s="1" t="n">
        <f aca="false">MAX(DN38-BR39/BR$9*100,0)</f>
        <v>1.50753768844221</v>
      </c>
      <c r="DO39" s="1" t="n">
        <f aca="false">MAX(DO38-BS39/BS$9*100,0)</f>
        <v>2.51256281407035</v>
      </c>
      <c r="DP39" s="1" t="n">
        <f aca="false">DP$7*EXP(-$AM39/DP$8)</f>
        <v>0.0438057458369512</v>
      </c>
      <c r="DQ39" s="1" t="n">
        <f aca="false">(DN39-DP39)^2</f>
        <v>2.14251119980297</v>
      </c>
      <c r="DS39" s="1" t="n">
        <f aca="false">$AM39</f>
        <v>28</v>
      </c>
      <c r="DT39" s="1" t="n">
        <f aca="false">CA39</f>
        <v>0</v>
      </c>
      <c r="DU39" s="1" t="n">
        <f aca="false">DU$7*EXP(-DS39/DU$8)</f>
        <v>4.74080447750188E-011</v>
      </c>
      <c r="DV39" s="1" t="n">
        <f aca="false">(DT39-DU39)^2</f>
        <v>2.24752270939019E-021</v>
      </c>
      <c r="DX39" s="1" t="n">
        <f aca="false">$AM39</f>
        <v>28</v>
      </c>
      <c r="DY39" s="1" t="n">
        <f aca="false">CM39</f>
        <v>0</v>
      </c>
      <c r="DZ39" s="1" t="n">
        <f aca="false">DZ$7*EXP(-DX39/DZ$8)</f>
        <v>2.32840484989942E-005</v>
      </c>
      <c r="EA39" s="1" t="n">
        <f aca="false">(DY39-DZ39)^2</f>
        <v>5.42146914503514E-010</v>
      </c>
      <c r="EC39" s="1" t="n">
        <f aca="false">$AM39</f>
        <v>28</v>
      </c>
      <c r="ED39" s="1" t="n">
        <f aca="false">CV39</f>
        <v>8.88178419700125E-015</v>
      </c>
      <c r="EE39" s="1" t="n">
        <f aca="false">EE$7*EXP(-EC39/EE$8)</f>
        <v>0.000695244359211846</v>
      </c>
      <c r="EF39" s="1" t="n">
        <f aca="false">(ED39-EE39)^2</f>
        <v>4.8336471900354E-007</v>
      </c>
      <c r="EH39" s="1" t="n">
        <f aca="false">$AM39</f>
        <v>28</v>
      </c>
      <c r="EI39" s="1" t="n">
        <f aca="false">DE39</f>
        <v>0.636942675159231</v>
      </c>
      <c r="EJ39" s="1" t="n">
        <f aca="false">EJ$7*EXP(-EH39/EJ$8)</f>
        <v>0.109425835866542</v>
      </c>
      <c r="EK39" s="1" t="n">
        <f aca="false">(EI39-EJ39)^2</f>
        <v>0.278274015737349</v>
      </c>
      <c r="EM39" s="1" t="n">
        <f aca="false">AM39</f>
        <v>28</v>
      </c>
      <c r="EN39" s="1" t="n">
        <f aca="false">DN39</f>
        <v>1.50753768844221</v>
      </c>
      <c r="EO39" s="1" t="n">
        <f aca="false">EO$7*EXP(-EM39/EO$8)</f>
        <v>0.0559251475122059</v>
      </c>
      <c r="EP39" s="1" t="n">
        <f aca="false">(EN39-EO39)^2</f>
        <v>2.10717896898527</v>
      </c>
      <c r="ER39" s="1" t="n">
        <f aca="false">$AM39</f>
        <v>28</v>
      </c>
      <c r="ES39" s="1" t="n">
        <f aca="false">BZ39</f>
        <v>0</v>
      </c>
      <c r="ET39" s="1" t="n">
        <f aca="false">ET$7*EXP(-ER39/ET$8)</f>
        <v>6.10897516551795E-013</v>
      </c>
      <c r="EU39" s="1" t="n">
        <f aca="false">(ES39-ET39)^2</f>
        <v>3.73195775729151E-025</v>
      </c>
      <c r="EW39" s="1" t="n">
        <f aca="false">$AM39</f>
        <v>28</v>
      </c>
      <c r="EX39" s="1" t="n">
        <f aca="false">CI39</f>
        <v>0</v>
      </c>
      <c r="EY39" s="1" t="n">
        <f aca="false">EY$7*EXP(-EW39/EY$8)</f>
        <v>1.06232878388079E-011</v>
      </c>
      <c r="EZ39" s="1" t="n">
        <f aca="false">(EX39-EY39)^2</f>
        <v>1.12854244506164E-022</v>
      </c>
      <c r="FB39" s="1" t="n">
        <f aca="false">$AM39</f>
        <v>28</v>
      </c>
      <c r="FC39" s="1" t="n">
        <f aca="false">CR39</f>
        <v>0</v>
      </c>
      <c r="FD39" s="1" t="n">
        <f aca="false">FD$7*EXP(-FB39/FD$8)</f>
        <v>4.66910691001136E-010</v>
      </c>
      <c r="FE39" s="1" t="n">
        <f aca="false">(FC39-FD39)^2</f>
        <v>2.18005593371158E-019</v>
      </c>
      <c r="FG39" s="1" t="n">
        <f aca="false">$AM39</f>
        <v>28</v>
      </c>
      <c r="FH39" s="1" t="n">
        <f aca="false">DA39</f>
        <v>0</v>
      </c>
      <c r="FI39" s="1" t="n">
        <f aca="false">FI$7*EXP(-FG39/FI$8)</f>
        <v>1.65852980432878E-008</v>
      </c>
      <c r="FJ39" s="1" t="n">
        <f aca="false">(FH39-FI39)^2</f>
        <v>2.75072111184686E-016</v>
      </c>
      <c r="FL39" s="1" t="n">
        <f aca="false">EM39</f>
        <v>28</v>
      </c>
      <c r="FM39" s="1" t="n">
        <f aca="false">DJ39</f>
        <v>0</v>
      </c>
      <c r="FN39" s="1" t="n">
        <f aca="false">FN$7*EXP(-FL39/FN$8)</f>
        <v>1.32928649498736E-006</v>
      </c>
      <c r="FO39" s="1" t="n">
        <f aca="false">(FM39-FN39)^2</f>
        <v>1.76700258575578E-012</v>
      </c>
      <c r="FQ39" s="1" t="n">
        <f aca="false">AM39</f>
        <v>28</v>
      </c>
      <c r="FR39" s="1" t="n">
        <f aca="false">AN39/AN$9*100</f>
        <v>0</v>
      </c>
      <c r="FS39" s="1" t="n">
        <f aca="false">AO39/AO$9*100</f>
        <v>0</v>
      </c>
      <c r="FT39" s="1" t="n">
        <f aca="false">AQ39/AQ$9*100</f>
        <v>0</v>
      </c>
      <c r="FU39" s="1" t="n">
        <f aca="false">AR39/AR$9*100</f>
        <v>0</v>
      </c>
      <c r="FV39" s="1" t="n">
        <f aca="false">AT39/AT$9*100</f>
        <v>0</v>
      </c>
      <c r="FW39" s="1" t="n">
        <f aca="false">AU39/AU$9*100</f>
        <v>0</v>
      </c>
      <c r="FX39" s="1" t="n">
        <f aca="false">AW39/AW$9*100</f>
        <v>0</v>
      </c>
      <c r="FY39" s="1" t="n">
        <f aca="false">AX39/AX$9*100</f>
        <v>0</v>
      </c>
      <c r="FZ39" s="1" t="n">
        <f aca="false">AZ39/AZ$9*100</f>
        <v>0</v>
      </c>
      <c r="GA39" s="1" t="n">
        <f aca="false">BA39/BA$9*100</f>
        <v>0</v>
      </c>
      <c r="GB39" s="1" t="n">
        <f aca="false">BC39/BC$9*100</f>
        <v>0</v>
      </c>
      <c r="GC39" s="1" t="n">
        <f aca="false">BD39/BD$9*100</f>
        <v>0</v>
      </c>
      <c r="GD39" s="1" t="n">
        <f aca="false">BF39/BF$9*100</f>
        <v>0</v>
      </c>
      <c r="GE39" s="1" t="n">
        <f aca="false">BG39/BG$9*100</f>
        <v>0.50251256281407</v>
      </c>
      <c r="GF39" s="1" t="n">
        <f aca="false">BI39/BI$9*100</f>
        <v>0</v>
      </c>
      <c r="GG39" s="1" t="n">
        <f aca="false">BJ39/BJ$9*100</f>
        <v>0</v>
      </c>
      <c r="GH39" s="1" t="n">
        <f aca="false">BL39/BL$9*100</f>
        <v>0</v>
      </c>
      <c r="GI39" s="1" t="n">
        <f aca="false">BM39/BM$9*100</f>
        <v>0.636942675159236</v>
      </c>
      <c r="GJ39" s="1" t="n">
        <f aca="false">BO39/BO$9*100</f>
        <v>0</v>
      </c>
      <c r="GK39" s="1" t="n">
        <f aca="false">BP39/BP$9*100</f>
        <v>0</v>
      </c>
      <c r="GL39" s="1" t="n">
        <f aca="false">BR39/BR$9*100</f>
        <v>0</v>
      </c>
      <c r="GM39" s="1" t="n">
        <f aca="false">BS39/BS$9*100</f>
        <v>0.50251256281407</v>
      </c>
      <c r="GO39" s="1" t="n">
        <f aca="false">$AM39</f>
        <v>28</v>
      </c>
      <c r="GP39" s="1" t="n">
        <f aca="false">FT39</f>
        <v>0</v>
      </c>
      <c r="GQ39" s="1" t="n">
        <f aca="false">GQ$6*(1+GQ$5*(-1)^$FQ39)*EXP(-$FQ39/GQ$4)</f>
        <v>1.25851438325536E-007</v>
      </c>
      <c r="GR39" s="1" t="n">
        <f aca="false">(GP39-GQ39)^2</f>
        <v>1.58385845286062E-014</v>
      </c>
      <c r="GS39" s="1" t="n">
        <f aca="false">EXP($FQ39/$JG$4)*GP39</f>
        <v>0</v>
      </c>
      <c r="GT39" s="1" t="n">
        <f aca="false">EXP($FQ39/$JG$4)*(-1)^$FQ39*GP39</f>
        <v>0</v>
      </c>
      <c r="GU39" s="1" t="n">
        <f aca="false">(-1)^GO39*GP39</f>
        <v>0</v>
      </c>
      <c r="GW39" s="1" t="n">
        <f aca="false">$AM39</f>
        <v>28</v>
      </c>
      <c r="GX39" s="1" t="n">
        <f aca="false">FX39</f>
        <v>0</v>
      </c>
      <c r="GY39" s="1" t="n">
        <f aca="false">GY$6*(1+GY$5*(-1)^$FQ39)*EXP(-$FQ39/GY$4)</f>
        <v>1.25851438325536E-007</v>
      </c>
      <c r="GZ39" s="1" t="n">
        <f aca="false">(GX39-GY39)^2</f>
        <v>1.58385845286062E-014</v>
      </c>
      <c r="HA39" s="1" t="n">
        <f aca="false">EXP($FQ39/$JG$4)*GX39</f>
        <v>0</v>
      </c>
      <c r="HB39" s="1" t="n">
        <f aca="false">EXP($FQ39/$JG$4)*(-1)^$FQ39*GX39</f>
        <v>0</v>
      </c>
      <c r="HC39" s="1" t="n">
        <f aca="false">(-1)^GW39*GX39</f>
        <v>0</v>
      </c>
      <c r="HE39" s="1" t="n">
        <f aca="false">$AM39</f>
        <v>28</v>
      </c>
      <c r="HF39" s="1" t="n">
        <f aca="false">GB39</f>
        <v>0</v>
      </c>
      <c r="HG39" s="1" t="n">
        <f aca="false">HG$6*(1+HG$5*(-1)^$FQ39)*EXP(-$FQ39/HG$4)</f>
        <v>1.25851438325536E-007</v>
      </c>
      <c r="HH39" s="1" t="n">
        <f aca="false">(HF39-HG39)^2</f>
        <v>1.58385845286062E-014</v>
      </c>
      <c r="HI39" s="1" t="n">
        <f aca="false">EXP($FQ39/$JG$4)*HF39</f>
        <v>0</v>
      </c>
      <c r="HJ39" s="1" t="n">
        <f aca="false">EXP($FQ39/$JG$4)*(-1)^$FQ39*HF39</f>
        <v>0</v>
      </c>
      <c r="HK39" s="1" t="n">
        <f aca="false">(-1)^HE39*HF39</f>
        <v>0</v>
      </c>
      <c r="HM39" s="1" t="n">
        <f aca="false">$AM39</f>
        <v>28</v>
      </c>
      <c r="HN39" s="1" t="n">
        <f aca="false">GF39</f>
        <v>0</v>
      </c>
      <c r="HO39" s="1" t="n">
        <f aca="false">HO$6*(1+HO$5*(-1)^$FQ39)*EXP(-$FQ39/HO$4)</f>
        <v>8.63900923993439E-006</v>
      </c>
      <c r="HP39" s="1" t="n">
        <f aca="false">(HN39-HO39)^2</f>
        <v>7.46324806476718E-011</v>
      </c>
      <c r="HQ39" s="1" t="n">
        <f aca="false">EXP($FQ39/$JG$4)*HN39</f>
        <v>0</v>
      </c>
      <c r="HR39" s="1" t="n">
        <f aca="false">EXP($FQ39/$JG$4)*(-1)^$FQ39*HN39</f>
        <v>0</v>
      </c>
      <c r="HS39" s="1" t="n">
        <f aca="false">(-1)^HM39*HN39</f>
        <v>0</v>
      </c>
      <c r="HU39" s="1" t="n">
        <f aca="false">$AM39</f>
        <v>28</v>
      </c>
      <c r="HV39" s="1" t="n">
        <f aca="false">GJ39</f>
        <v>0</v>
      </c>
      <c r="HW39" s="1" t="n">
        <f aca="false">HW$6*(1+HW$5*(-1)^$FQ39)*EXP(-$FQ39/HW$4)</f>
        <v>0.000389952791977876</v>
      </c>
      <c r="HX39" s="1" t="n">
        <f aca="false">(HV39-HW39)^2</f>
        <v>1.52063179971341E-007</v>
      </c>
      <c r="HY39" s="1" t="n">
        <f aca="false">EXP($FQ39/$JG$4)*HV39</f>
        <v>0</v>
      </c>
      <c r="HZ39" s="1" t="n">
        <f aca="false">EXP($FQ39/$JG$4)*(-1)^$FQ39*HV39</f>
        <v>0</v>
      </c>
      <c r="IA39" s="1" t="n">
        <f aca="false">(-1)^HU39*HV39</f>
        <v>0</v>
      </c>
      <c r="IB39" s="1" t="n">
        <v>0</v>
      </c>
      <c r="ID39" s="1" t="n">
        <f aca="false">$AM39</f>
        <v>28</v>
      </c>
      <c r="IE39" s="1" t="n">
        <f aca="false">FZ39</f>
        <v>0</v>
      </c>
      <c r="IF39" s="1" t="n">
        <f aca="false">IF$6*(1+IF$5*(-1)^$FQ39)*EXP(-$FQ39/IF$4)</f>
        <v>0.00487537024613123</v>
      </c>
      <c r="IG39" s="1" t="n">
        <f aca="false">(IE39-IF39)^2</f>
        <v>2.37692350368617E-005</v>
      </c>
      <c r="IH39" s="1" t="n">
        <f aca="false">EXP($FQ39/$JG$4)*IE39</f>
        <v>0</v>
      </c>
      <c r="II39" s="1" t="n">
        <f aca="false">EXP($FQ39/$JG$4)*(-1)^$FQ39*IE39</f>
        <v>0</v>
      </c>
      <c r="IJ39" s="1" t="n">
        <f aca="false">(-1)^ID39*IE39</f>
        <v>0</v>
      </c>
      <c r="IK39" s="1" t="n">
        <v>0</v>
      </c>
      <c r="IM39" s="1" t="n">
        <f aca="false">$AM39</f>
        <v>28</v>
      </c>
      <c r="IN39" s="1" t="n">
        <f aca="false">GD39</f>
        <v>0</v>
      </c>
      <c r="IO39" s="1" t="n">
        <f aca="false">IO$6*(1+IO$5*(-1)^$FQ39)*EXP(-$FQ39/IO$4)</f>
        <v>0.0160411657787214</v>
      </c>
      <c r="IP39" s="1" t="n">
        <f aca="false">(IN39-IO39)^2</f>
        <v>0.000257318999540423</v>
      </c>
      <c r="IQ39" s="1" t="n">
        <f aca="false">EXP($FQ39/$JG$4)*IN39</f>
        <v>0</v>
      </c>
      <c r="IR39" s="1" t="n">
        <f aca="false">EXP($FQ39/$JG$4)*(-1)^$FQ39*IN39</f>
        <v>0</v>
      </c>
      <c r="IS39" s="1" t="n">
        <f aca="false">(-1)^IM39*IN39</f>
        <v>0</v>
      </c>
      <c r="IT39" s="1" t="n">
        <v>0</v>
      </c>
      <c r="IV39" s="1" t="n">
        <f aca="false">$AM39</f>
        <v>28</v>
      </c>
      <c r="IW39" s="1" t="n">
        <f aca="false">GH39</f>
        <v>0</v>
      </c>
      <c r="IX39" s="1" t="n">
        <f aca="false">IX$6*(1+IX$5*(-1)^$FQ39)*EXP(-$FQ39/IX$4)</f>
        <v>0.163906911036312</v>
      </c>
      <c r="IY39" s="1" t="n">
        <f aca="false">(IW39-IX39)^2</f>
        <v>0.0268654754854655</v>
      </c>
      <c r="IZ39" s="1" t="n">
        <f aca="false">EXP($FQ39/$JG$4)*IW39</f>
        <v>0</v>
      </c>
      <c r="JA39" s="1" t="n">
        <f aca="false">EXP($FQ39/$JG$4)*(-1)^$FQ39*IW39</f>
        <v>0</v>
      </c>
      <c r="JB39" s="1" t="n">
        <f aca="false">(-1)^IV39*IW39</f>
        <v>0</v>
      </c>
      <c r="JC39" s="1" t="n">
        <v>0.00299</v>
      </c>
      <c r="JE39" s="1" t="n">
        <f aca="false">$AM39</f>
        <v>28</v>
      </c>
      <c r="JF39" s="1" t="n">
        <f aca="false">GL39</f>
        <v>0</v>
      </c>
      <c r="JG39" s="1" t="n">
        <f aca="false">JG$6*(1+JG$5*(-1)^$FQ39)*EXP(-$FQ39/JG$4)</f>
        <v>0.0719787785076446</v>
      </c>
      <c r="JH39" s="1" t="n">
        <f aca="false">(JF39-JG39)^2</f>
        <v>0.00518094455545256</v>
      </c>
      <c r="JI39" s="1" t="n">
        <f aca="false">EXP($FQ39/$JG$4)*JF39</f>
        <v>0</v>
      </c>
      <c r="JJ39" s="1" t="n">
        <f aca="false">EXP($FQ39/$JG$4)*(-1)^$FQ39*JF39</f>
        <v>0</v>
      </c>
      <c r="JK39" s="1" t="n">
        <f aca="false">(-1)^JE39*JF39</f>
        <v>0</v>
      </c>
      <c r="JL39" s="1" t="n">
        <v>0.002036</v>
      </c>
      <c r="JO39" s="1" t="n">
        <f aca="false">$AM39</f>
        <v>28</v>
      </c>
      <c r="JP39" s="1" t="n">
        <f aca="false">GM39</f>
        <v>0.50251256281407</v>
      </c>
      <c r="JQ39" s="1" t="n">
        <f aca="false">JQ$6*(1+JQ$5*(-1)^$FQ39)*EXP(-$FQ39/JQ$4)</f>
        <v>1.53121854441823</v>
      </c>
      <c r="JR39" s="1" t="n">
        <f aca="false">(JP39-JQ39)^2</f>
        <v>1.05823599658818</v>
      </c>
      <c r="JS39" s="1" t="n">
        <f aca="false">EXP($FQ39/$JG$4)*JP39</f>
        <v>348.598711208672</v>
      </c>
      <c r="JT39" s="1" t="n">
        <f aca="false">EXP($FQ39/$JG$4)*(-1)^$FQ39*JP39</f>
        <v>348.598711208672</v>
      </c>
      <c r="JU39" s="1" t="n">
        <f aca="false">(-1)^JO39*JP39</f>
        <v>0.50251256281407</v>
      </c>
    </row>
    <row r="40" customFormat="false" ht="16" hidden="false" customHeight="false" outlineLevel="0" collapsed="false">
      <c r="A40" s="1" t="n">
        <v>1</v>
      </c>
      <c r="B40" s="1" t="n">
        <v>1</v>
      </c>
      <c r="C40" s="1" t="n">
        <f aca="false">B40-A40</f>
        <v>0</v>
      </c>
      <c r="D40" s="1" t="n">
        <v>1</v>
      </c>
      <c r="E40" s="1" t="n">
        <v>1</v>
      </c>
      <c r="F40" s="1" t="n">
        <f aca="false">E40-D40</f>
        <v>0</v>
      </c>
      <c r="G40" s="1" t="n">
        <v>2</v>
      </c>
      <c r="H40" s="1" t="n">
        <v>2</v>
      </c>
      <c r="I40" s="1" t="n">
        <f aca="false">H40-G40</f>
        <v>0</v>
      </c>
      <c r="J40" s="1" t="n">
        <v>4</v>
      </c>
      <c r="K40" s="1" t="n">
        <v>4</v>
      </c>
      <c r="L40" s="1" t="n">
        <f aca="false">K40-J40</f>
        <v>0</v>
      </c>
      <c r="M40" s="1" t="n">
        <v>1</v>
      </c>
      <c r="N40" s="1" t="n">
        <v>2</v>
      </c>
      <c r="O40" s="1" t="n">
        <f aca="false">N40-M40</f>
        <v>1</v>
      </c>
      <c r="P40" s="1" t="n">
        <v>4</v>
      </c>
      <c r="Q40" s="1" t="n">
        <v>5</v>
      </c>
      <c r="R40" s="1" t="n">
        <f aca="false">Q40-P40</f>
        <v>1</v>
      </c>
      <c r="S40" s="1" t="n">
        <v>5</v>
      </c>
      <c r="T40" s="1" t="n">
        <v>9</v>
      </c>
      <c r="U40" s="1" t="n">
        <f aca="false">T40-S40</f>
        <v>4</v>
      </c>
      <c r="V40" s="1" t="n">
        <v>5</v>
      </c>
      <c r="W40" s="1" t="n">
        <v>7</v>
      </c>
      <c r="X40" s="1" t="n">
        <f aca="false">W40-V40</f>
        <v>2</v>
      </c>
      <c r="Y40" s="1" t="n">
        <v>6</v>
      </c>
      <c r="Z40" s="1" t="n">
        <v>12</v>
      </c>
      <c r="AA40" s="1" t="n">
        <f aca="false">Z40-Y40</f>
        <v>6</v>
      </c>
      <c r="AB40" s="1" t="n">
        <v>4</v>
      </c>
      <c r="AC40" s="1" t="n">
        <v>7</v>
      </c>
      <c r="AD40" s="1" t="n">
        <f aca="false">AC40-AB40</f>
        <v>3</v>
      </c>
      <c r="AE40" s="1" t="n">
        <v>4</v>
      </c>
      <c r="AF40" s="1" t="n">
        <v>8</v>
      </c>
      <c r="AG40" s="1" t="n">
        <f aca="false">AF40-AE40</f>
        <v>4</v>
      </c>
      <c r="AM40" s="1" t="n">
        <v>29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W40" s="1" t="n">
        <f aca="false">$AM40</f>
        <v>29</v>
      </c>
      <c r="BX40" s="1" t="n">
        <f aca="false">MAX(BX39-AN40/AN$9*100,0)</f>
        <v>0</v>
      </c>
      <c r="BY40" s="1" t="n">
        <f aca="false">MAX(BY39-AO40/AO$9*100,0)</f>
        <v>0</v>
      </c>
      <c r="BZ40" s="1" t="n">
        <f aca="false">MAX(BZ39-AQ40/AQ$9*100,0)</f>
        <v>0</v>
      </c>
      <c r="CA40" s="1" t="n">
        <f aca="false">MAX(CA39-AR40/AR$9*100,0)</f>
        <v>0</v>
      </c>
      <c r="CB40" s="1" t="n">
        <f aca="false">CB$7*EXP(-$AM40/CB$8)</f>
        <v>9.19604025683703E-015</v>
      </c>
      <c r="CC40" s="1" t="n">
        <f aca="false">(BZ40-CB40)^2</f>
        <v>8.45671564053673E-029</v>
      </c>
      <c r="CD40" s="1" t="n">
        <f aca="false">MAX(CD39-AT40/AT$9*100,0)</f>
        <v>0</v>
      </c>
      <c r="CE40" s="1" t="n">
        <f aca="false">MAX(CE39-AU40/AU$9*100,0)</f>
        <v>5.32907051820075E-015</v>
      </c>
      <c r="CF40" s="1" t="n">
        <f aca="false">CF$7*EXP(-$AM40/CF$8)</f>
        <v>2.38611088169533E-014</v>
      </c>
      <c r="CG40" s="1" t="n">
        <f aca="false">(CD40-CF40)^2</f>
        <v>5.69352513974487E-028</v>
      </c>
      <c r="CH40" s="1" t="n">
        <f aca="false">$AM40</f>
        <v>29</v>
      </c>
      <c r="CI40" s="1" t="n">
        <f aca="false">MAX(CI39-AW40/AW$9*100,0)</f>
        <v>0</v>
      </c>
      <c r="CJ40" s="1" t="n">
        <f aca="false">MAX(CJ39-AX40/AX$9*100,0)</f>
        <v>0</v>
      </c>
      <c r="CK40" s="1" t="n">
        <f aca="false">CK$7*EXP(-$AM40/CK$8)</f>
        <v>3.06094778269467E-009</v>
      </c>
      <c r="CL40" s="1" t="n">
        <f aca="false">(CI40-CK40)^2</f>
        <v>9.36940132838342E-018</v>
      </c>
      <c r="CM40" s="1" t="n">
        <f aca="false">MAX(CM39-AZ40/AZ$9*100,0)</f>
        <v>0</v>
      </c>
      <c r="CN40" s="1" t="n">
        <f aca="false">MAX(CN39-BA40/BA$9*100,0)</f>
        <v>5.32907051820075E-015</v>
      </c>
      <c r="CO40" s="1" t="n">
        <f aca="false">CO$7*EXP(-$AM40/CO$8)</f>
        <v>0.000117161344057716</v>
      </c>
      <c r="CP40" s="1" t="n">
        <f aca="false">(CM40-CO40)^2</f>
        <v>1.37267805414105E-008</v>
      </c>
      <c r="CQ40" s="1" t="n">
        <f aca="false">$AM40</f>
        <v>29</v>
      </c>
      <c r="CR40" s="1" t="n">
        <f aca="false">MAX(CR39-BC40/BC$9*100,0)</f>
        <v>0</v>
      </c>
      <c r="CS40" s="1" t="n">
        <f aca="false">MAX(CS39-BD40/BD$9*100,0)</f>
        <v>0</v>
      </c>
      <c r="CT40" s="1" t="n">
        <f aca="false">CT$7*EXP(-$AM40/CT$8)</f>
        <v>1.77974066779485E-008</v>
      </c>
      <c r="CU40" s="1" t="n">
        <f aca="false">(CR40-CT40)^2</f>
        <v>3.16747684460286E-016</v>
      </c>
      <c r="CV40" s="1" t="n">
        <f aca="false">MAX(CV39-BF40/BF$9*100,0)</f>
        <v>8.88178419700125E-015</v>
      </c>
      <c r="CW40" s="1" t="n">
        <f aca="false">MAX(CW39-BG40/BG$9*100,0)</f>
        <v>5.32907051820075E-015</v>
      </c>
      <c r="CX40" s="1" t="n">
        <f aca="false">CX$7*EXP(-$AM40/CX$8)</f>
        <v>0.000842043505428336</v>
      </c>
      <c r="CY40" s="1" t="n">
        <f aca="false">(CV40-CX40)^2</f>
        <v>7.09037265019083E-007</v>
      </c>
      <c r="CZ40" s="1" t="n">
        <f aca="false">$AM40</f>
        <v>29</v>
      </c>
      <c r="DA40" s="1" t="n">
        <f aca="false">MAX(DA39-BI40/BI$9*100,0)</f>
        <v>0</v>
      </c>
      <c r="DB40" s="1" t="n">
        <f aca="false">MAX(DB39-BJ40/BJ$9*100,0)</f>
        <v>9.88098491916389E-015</v>
      </c>
      <c r="DC40" s="1" t="n">
        <f aca="false">DC$7*EXP(-$AM40/DC$8)</f>
        <v>1.02571122961184E-007</v>
      </c>
      <c r="DD40" s="1" t="n">
        <f aca="false">(DA40-DC40)^2</f>
        <v>1.05208352655183E-014</v>
      </c>
      <c r="DE40" s="1" t="n">
        <f aca="false">MAX(DE39-BL40/BL$9*100,0)</f>
        <v>0.636942675159231</v>
      </c>
      <c r="DF40" s="1" t="n">
        <f aca="false">MAX(DF39-BM40/BM$9*100,0)</f>
        <v>1.27388535031846</v>
      </c>
      <c r="DG40" s="1" t="n">
        <f aca="false">DG$7*EXP(-$AM40/DG$8)</f>
        <v>0.0855760138555272</v>
      </c>
      <c r="DH40" s="1" t="n">
        <f aca="false">(DE40-DG40)^2</f>
        <v>0.304005195197194</v>
      </c>
      <c r="DI40" s="1" t="n">
        <f aca="false">$AM40</f>
        <v>29</v>
      </c>
      <c r="DJ40" s="1" t="n">
        <f aca="false">MAX(DJ39-BO40/BO$9*100,0)</f>
        <v>0</v>
      </c>
      <c r="DK40" s="1" t="n">
        <f aca="false">MAX(DK39-BP40/BP$9*100,0)</f>
        <v>9.99200722162641E-015</v>
      </c>
      <c r="DL40" s="1" t="n">
        <f aca="false">DL$7*EXP(-$AM40/DL$8)</f>
        <v>2.81435979409128E-006</v>
      </c>
      <c r="DM40" s="1" t="n">
        <f aca="false">(DJ40-DL40)^2</f>
        <v>7.92062105059751E-012</v>
      </c>
      <c r="DN40" s="1" t="n">
        <f aca="false">MAX(DN39-BR40/BR$9*100,0)</f>
        <v>1.50753768844221</v>
      </c>
      <c r="DO40" s="1" t="n">
        <f aca="false">MAX(DO39-BS40/BS$9*100,0)</f>
        <v>2.51256281407035</v>
      </c>
      <c r="DP40" s="1" t="n">
        <f aca="false">DP$7*EXP(-$AM40/DP$8)</f>
        <v>0.032999053303771</v>
      </c>
      <c r="DQ40" s="1" t="n">
        <f aca="false">(DN40-DP40)^2</f>
        <v>2.17426418651594</v>
      </c>
      <c r="DS40" s="1" t="n">
        <f aca="false">$AM40</f>
        <v>29</v>
      </c>
      <c r="DT40" s="1" t="n">
        <f aca="false">CA40</f>
        <v>0</v>
      </c>
      <c r="DU40" s="1" t="n">
        <f aca="false">DU$7*EXP(-DS40/DU$8)</f>
        <v>1.6909305644506E-011</v>
      </c>
      <c r="DV40" s="1" t="n">
        <f aca="false">(DT40-DU40)^2</f>
        <v>2.85924617379323E-022</v>
      </c>
      <c r="DX40" s="1" t="n">
        <f aca="false">$AM40</f>
        <v>29</v>
      </c>
      <c r="DY40" s="1" t="n">
        <f aca="false">CM40</f>
        <v>0</v>
      </c>
      <c r="DZ40" s="1" t="n">
        <f aca="false">DZ$7*EXP(-DX40/DZ$8)</f>
        <v>1.32761708057714E-005</v>
      </c>
      <c r="EA40" s="1" t="n">
        <f aca="false">(DY40-DZ40)^2</f>
        <v>1.76256711264017E-010</v>
      </c>
      <c r="EC40" s="1" t="n">
        <f aca="false">$AM40</f>
        <v>29</v>
      </c>
      <c r="ED40" s="1" t="n">
        <f aca="false">CV40</f>
        <v>8.88178419700125E-015</v>
      </c>
      <c r="EE40" s="1" t="n">
        <f aca="false">EE$7*EXP(-EC40/EE$8)</f>
        <v>0.000449251182151977</v>
      </c>
      <c r="EF40" s="1" t="n">
        <f aca="false">(ED40-EE40)^2</f>
        <v>2.01826624656969E-007</v>
      </c>
      <c r="EH40" s="1" t="n">
        <f aca="false">$AM40</f>
        <v>29</v>
      </c>
      <c r="EI40" s="1" t="n">
        <f aca="false">DE40</f>
        <v>0.636942675159231</v>
      </c>
      <c r="EJ40" s="1" t="n">
        <f aca="false">EJ$7*EXP(-EH40/EJ$8)</f>
        <v>0.0852209266611059</v>
      </c>
      <c r="EK40" s="1" t="n">
        <f aca="false">(EI40-EJ40)^2</f>
        <v>0.304396887765829</v>
      </c>
      <c r="EM40" s="1" t="n">
        <f aca="false">AM40</f>
        <v>29</v>
      </c>
      <c r="EN40" s="1" t="n">
        <f aca="false">DN40</f>
        <v>1.50753768844221</v>
      </c>
      <c r="EO40" s="1" t="n">
        <f aca="false">EO$7*EXP(-EM40/EO$8)</f>
        <v>0.0425228484608144</v>
      </c>
      <c r="EP40" s="1" t="n">
        <f aca="false">(EN40-EO40)^2</f>
        <v>2.14626848136572</v>
      </c>
      <c r="ER40" s="1" t="n">
        <f aca="false">$AM40</f>
        <v>29</v>
      </c>
      <c r="ES40" s="1" t="n">
        <f aca="false">BZ40</f>
        <v>0</v>
      </c>
      <c r="ET40" s="1" t="n">
        <f aca="false">ET$7*EXP(-ER40/ET$8)</f>
        <v>1.85759536713837E-013</v>
      </c>
      <c r="EU40" s="1" t="n">
        <f aca="false">(ES40-ET40)^2</f>
        <v>3.45066054801394E-026</v>
      </c>
      <c r="EW40" s="1" t="n">
        <f aca="false">$AM40</f>
        <v>29</v>
      </c>
      <c r="EX40" s="1" t="n">
        <f aca="false">CI40</f>
        <v>0</v>
      </c>
      <c r="EY40" s="1" t="n">
        <f aca="false">EY$7*EXP(-EW40/EY$8)</f>
        <v>3.54007338919358E-012</v>
      </c>
      <c r="EZ40" s="1" t="n">
        <f aca="false">(EX40-EY40)^2</f>
        <v>1.25321196008765E-023</v>
      </c>
      <c r="FB40" s="1" t="n">
        <f aca="false">$AM40</f>
        <v>29</v>
      </c>
      <c r="FC40" s="1" t="n">
        <f aca="false">CR40</f>
        <v>0</v>
      </c>
      <c r="FD40" s="1" t="n">
        <f aca="false">FD$7*EXP(-FB40/FD$8)</f>
        <v>1.80144092974548E-010</v>
      </c>
      <c r="FE40" s="1" t="n">
        <f aca="false">(FC40-FD40)^2</f>
        <v>3.24518942336226E-020</v>
      </c>
      <c r="FG40" s="1" t="n">
        <f aca="false">$AM40</f>
        <v>29</v>
      </c>
      <c r="FH40" s="1" t="n">
        <f aca="false">DA40</f>
        <v>0</v>
      </c>
      <c r="FI40" s="1" t="n">
        <f aca="false">FI$7*EXP(-FG40/FI$8)</f>
        <v>7.25775361764276E-009</v>
      </c>
      <c r="FJ40" s="1" t="n">
        <f aca="false">(FH40-FI40)^2</f>
        <v>5.26749875744066E-017</v>
      </c>
      <c r="FL40" s="1" t="n">
        <f aca="false">EM40</f>
        <v>29</v>
      </c>
      <c r="FM40" s="1" t="n">
        <f aca="false">DJ40</f>
        <v>0</v>
      </c>
      <c r="FN40" s="1" t="n">
        <f aca="false">FN$7*EXP(-FL40/FN$8)</f>
        <v>6.82478442625346E-007</v>
      </c>
      <c r="FO40" s="1" t="n">
        <f aca="false">(FM40-FN40)^2</f>
        <v>4.65776824648318E-013</v>
      </c>
      <c r="FQ40" s="1" t="n">
        <f aca="false">AM40</f>
        <v>29</v>
      </c>
      <c r="FR40" s="1" t="n">
        <f aca="false">AN40/AN$9*100</f>
        <v>0</v>
      </c>
      <c r="FS40" s="1" t="n">
        <f aca="false">AO40/AO$9*100</f>
        <v>0</v>
      </c>
      <c r="FT40" s="1" t="n">
        <f aca="false">AQ40/AQ$9*100</f>
        <v>0</v>
      </c>
      <c r="FU40" s="1" t="n">
        <f aca="false">AR40/AR$9*100</f>
        <v>0</v>
      </c>
      <c r="FV40" s="1" t="n">
        <f aca="false">AT40/AT$9*100</f>
        <v>0</v>
      </c>
      <c r="FW40" s="1" t="n">
        <f aca="false">AU40/AU$9*100</f>
        <v>0</v>
      </c>
      <c r="FX40" s="1" t="n">
        <f aca="false">AW40/AW$9*100</f>
        <v>0</v>
      </c>
      <c r="FY40" s="1" t="n">
        <f aca="false">AX40/AX$9*100</f>
        <v>0</v>
      </c>
      <c r="FZ40" s="1" t="n">
        <f aca="false">AZ40/AZ$9*100</f>
        <v>0</v>
      </c>
      <c r="GA40" s="1" t="n">
        <f aca="false">BA40/BA$9*100</f>
        <v>0</v>
      </c>
      <c r="GB40" s="1" t="n">
        <f aca="false">BC40/BC$9*100</f>
        <v>0</v>
      </c>
      <c r="GC40" s="1" t="n">
        <f aca="false">BD40/BD$9*100</f>
        <v>0</v>
      </c>
      <c r="GD40" s="1" t="n">
        <f aca="false">BF40/BF$9*100</f>
        <v>0</v>
      </c>
      <c r="GE40" s="1" t="n">
        <f aca="false">BG40/BG$9*100</f>
        <v>0</v>
      </c>
      <c r="GF40" s="1" t="n">
        <f aca="false">BI40/BI$9*100</f>
        <v>0</v>
      </c>
      <c r="GG40" s="1" t="n">
        <f aca="false">BJ40/BJ$9*100</f>
        <v>0</v>
      </c>
      <c r="GH40" s="1" t="n">
        <f aca="false">BL40/BL$9*100</f>
        <v>0</v>
      </c>
      <c r="GI40" s="1" t="n">
        <f aca="false">BM40/BM$9*100</f>
        <v>0</v>
      </c>
      <c r="GJ40" s="1" t="n">
        <f aca="false">BO40/BO$9*100</f>
        <v>0</v>
      </c>
      <c r="GK40" s="1" t="n">
        <f aca="false">BP40/BP$9*100</f>
        <v>0</v>
      </c>
      <c r="GL40" s="1" t="n">
        <f aca="false">BR40/BR$9*100</f>
        <v>0</v>
      </c>
      <c r="GM40" s="1" t="n">
        <f aca="false">BS40/BS$9*100</f>
        <v>0</v>
      </c>
      <c r="GO40" s="1" t="n">
        <f aca="false">$AM40</f>
        <v>29</v>
      </c>
      <c r="GP40" s="1" t="n">
        <f aca="false">FT40</f>
        <v>0</v>
      </c>
      <c r="GQ40" s="1" t="n">
        <f aca="false">GQ$6*(1+GQ$5*(-1)^$FQ40)*EXP(-$FQ40/GQ$4)</f>
        <v>2.01944077012833E-008</v>
      </c>
      <c r="GR40" s="1" t="n">
        <f aca="false">(GP40-GQ40)^2</f>
        <v>4.0781410240565E-016</v>
      </c>
      <c r="GS40" s="1" t="n">
        <f aca="false">EXP($FQ40/$JG$4)*GP40</f>
        <v>0</v>
      </c>
      <c r="GT40" s="1" t="n">
        <f aca="false">EXP($FQ40/$JG$4)*(-1)^$FQ40*GP40</f>
        <v>-0</v>
      </c>
      <c r="GU40" s="1" t="n">
        <f aca="false">(-1)^GO40*GP40</f>
        <v>-0</v>
      </c>
      <c r="GW40" s="1" t="n">
        <f aca="false">$AM40</f>
        <v>29</v>
      </c>
      <c r="GX40" s="1" t="n">
        <f aca="false">FX40</f>
        <v>0</v>
      </c>
      <c r="GY40" s="1" t="n">
        <f aca="false">GY$6*(1+GY$5*(-1)^$FQ40)*EXP(-$FQ40/GY$4)</f>
        <v>2.01944077012833E-008</v>
      </c>
      <c r="GZ40" s="1" t="n">
        <f aca="false">(GX40-GY40)^2</f>
        <v>4.0781410240565E-016</v>
      </c>
      <c r="HA40" s="1" t="n">
        <f aca="false">EXP($FQ40/$JG$4)*GX40</f>
        <v>0</v>
      </c>
      <c r="HB40" s="1" t="n">
        <f aca="false">EXP($FQ40/$JG$4)*(-1)^$FQ40*GX40</f>
        <v>-0</v>
      </c>
      <c r="HC40" s="1" t="n">
        <f aca="false">(-1)^GW40*GX40</f>
        <v>-0</v>
      </c>
      <c r="HE40" s="1" t="n">
        <f aca="false">$AM40</f>
        <v>29</v>
      </c>
      <c r="HF40" s="1" t="n">
        <f aca="false">GB40</f>
        <v>0</v>
      </c>
      <c r="HG40" s="1" t="n">
        <f aca="false">HG$6*(1+HG$5*(-1)^$FQ40)*EXP(-$FQ40/HG$4)</f>
        <v>2.01944077012833E-008</v>
      </c>
      <c r="HH40" s="1" t="n">
        <f aca="false">(HF40-HG40)^2</f>
        <v>4.0781410240565E-016</v>
      </c>
      <c r="HI40" s="1" t="n">
        <f aca="false">EXP($FQ40/$JG$4)*HF40</f>
        <v>0</v>
      </c>
      <c r="HJ40" s="1" t="n">
        <f aca="false">EXP($FQ40/$JG$4)*(-1)^$FQ40*HF40</f>
        <v>-0</v>
      </c>
      <c r="HK40" s="1" t="n">
        <f aca="false">(-1)^HE40*HF40</f>
        <v>-0</v>
      </c>
      <c r="HM40" s="1" t="n">
        <f aca="false">$AM40</f>
        <v>29</v>
      </c>
      <c r="HN40" s="1" t="n">
        <f aca="false">GF40</f>
        <v>0</v>
      </c>
      <c r="HO40" s="1" t="n">
        <f aca="false">HO$6*(1+HO$5*(-1)^$FQ40)*EXP(-$FQ40/HO$4)</f>
        <v>1.04199591227117E-006</v>
      </c>
      <c r="HP40" s="1" t="n">
        <f aca="false">(HN40-HO40)^2</f>
        <v>1.08575548118983E-012</v>
      </c>
      <c r="HQ40" s="1" t="n">
        <f aca="false">EXP($FQ40/$JG$4)*HN40</f>
        <v>0</v>
      </c>
      <c r="HR40" s="1" t="n">
        <f aca="false">EXP($FQ40/$JG$4)*(-1)^$FQ40*HN40</f>
        <v>-0</v>
      </c>
      <c r="HS40" s="1" t="n">
        <f aca="false">(-1)^HM40*HN40</f>
        <v>-0</v>
      </c>
      <c r="HU40" s="1" t="n">
        <f aca="false">$AM40</f>
        <v>29</v>
      </c>
      <c r="HV40" s="1" t="n">
        <f aca="false">GJ40</f>
        <v>0</v>
      </c>
      <c r="HW40" s="1" t="n">
        <f aca="false">HW$6*(1+HW$5*(-1)^$FQ40)*EXP(-$FQ40/HW$4)</f>
        <v>8.35074225576562E-005</v>
      </c>
      <c r="HX40" s="1" t="n">
        <f aca="false">(HV40-HW40)^2</f>
        <v>6.97348962222295E-009</v>
      </c>
      <c r="HY40" s="1" t="n">
        <f aca="false">EXP($FQ40/$JG$4)*HV40</f>
        <v>0</v>
      </c>
      <c r="HZ40" s="1" t="n">
        <f aca="false">EXP($FQ40/$JG$4)*(-1)^$FQ40*HV40</f>
        <v>-0</v>
      </c>
      <c r="IA40" s="1" t="n">
        <f aca="false">(-1)^HU40*HV40</f>
        <v>-0</v>
      </c>
      <c r="IB40" s="1" t="n">
        <v>0</v>
      </c>
      <c r="ID40" s="1" t="n">
        <f aca="false">$AM40</f>
        <v>29</v>
      </c>
      <c r="IE40" s="1" t="n">
        <f aca="false">FZ40</f>
        <v>0</v>
      </c>
      <c r="IF40" s="1" t="n">
        <f aca="false">IF$6*(1+IF$5*(-1)^$FQ40)*EXP(-$FQ40/IF$4)</f>
        <v>0.0017996073437539</v>
      </c>
      <c r="IG40" s="1" t="n">
        <f aca="false">(IE40-IF40)^2</f>
        <v>3.23858659169297E-006</v>
      </c>
      <c r="IH40" s="1" t="n">
        <f aca="false">EXP($FQ40/$JG$4)*IE40</f>
        <v>0</v>
      </c>
      <c r="II40" s="1" t="n">
        <f aca="false">EXP($FQ40/$JG$4)*(-1)^$FQ40*IE40</f>
        <v>-0</v>
      </c>
      <c r="IJ40" s="1" t="n">
        <f aca="false">(-1)^ID40*IE40</f>
        <v>-0</v>
      </c>
      <c r="IK40" s="1" t="n">
        <v>0</v>
      </c>
      <c r="IM40" s="1" t="n">
        <f aca="false">$AM40</f>
        <v>29</v>
      </c>
      <c r="IN40" s="1" t="n">
        <f aca="false">GD40</f>
        <v>0</v>
      </c>
      <c r="IO40" s="1" t="n">
        <f aca="false">IO$6*(1+IO$5*(-1)^$FQ40)*EXP(-$FQ40/IO$4)</f>
        <v>0.00554334325358705</v>
      </c>
      <c r="IP40" s="1" t="n">
        <f aca="false">(IN40-IO40)^2</f>
        <v>3.07286544270891E-005</v>
      </c>
      <c r="IQ40" s="1" t="n">
        <f aca="false">EXP($FQ40/$JG$4)*IN40</f>
        <v>0</v>
      </c>
      <c r="IR40" s="1" t="n">
        <f aca="false">EXP($FQ40/$JG$4)*(-1)^$FQ40*IN40</f>
        <v>-0</v>
      </c>
      <c r="IS40" s="1" t="n">
        <f aca="false">(-1)^IM40*IN40</f>
        <v>-0</v>
      </c>
      <c r="IT40" s="1" t="n">
        <v>0</v>
      </c>
      <c r="IV40" s="1" t="n">
        <f aca="false">$AM40</f>
        <v>29</v>
      </c>
      <c r="IW40" s="1" t="n">
        <f aca="false">GH40</f>
        <v>0</v>
      </c>
      <c r="IX40" s="1" t="n">
        <f aca="false">IX$6*(1+IX$5*(-1)^$FQ40)*EXP(-$FQ40/IX$4)</f>
        <v>0.0348711145510948</v>
      </c>
      <c r="IY40" s="1" t="n">
        <f aca="false">(IW40-IX40)^2</f>
        <v>0.00121599463003558</v>
      </c>
      <c r="IZ40" s="1" t="n">
        <f aca="false">EXP($FQ40/$JG$4)*IW40</f>
        <v>0</v>
      </c>
      <c r="JA40" s="1" t="n">
        <f aca="false">EXP($FQ40/$JG$4)*(-1)^$FQ40*IW40</f>
        <v>-0</v>
      </c>
      <c r="JB40" s="1" t="n">
        <f aca="false">(-1)^IV40*IW40</f>
        <v>-0</v>
      </c>
      <c r="JC40" s="1" t="n">
        <v>0.001495</v>
      </c>
      <c r="JE40" s="1" t="n">
        <f aca="false">$AM40</f>
        <v>29</v>
      </c>
      <c r="JF40" s="1" t="n">
        <f aca="false">GL40</f>
        <v>0</v>
      </c>
      <c r="JG40" s="1" t="n">
        <f aca="false">JG$6*(1+JG$5*(-1)^$FQ40)*EXP(-$FQ40/JG$4)</f>
        <v>0.00870322465001146</v>
      </c>
      <c r="JH40" s="1" t="n">
        <f aca="false">(JF40-JG40)^2</f>
        <v>7.57461193085671E-005</v>
      </c>
      <c r="JI40" s="1" t="n">
        <f aca="false">EXP($FQ40/$JG$4)*JF40</f>
        <v>0</v>
      </c>
      <c r="JJ40" s="1" t="n">
        <f aca="false">EXP($FQ40/$JG$4)*(-1)^$FQ40*JF40</f>
        <v>-0</v>
      </c>
      <c r="JK40" s="1" t="n">
        <f aca="false">(-1)^JE40*JF40</f>
        <v>-0</v>
      </c>
      <c r="JL40" s="1" t="n">
        <v>0.000582</v>
      </c>
      <c r="JO40" s="1" t="n">
        <f aca="false">$AM40</f>
        <v>29</v>
      </c>
      <c r="JP40" s="1" t="n">
        <f aca="false">GM40</f>
        <v>0</v>
      </c>
      <c r="JQ40" s="1" t="n">
        <f aca="false">JQ$6*(1+JQ$5*(-1)^$FQ40)*EXP(-$FQ40/JQ$4)</f>
        <v>0.269236736808156</v>
      </c>
      <c r="JR40" s="1" t="n">
        <f aca="false">(JP40-JQ40)^2</f>
        <v>0.0724884204471043</v>
      </c>
      <c r="JS40" s="1" t="n">
        <f aca="false">EXP($FQ40/$JG$4)*JP40</f>
        <v>0</v>
      </c>
      <c r="JT40" s="1" t="n">
        <f aca="false">EXP($FQ40/$JG$4)*(-1)^$FQ40*JP40</f>
        <v>-0</v>
      </c>
      <c r="JU40" s="1" t="n">
        <f aca="false">(-1)^JO40*JP40</f>
        <v>-0</v>
      </c>
    </row>
    <row r="41" customFormat="false" ht="16" hidden="false" customHeight="false" outlineLevel="0" collapsed="false">
      <c r="A41" s="1" t="n">
        <v>1</v>
      </c>
      <c r="B41" s="1" t="n">
        <v>1</v>
      </c>
      <c r="C41" s="1" t="n">
        <f aca="false">B41-A41</f>
        <v>0</v>
      </c>
      <c r="D41" s="1" t="n">
        <v>2</v>
      </c>
      <c r="E41" s="1" t="n">
        <v>2</v>
      </c>
      <c r="F41" s="1" t="n">
        <f aca="false">E41-D41</f>
        <v>0</v>
      </c>
      <c r="G41" s="1" t="n">
        <v>1</v>
      </c>
      <c r="H41" s="1" t="n">
        <v>1</v>
      </c>
      <c r="I41" s="1" t="n">
        <f aca="false">H41-G41</f>
        <v>0</v>
      </c>
      <c r="J41" s="1" t="n">
        <v>2</v>
      </c>
      <c r="K41" s="1" t="n">
        <v>4</v>
      </c>
      <c r="L41" s="1" t="n">
        <f aca="false">K41-J41</f>
        <v>2</v>
      </c>
      <c r="M41" s="1" t="n">
        <v>1</v>
      </c>
      <c r="N41" s="1" t="n">
        <v>1</v>
      </c>
      <c r="O41" s="1" t="n">
        <f aca="false">N41-M41</f>
        <v>0</v>
      </c>
      <c r="P41" s="1" t="n">
        <v>3</v>
      </c>
      <c r="Q41" s="1" t="n">
        <v>5</v>
      </c>
      <c r="R41" s="1" t="n">
        <f aca="false">Q41-P41</f>
        <v>2</v>
      </c>
      <c r="S41" s="1" t="n">
        <v>1</v>
      </c>
      <c r="T41" s="1" t="n">
        <v>2</v>
      </c>
      <c r="U41" s="1" t="n">
        <f aca="false">T41-S41</f>
        <v>1</v>
      </c>
      <c r="V41" s="1" t="n">
        <v>3</v>
      </c>
      <c r="W41" s="1" t="n">
        <v>3</v>
      </c>
      <c r="X41" s="1" t="n">
        <f aca="false">W41-V41</f>
        <v>0</v>
      </c>
      <c r="Y41" s="1" t="n">
        <v>8</v>
      </c>
      <c r="Z41" s="1" t="n">
        <v>8</v>
      </c>
      <c r="AA41" s="1" t="n">
        <f aca="false">Z41-Y41</f>
        <v>0</v>
      </c>
      <c r="AB41" s="1" t="n">
        <v>3</v>
      </c>
      <c r="AC41" s="1" t="n">
        <v>5</v>
      </c>
      <c r="AD41" s="1" t="n">
        <f aca="false">AC41-AB41</f>
        <v>2</v>
      </c>
      <c r="AE41" s="1" t="n">
        <v>4</v>
      </c>
      <c r="AF41" s="1" t="n">
        <v>4</v>
      </c>
      <c r="AG41" s="1" t="n">
        <f aca="false">AF41-AE41</f>
        <v>0</v>
      </c>
      <c r="AI41" s="1" t="s">
        <v>76</v>
      </c>
      <c r="AM41" s="1" t="n">
        <v>30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2</v>
      </c>
      <c r="BS41" s="1" t="n">
        <v>1</v>
      </c>
      <c r="BT41" s="1" t="n">
        <v>0</v>
      </c>
      <c r="BW41" s="1" t="n">
        <f aca="false">$AM41</f>
        <v>30</v>
      </c>
      <c r="BX41" s="1" t="n">
        <f aca="false">MAX(BX40-AN41/AN$9*100,0)</f>
        <v>0</v>
      </c>
      <c r="BY41" s="1" t="n">
        <f aca="false">MAX(BY40-AO41/AO$9*100,0)</f>
        <v>0</v>
      </c>
      <c r="BZ41" s="1" t="n">
        <f aca="false">MAX(BZ40-AQ41/AQ$9*100,0)</f>
        <v>0</v>
      </c>
      <c r="CA41" s="1" t="n">
        <f aca="false">MAX(CA40-AR41/AR$9*100,0)</f>
        <v>0</v>
      </c>
      <c r="CB41" s="1" t="n">
        <f aca="false">CB$7*EXP(-$AM41/CB$8)</f>
        <v>2.50947027696461E-015</v>
      </c>
      <c r="CC41" s="1" t="n">
        <f aca="false">(BZ41-CB41)^2</f>
        <v>6.29744107096884E-030</v>
      </c>
      <c r="CD41" s="1" t="n">
        <f aca="false">MAX(CD40-AT41/AT$9*100,0)</f>
        <v>0</v>
      </c>
      <c r="CE41" s="1" t="n">
        <f aca="false">MAX(CE40-AU41/AU$9*100,0)</f>
        <v>5.32907051820075E-015</v>
      </c>
      <c r="CF41" s="1" t="n">
        <f aca="false">CF$7*EXP(-$AM41/CF$8)</f>
        <v>6.72900375724264E-015</v>
      </c>
      <c r="CG41" s="1" t="n">
        <f aca="false">(CD41-CF41)^2</f>
        <v>4.52794915649856E-029</v>
      </c>
      <c r="CH41" s="1" t="n">
        <f aca="false">$AM41</f>
        <v>30</v>
      </c>
      <c r="CI41" s="1" t="n">
        <f aca="false">MAX(CI40-AW41/AW$9*100,0)</f>
        <v>0</v>
      </c>
      <c r="CJ41" s="1" t="n">
        <f aca="false">MAX(CJ40-AX41/AX$9*100,0)</f>
        <v>0</v>
      </c>
      <c r="CK41" s="1" t="n">
        <f aca="false">CK$7*EXP(-$AM41/CK$8)</f>
        <v>1.30215911728133E-009</v>
      </c>
      <c r="CL41" s="1" t="n">
        <f aca="false">(CI41-CK41)^2</f>
        <v>1.69561836671889E-018</v>
      </c>
      <c r="CM41" s="1" t="n">
        <f aca="false">MAX(CM40-AZ41/AZ$9*100,0)</f>
        <v>0</v>
      </c>
      <c r="CN41" s="1" t="n">
        <f aca="false">MAX(CN40-BA41/BA$9*100,0)</f>
        <v>5.32907051820075E-015</v>
      </c>
      <c r="CO41" s="1" t="n">
        <f aca="false">CO$7*EXP(-$AM41/CO$8)</f>
        <v>7.24417480050912E-005</v>
      </c>
      <c r="CP41" s="1" t="n">
        <f aca="false">(CM41-CO41)^2</f>
        <v>5.24780685403313E-009</v>
      </c>
      <c r="CQ41" s="1" t="n">
        <f aca="false">$AM41</f>
        <v>30</v>
      </c>
      <c r="CR41" s="1" t="n">
        <f aca="false">MAX(CR40-BC41/BC$9*100,0)</f>
        <v>0</v>
      </c>
      <c r="CS41" s="1" t="n">
        <f aca="false">MAX(CS40-BD41/BD$9*100,0)</f>
        <v>0</v>
      </c>
      <c r="CT41" s="1" t="n">
        <f aca="false">CT$7*EXP(-$AM41/CT$8)</f>
        <v>8.09827583894133E-009</v>
      </c>
      <c r="CU41" s="1" t="n">
        <f aca="false">(CR41-CT41)^2</f>
        <v>6.55820715635809E-017</v>
      </c>
      <c r="CV41" s="1" t="n">
        <f aca="false">MAX(CV40-BF41/BF$9*100,0)</f>
        <v>8.88178419700125E-015</v>
      </c>
      <c r="CW41" s="1" t="n">
        <f aca="false">MAX(CW40-BG41/BG$9*100,0)</f>
        <v>5.32907051820075E-015</v>
      </c>
      <c r="CX41" s="1" t="n">
        <f aca="false">CX$7*EXP(-$AM41/CX$8)</f>
        <v>0.000557024119535218</v>
      </c>
      <c r="CY41" s="1" t="n">
        <f aca="false">(CV41-CX41)^2</f>
        <v>3.1027586973409E-007</v>
      </c>
      <c r="CZ41" s="1" t="n">
        <f aca="false">$AM41</f>
        <v>30</v>
      </c>
      <c r="DA41" s="1" t="n">
        <f aca="false">MAX(DA40-BI41/BI$9*100,0)</f>
        <v>0</v>
      </c>
      <c r="DB41" s="1" t="n">
        <f aca="false">MAX(DB40-BJ41/BJ$9*100,0)</f>
        <v>9.88098491916389E-015</v>
      </c>
      <c r="DC41" s="1" t="n">
        <f aca="false">DC$7*EXP(-$AM41/DC$8)</f>
        <v>4.94335544356009E-008</v>
      </c>
      <c r="DD41" s="1" t="n">
        <f aca="false">(DA41-DC41)^2</f>
        <v>2.44367630413752E-015</v>
      </c>
      <c r="DE41" s="1" t="n">
        <f aca="false">MAX(DE40-BL41/BL$9*100,0)</f>
        <v>0.636942675159231</v>
      </c>
      <c r="DF41" s="1" t="n">
        <f aca="false">MAX(DF40-BM41/BM$9*100,0)</f>
        <v>1.27388535031846</v>
      </c>
      <c r="DG41" s="1" t="n">
        <f aca="false">DG$7*EXP(-$AM41/DG$8)</f>
        <v>0.066646666602814</v>
      </c>
      <c r="DH41" s="1" t="n">
        <f aca="false">(DE41-DG41)^2</f>
        <v>0.325237537375381</v>
      </c>
      <c r="DI41" s="1" t="n">
        <f aca="false">$AM41</f>
        <v>30</v>
      </c>
      <c r="DJ41" s="1" t="n">
        <f aca="false">MAX(DJ40-BO41/BO$9*100,0)</f>
        <v>0</v>
      </c>
      <c r="DK41" s="1" t="n">
        <f aca="false">MAX(DK40-BP41/BP$9*100,0)</f>
        <v>9.99200722162641E-015</v>
      </c>
      <c r="DL41" s="1" t="n">
        <f aca="false">DL$7*EXP(-$AM41/DL$8)</f>
        <v>1.52384672277648E-006</v>
      </c>
      <c r="DM41" s="1" t="n">
        <f aca="false">(DJ41-DL41)^2</f>
        <v>2.32210883451662E-012</v>
      </c>
      <c r="DN41" s="1" t="n">
        <f aca="false">MAX(DN40-BR41/BR$9*100,0)</f>
        <v>0.502512562814072</v>
      </c>
      <c r="DO41" s="1" t="n">
        <f aca="false">MAX(DO40-BS41/BS$9*100,0)</f>
        <v>2.01005025125628</v>
      </c>
      <c r="DP41" s="1" t="n">
        <f aca="false">DP$7*EXP(-$AM41/DP$8)</f>
        <v>0.0248583261884923</v>
      </c>
      <c r="DQ41" s="1" t="n">
        <f aca="false">(DN41-DP41)^2</f>
        <v>0.228153569766365</v>
      </c>
      <c r="DS41" s="1" t="n">
        <f aca="false">$AM41</f>
        <v>30</v>
      </c>
      <c r="DT41" s="1" t="n">
        <f aca="false">CA41</f>
        <v>0</v>
      </c>
      <c r="DU41" s="1" t="n">
        <f aca="false">DU$7*EXP(-DS41/DU$8)</f>
        <v>6.03114131232825E-012</v>
      </c>
      <c r="DV41" s="1" t="n">
        <f aca="false">(DT41-DU41)^2</f>
        <v>3.63746655292725E-023</v>
      </c>
      <c r="DX41" s="1" t="n">
        <f aca="false">$AM41</f>
        <v>30</v>
      </c>
      <c r="DY41" s="1" t="n">
        <f aca="false">CM41</f>
        <v>0</v>
      </c>
      <c r="DZ41" s="1" t="n">
        <f aca="false">DZ$7*EXP(-DX41/DZ$8)</f>
        <v>7.5698481418139E-006</v>
      </c>
      <c r="EA41" s="1" t="n">
        <f aca="false">(DY41-DZ41)^2</f>
        <v>5.73026008901234E-011</v>
      </c>
      <c r="EC41" s="1" t="n">
        <f aca="false">$AM41</f>
        <v>30</v>
      </c>
      <c r="ED41" s="1" t="n">
        <f aca="false">CV41</f>
        <v>8.88178419700125E-015</v>
      </c>
      <c r="EE41" s="1" t="n">
        <f aca="false">EE$7*EXP(-EC41/EE$8)</f>
        <v>0.000290295954207737</v>
      </c>
      <c r="EF41" s="1" t="n">
        <f aca="false">(ED41-EE41)^2</f>
        <v>8.42717410242239E-008</v>
      </c>
      <c r="EH41" s="1" t="n">
        <f aca="false">$AM41</f>
        <v>30</v>
      </c>
      <c r="EI41" s="1" t="n">
        <f aca="false">DE41</f>
        <v>0.636942675159231</v>
      </c>
      <c r="EJ41" s="1" t="n">
        <f aca="false">EJ$7*EXP(-EH41/EJ$8)</f>
        <v>0.06637012441774</v>
      </c>
      <c r="EK41" s="1" t="n">
        <f aca="false">(EI41-EJ41)^2</f>
        <v>0.325553035659652</v>
      </c>
      <c r="EM41" s="1" t="n">
        <f aca="false">AM41</f>
        <v>30</v>
      </c>
      <c r="EN41" s="1" t="n">
        <f aca="false">DN41</f>
        <v>0.502512562814072</v>
      </c>
      <c r="EO41" s="1" t="n">
        <f aca="false">EO$7*EXP(-EM41/EO$8)</f>
        <v>0.0323323714224758</v>
      </c>
      <c r="EP41" s="1" t="n">
        <f aca="false">(EN41-EO41)^2</f>
        <v>0.221069412377038</v>
      </c>
      <c r="ER41" s="1" t="n">
        <f aca="false">$AM41</f>
        <v>30</v>
      </c>
      <c r="ES41" s="1" t="n">
        <f aca="false">BZ41</f>
        <v>0</v>
      </c>
      <c r="ET41" s="1" t="n">
        <f aca="false">ET$7*EXP(-ER41/ET$8)</f>
        <v>5.64850970010677E-014</v>
      </c>
      <c r="EU41" s="1" t="n">
        <f aca="false">(ES41-ET41)^2</f>
        <v>3.19056618322003E-027</v>
      </c>
      <c r="EW41" s="1" t="n">
        <f aca="false">$AM41</f>
        <v>30</v>
      </c>
      <c r="EX41" s="1" t="n">
        <f aca="false">CI41</f>
        <v>0</v>
      </c>
      <c r="EY41" s="1" t="n">
        <f aca="false">EY$7*EXP(-EW41/EY$8)</f>
        <v>1.1796837091334E-012</v>
      </c>
      <c r="EZ41" s="1" t="n">
        <f aca="false">(EX41-EY41)^2</f>
        <v>1.39165365359474E-024</v>
      </c>
      <c r="FB41" s="1" t="n">
        <f aca="false">$AM41</f>
        <v>30</v>
      </c>
      <c r="FC41" s="1" t="n">
        <f aca="false">CR41</f>
        <v>0</v>
      </c>
      <c r="FD41" s="1" t="n">
        <f aca="false">FD$7*EXP(-FB41/FD$8)</f>
        <v>6.95034293689872E-011</v>
      </c>
      <c r="FE41" s="1" t="n">
        <f aca="false">(FC41-FD41)^2</f>
        <v>4.83072669404979E-021</v>
      </c>
      <c r="FG41" s="1" t="n">
        <f aca="false">$AM41</f>
        <v>30</v>
      </c>
      <c r="FH41" s="1" t="n">
        <f aca="false">DA41</f>
        <v>0</v>
      </c>
      <c r="FI41" s="1" t="n">
        <f aca="false">FI$7*EXP(-FG41/FI$8)</f>
        <v>3.17600488317571E-009</v>
      </c>
      <c r="FJ41" s="1" t="n">
        <f aca="false">(FH41-FI41)^2</f>
        <v>1.0087007017956E-017</v>
      </c>
      <c r="FL41" s="1" t="n">
        <f aca="false">EM41</f>
        <v>30</v>
      </c>
      <c r="FM41" s="1" t="n">
        <f aca="false">DJ41</f>
        <v>0</v>
      </c>
      <c r="FN41" s="1" t="n">
        <f aca="false">FN$7*EXP(-FL41/FN$8)</f>
        <v>3.50396115814555E-007</v>
      </c>
      <c r="FO41" s="1" t="n">
        <f aca="false">(FM41-FN41)^2</f>
        <v>1.22777437977927E-013</v>
      </c>
      <c r="FQ41" s="1" t="n">
        <f aca="false">AM41</f>
        <v>30</v>
      </c>
      <c r="FR41" s="1" t="n">
        <f aca="false">AN41/AN$9*100</f>
        <v>0</v>
      </c>
      <c r="FS41" s="1" t="n">
        <f aca="false">AO41/AO$9*100</f>
        <v>0</v>
      </c>
      <c r="FT41" s="1" t="n">
        <f aca="false">AQ41/AQ$9*100</f>
        <v>0</v>
      </c>
      <c r="FU41" s="1" t="n">
        <f aca="false">AR41/AR$9*100</f>
        <v>0</v>
      </c>
      <c r="FV41" s="1" t="n">
        <f aca="false">AT41/AT$9*100</f>
        <v>0</v>
      </c>
      <c r="FW41" s="1" t="n">
        <f aca="false">AU41/AU$9*100</f>
        <v>0</v>
      </c>
      <c r="FX41" s="1" t="n">
        <f aca="false">AW41/AW$9*100</f>
        <v>0</v>
      </c>
      <c r="FY41" s="1" t="n">
        <f aca="false">AX41/AX$9*100</f>
        <v>0</v>
      </c>
      <c r="FZ41" s="1" t="n">
        <f aca="false">AZ41/AZ$9*100</f>
        <v>0</v>
      </c>
      <c r="GA41" s="1" t="n">
        <f aca="false">BA41/BA$9*100</f>
        <v>0</v>
      </c>
      <c r="GB41" s="1" t="n">
        <f aca="false">BC41/BC$9*100</f>
        <v>0</v>
      </c>
      <c r="GC41" s="1" t="n">
        <f aca="false">BD41/BD$9*100</f>
        <v>0</v>
      </c>
      <c r="GD41" s="1" t="n">
        <f aca="false">BF41/BF$9*100</f>
        <v>0</v>
      </c>
      <c r="GE41" s="1" t="n">
        <f aca="false">BG41/BG$9*100</f>
        <v>0</v>
      </c>
      <c r="GF41" s="1" t="n">
        <f aca="false">BI41/BI$9*100</f>
        <v>0</v>
      </c>
      <c r="GG41" s="1" t="n">
        <f aca="false">BJ41/BJ$9*100</f>
        <v>0</v>
      </c>
      <c r="GH41" s="1" t="n">
        <f aca="false">BL41/BL$9*100</f>
        <v>0</v>
      </c>
      <c r="GI41" s="1" t="n">
        <f aca="false">BM41/BM$9*100</f>
        <v>0</v>
      </c>
      <c r="GJ41" s="1" t="n">
        <f aca="false">BO41/BO$9*100</f>
        <v>0</v>
      </c>
      <c r="GK41" s="1" t="n">
        <f aca="false">BP41/BP$9*100</f>
        <v>0</v>
      </c>
      <c r="GL41" s="1" t="n">
        <f aca="false">BR41/BR$9*100</f>
        <v>1.00502512562814</v>
      </c>
      <c r="GM41" s="1" t="n">
        <f aca="false">BS41/BS$9*100</f>
        <v>0.50251256281407</v>
      </c>
      <c r="GO41" s="1" t="n">
        <f aca="false">$AM41</f>
        <v>30</v>
      </c>
      <c r="GP41" s="1" t="n">
        <f aca="false">FT41</f>
        <v>0</v>
      </c>
      <c r="GQ41" s="1" t="n">
        <f aca="false">GQ$6*(1+GQ$5*(-1)^$FQ41)*EXP(-$FQ41/GQ$4)</f>
        <v>2.76589851459935E-008</v>
      </c>
      <c r="GR41" s="1" t="n">
        <f aca="false">(GP41-GQ41)^2</f>
        <v>7.65019459306289E-016</v>
      </c>
      <c r="GS41" s="1" t="n">
        <f aca="false">EXP($FQ41/$JG$4)*GP41</f>
        <v>0</v>
      </c>
      <c r="GT41" s="1" t="n">
        <f aca="false">EXP($FQ41/$JG$4)*(-1)^$FQ41*GP41</f>
        <v>0</v>
      </c>
      <c r="GU41" s="1" t="n">
        <f aca="false">(-1)^GO41*GP41</f>
        <v>0</v>
      </c>
      <c r="GW41" s="1" t="n">
        <f aca="false">$AM41</f>
        <v>30</v>
      </c>
      <c r="GX41" s="1" t="n">
        <f aca="false">FX41</f>
        <v>0</v>
      </c>
      <c r="GY41" s="1" t="n">
        <f aca="false">GY$6*(1+GY$5*(-1)^$FQ41)*EXP(-$FQ41/GY$4)</f>
        <v>2.76589851459935E-008</v>
      </c>
      <c r="GZ41" s="1" t="n">
        <f aca="false">(GX41-GY41)^2</f>
        <v>7.65019459306289E-016</v>
      </c>
      <c r="HA41" s="1" t="n">
        <f aca="false">EXP($FQ41/$JG$4)*GX41</f>
        <v>0</v>
      </c>
      <c r="HB41" s="1" t="n">
        <f aca="false">EXP($FQ41/$JG$4)*(-1)^$FQ41*GX41</f>
        <v>0</v>
      </c>
      <c r="HC41" s="1" t="n">
        <f aca="false">(-1)^GW41*GX41</f>
        <v>0</v>
      </c>
      <c r="HE41" s="1" t="n">
        <f aca="false">$AM41</f>
        <v>30</v>
      </c>
      <c r="HF41" s="1" t="n">
        <f aca="false">GB41</f>
        <v>0</v>
      </c>
      <c r="HG41" s="1" t="n">
        <f aca="false">HG$6*(1+HG$5*(-1)^$FQ41)*EXP(-$FQ41/HG$4)</f>
        <v>2.76589851459935E-008</v>
      </c>
      <c r="HH41" s="1" t="n">
        <f aca="false">(HF41-HG41)^2</f>
        <v>7.65019459306289E-016</v>
      </c>
      <c r="HI41" s="1" t="n">
        <f aca="false">EXP($FQ41/$JG$4)*HF41</f>
        <v>0</v>
      </c>
      <c r="HJ41" s="1" t="n">
        <f aca="false">EXP($FQ41/$JG$4)*(-1)^$FQ41*HF41</f>
        <v>0</v>
      </c>
      <c r="HK41" s="1" t="n">
        <f aca="false">(-1)^HE41*HF41</f>
        <v>0</v>
      </c>
      <c r="HM41" s="1" t="n">
        <f aca="false">$AM41</f>
        <v>30</v>
      </c>
      <c r="HN41" s="1" t="n">
        <f aca="false">GF41</f>
        <v>0</v>
      </c>
      <c r="HO41" s="1" t="n">
        <f aca="false">HO$6*(1+HO$5*(-1)^$FQ41)*EXP(-$FQ41/HO$4)</f>
        <v>2.60825943184477E-006</v>
      </c>
      <c r="HP41" s="1" t="n">
        <f aca="false">(HN41-HO41)^2</f>
        <v>6.8030172638072E-012</v>
      </c>
      <c r="HQ41" s="1" t="n">
        <f aca="false">EXP($FQ41/$JG$4)*HN41</f>
        <v>0</v>
      </c>
      <c r="HR41" s="1" t="n">
        <f aca="false">EXP($FQ41/$JG$4)*(-1)^$FQ41*HN41</f>
        <v>0</v>
      </c>
      <c r="HS41" s="1" t="n">
        <f aca="false">(-1)^HM41*HN41</f>
        <v>0</v>
      </c>
      <c r="HU41" s="1" t="n">
        <f aca="false">$AM41</f>
        <v>30</v>
      </c>
      <c r="HV41" s="1" t="n">
        <f aca="false">GJ41</f>
        <v>0</v>
      </c>
      <c r="HW41" s="1" t="n">
        <f aca="false">HW$6*(1+HW$5*(-1)^$FQ41)*EXP(-$FQ41/HW$4)</f>
        <v>0.000160946165513202</v>
      </c>
      <c r="HX41" s="1" t="n">
        <f aca="false">(HV41-HW41)^2</f>
        <v>2.5903668193403E-008</v>
      </c>
      <c r="HY41" s="1" t="n">
        <f aca="false">EXP($FQ41/$JG$4)*HV41</f>
        <v>0</v>
      </c>
      <c r="HZ41" s="1" t="n">
        <f aca="false">EXP($FQ41/$JG$4)*(-1)^$FQ41*HV41</f>
        <v>0</v>
      </c>
      <c r="IA41" s="1" t="n">
        <f aca="false">(-1)^HU41*HV41</f>
        <v>0</v>
      </c>
      <c r="IB41" s="1" t="n">
        <v>0</v>
      </c>
      <c r="ID41" s="1" t="n">
        <f aca="false">$AM41</f>
        <v>30</v>
      </c>
      <c r="IE41" s="1" t="n">
        <f aca="false">FZ41</f>
        <v>0</v>
      </c>
      <c r="IF41" s="1" t="n">
        <f aca="false">IF$6*(1+IF$5*(-1)^$FQ41)*EXP(-$FQ41/IF$4)</f>
        <v>0.00250309854598592</v>
      </c>
      <c r="IG41" s="1" t="n">
        <f aca="false">(IE41-IF41)^2</f>
        <v>6.26550233091683E-006</v>
      </c>
      <c r="IH41" s="1" t="n">
        <f aca="false">EXP($FQ41/$JG$4)*IE41</f>
        <v>0</v>
      </c>
      <c r="II41" s="1" t="n">
        <f aca="false">EXP($FQ41/$JG$4)*(-1)^$FQ41*IE41</f>
        <v>0</v>
      </c>
      <c r="IJ41" s="1" t="n">
        <f aca="false">(-1)^ID41*IE41</f>
        <v>0</v>
      </c>
      <c r="IK41" s="1" t="n">
        <v>0</v>
      </c>
      <c r="IM41" s="1" t="n">
        <f aca="false">$AM41</f>
        <v>30</v>
      </c>
      <c r="IN41" s="1" t="n">
        <f aca="false">GD41</f>
        <v>0</v>
      </c>
      <c r="IO41" s="1" t="n">
        <f aca="false">IO$6*(1+IO$5*(-1)^$FQ41)*EXP(-$FQ41/IO$4)</f>
        <v>0.00905873701337471</v>
      </c>
      <c r="IP41" s="1" t="n">
        <f aca="false">(IN41-IO41)^2</f>
        <v>8.2060716277485E-005</v>
      </c>
      <c r="IQ41" s="1" t="n">
        <f aca="false">EXP($FQ41/$JG$4)*IN41</f>
        <v>0</v>
      </c>
      <c r="IR41" s="1" t="n">
        <f aca="false">EXP($FQ41/$JG$4)*(-1)^$FQ41*IN41</f>
        <v>0</v>
      </c>
      <c r="IS41" s="1" t="n">
        <f aca="false">(-1)^IM41*IN41</f>
        <v>0</v>
      </c>
      <c r="IT41" s="1" t="n">
        <v>0</v>
      </c>
      <c r="IV41" s="1" t="n">
        <f aca="false">$AM41</f>
        <v>30</v>
      </c>
      <c r="IW41" s="1" t="n">
        <f aca="false">GH41</f>
        <v>0</v>
      </c>
      <c r="IX41" s="1" t="n">
        <f aca="false">IX$6*(1+IX$5*(-1)^$FQ41)*EXP(-$FQ41/IX$4)</f>
        <v>0.111573466513305</v>
      </c>
      <c r="IY41" s="1" t="n">
        <f aca="false">(IW41-IX41)^2</f>
        <v>0.0124486384297956</v>
      </c>
      <c r="IZ41" s="1" t="n">
        <f aca="false">EXP($FQ41/$JG$4)*IW41</f>
        <v>0</v>
      </c>
      <c r="JA41" s="1" t="n">
        <f aca="false">EXP($FQ41/$JG$4)*(-1)^$FQ41*IW41</f>
        <v>0</v>
      </c>
      <c r="JB41" s="1" t="n">
        <f aca="false">(-1)^IV41*IW41</f>
        <v>0</v>
      </c>
      <c r="JC41" s="1" t="n">
        <v>0.001495</v>
      </c>
      <c r="JE41" s="1" t="n">
        <f aca="false">$AM41</f>
        <v>30</v>
      </c>
      <c r="JF41" s="1" t="n">
        <f aca="false">GL41</f>
        <v>1.00502512562814</v>
      </c>
      <c r="JG41" s="1" t="n">
        <f aca="false">JG$6*(1+JG$5*(-1)^$FQ41)*EXP(-$FQ41/JG$4)</f>
        <v>0.0451089923249015</v>
      </c>
      <c r="JH41" s="1" t="n">
        <f aca="false">(JF41-JG41)^2</f>
        <v>0.921438982975842</v>
      </c>
      <c r="JI41" s="1" t="n">
        <f aca="false">EXP($FQ41/$JG$4)*JF41</f>
        <v>1112.49257094524</v>
      </c>
      <c r="JJ41" s="1" t="n">
        <f aca="false">EXP($FQ41/$JG$4)*(-1)^$FQ41*JF41</f>
        <v>1112.49257094524</v>
      </c>
      <c r="JK41" s="1" t="n">
        <f aca="false">(-1)^JE41*JF41</f>
        <v>1.00502512562814</v>
      </c>
      <c r="JL41" s="1" t="n">
        <v>0.000291</v>
      </c>
      <c r="JO41" s="1" t="n">
        <f aca="false">$AM41</f>
        <v>30</v>
      </c>
      <c r="JP41" s="1" t="n">
        <f aca="false">GM41</f>
        <v>0.50251256281407</v>
      </c>
      <c r="JQ41" s="1" t="n">
        <f aca="false">JQ$6*(1+JQ$5*(-1)^$FQ41)*EXP(-$FQ41/JQ$4)</f>
        <v>1.30481837217588</v>
      </c>
      <c r="JR41" s="1" t="n">
        <f aca="false">(JP41-JQ41)^2</f>
        <v>0.643694611735708</v>
      </c>
      <c r="JS41" s="1" t="n">
        <f aca="false">EXP($FQ41/$JG$4)*JP41</f>
        <v>556.24628547262</v>
      </c>
      <c r="JT41" s="1" t="n">
        <f aca="false">EXP($FQ41/$JG$4)*(-1)^$FQ41*JP41</f>
        <v>556.24628547262</v>
      </c>
      <c r="JU41" s="1" t="n">
        <f aca="false">(-1)^JO41*JP41</f>
        <v>0.50251256281407</v>
      </c>
    </row>
    <row r="42" customFormat="false" ht="16" hidden="false" customHeight="false" outlineLevel="0" collapsed="false">
      <c r="A42" s="1" t="n">
        <v>2</v>
      </c>
      <c r="B42" s="1" t="n">
        <v>2</v>
      </c>
      <c r="C42" s="1" t="n">
        <f aca="false">B42-A42</f>
        <v>0</v>
      </c>
      <c r="D42" s="1" t="n">
        <v>3</v>
      </c>
      <c r="E42" s="1" t="n">
        <v>3</v>
      </c>
      <c r="F42" s="1" t="n">
        <f aca="false">E42-D42</f>
        <v>0</v>
      </c>
      <c r="G42" s="1" t="n">
        <v>2</v>
      </c>
      <c r="H42" s="1" t="n">
        <v>2</v>
      </c>
      <c r="I42" s="1" t="n">
        <f aca="false">H42-G42</f>
        <v>0</v>
      </c>
      <c r="J42" s="1" t="n">
        <v>2</v>
      </c>
      <c r="K42" s="1" t="n">
        <v>3</v>
      </c>
      <c r="L42" s="1" t="n">
        <f aca="false">K42-J42</f>
        <v>1</v>
      </c>
      <c r="M42" s="1" t="n">
        <v>2</v>
      </c>
      <c r="N42" s="1" t="n">
        <v>2</v>
      </c>
      <c r="O42" s="1" t="n">
        <f aca="false">N42-M42</f>
        <v>0</v>
      </c>
      <c r="P42" s="1" t="n">
        <v>6</v>
      </c>
      <c r="Q42" s="1" t="n">
        <v>6</v>
      </c>
      <c r="R42" s="1" t="n">
        <f aca="false">Q42-P42</f>
        <v>0</v>
      </c>
      <c r="S42" s="1" t="n">
        <v>4</v>
      </c>
      <c r="T42" s="1" t="n">
        <v>6</v>
      </c>
      <c r="U42" s="1" t="n">
        <f aca="false">T42-S42</f>
        <v>2</v>
      </c>
      <c r="V42" s="1" t="n">
        <v>2</v>
      </c>
      <c r="W42" s="1" t="n">
        <v>3</v>
      </c>
      <c r="X42" s="1" t="n">
        <f aca="false">W42-V42</f>
        <v>1</v>
      </c>
      <c r="Y42" s="1" t="n">
        <v>5</v>
      </c>
      <c r="Z42" s="1" t="n">
        <v>10</v>
      </c>
      <c r="AA42" s="1" t="n">
        <f aca="false">Z42-Y42</f>
        <v>5</v>
      </c>
      <c r="AB42" s="1" t="n">
        <v>1</v>
      </c>
      <c r="AC42" s="1" t="n">
        <v>3</v>
      </c>
      <c r="AD42" s="1" t="n">
        <f aca="false">AC42-AB42</f>
        <v>2</v>
      </c>
      <c r="AE42" s="1" t="n">
        <v>4</v>
      </c>
      <c r="AF42" s="1" t="n">
        <v>8</v>
      </c>
      <c r="AG42" s="1" t="n">
        <f aca="false">AF42-AE42</f>
        <v>4</v>
      </c>
      <c r="AI42" s="1" t="s">
        <v>41</v>
      </c>
      <c r="AJ42" s="1" t="n">
        <f aca="false">COUNTIFS(Z$2:Z$1000,2,Y$2:Y$1000,2)</f>
        <v>7</v>
      </c>
      <c r="AM42" s="1" t="n">
        <v>31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W42" s="1" t="n">
        <f aca="false">$AM42</f>
        <v>31</v>
      </c>
      <c r="BX42" s="1" t="n">
        <f aca="false">MAX(BX41-AN42/AN$9*100,0)</f>
        <v>0</v>
      </c>
      <c r="BY42" s="1" t="n">
        <f aca="false">MAX(BY41-AO42/AO$9*100,0)</f>
        <v>0</v>
      </c>
      <c r="BZ42" s="1" t="n">
        <f aca="false">MAX(BZ41-AQ42/AQ$9*100,0)</f>
        <v>0</v>
      </c>
      <c r="CA42" s="1" t="n">
        <f aca="false">MAX(CA41-AR42/AR$9*100,0)</f>
        <v>0</v>
      </c>
      <c r="CB42" s="1" t="n">
        <f aca="false">CB$7*EXP(-$AM42/CB$8)</f>
        <v>6.84799206515742E-016</v>
      </c>
      <c r="CC42" s="1" t="n">
        <f aca="false">(BZ42-CB42)^2</f>
        <v>4.6894995324459E-031</v>
      </c>
      <c r="CD42" s="1" t="n">
        <f aca="false">MAX(CD41-AT42/AT$9*100,0)</f>
        <v>0</v>
      </c>
      <c r="CE42" s="1" t="n">
        <f aca="false">MAX(CE41-AU42/AU$9*100,0)</f>
        <v>5.32907051820075E-015</v>
      </c>
      <c r="CF42" s="1" t="n">
        <f aca="false">CF$7*EXP(-$AM42/CF$8)</f>
        <v>1.89762730275194E-015</v>
      </c>
      <c r="CG42" s="1" t="n">
        <f aca="false">(CD42-CF42)^2</f>
        <v>3.6009893801496E-030</v>
      </c>
      <c r="CH42" s="1" t="n">
        <f aca="false">$AM42</f>
        <v>31</v>
      </c>
      <c r="CI42" s="1" t="n">
        <f aca="false">MAX(CI41-AW42/AW$9*100,0)</f>
        <v>0</v>
      </c>
      <c r="CJ42" s="1" t="n">
        <f aca="false">MAX(CJ41-AX42/AX$9*100,0)</f>
        <v>0</v>
      </c>
      <c r="CK42" s="1" t="n">
        <f aca="false">CK$7*EXP(-$AM42/CK$8)</f>
        <v>5.53952072069058E-010</v>
      </c>
      <c r="CL42" s="1" t="n">
        <f aca="false">(CI42-CK42)^2</f>
        <v>3.06862898149603E-019</v>
      </c>
      <c r="CM42" s="1" t="n">
        <f aca="false">MAX(CM41-AZ42/AZ$9*100,0)</f>
        <v>0</v>
      </c>
      <c r="CN42" s="1" t="n">
        <f aca="false">MAX(CN41-BA42/BA$9*100,0)</f>
        <v>5.32907051820075E-015</v>
      </c>
      <c r="CO42" s="1" t="n">
        <f aca="false">CO$7*EXP(-$AM42/CO$8)</f>
        <v>4.47912824510442E-005</v>
      </c>
      <c r="CP42" s="1" t="n">
        <f aca="false">(CM42-CO42)^2</f>
        <v>2.00625898360922E-009</v>
      </c>
      <c r="CQ42" s="1" t="n">
        <f aca="false">$AM42</f>
        <v>31</v>
      </c>
      <c r="CR42" s="1" t="n">
        <f aca="false">MAX(CR41-BC42/BC$9*100,0)</f>
        <v>0</v>
      </c>
      <c r="CS42" s="1" t="n">
        <f aca="false">MAX(CS41-BD42/BD$9*100,0)</f>
        <v>0</v>
      </c>
      <c r="CT42" s="1" t="n">
        <f aca="false">CT$7*EXP(-$AM42/CT$8)</f>
        <v>3.68492290760761E-009</v>
      </c>
      <c r="CU42" s="1" t="n">
        <f aca="false">(CR42-CT42)^2</f>
        <v>1.35786568350113E-017</v>
      </c>
      <c r="CV42" s="1" t="n">
        <f aca="false">MAX(CV41-BF42/BF$9*100,0)</f>
        <v>8.88178419700125E-015</v>
      </c>
      <c r="CW42" s="1" t="n">
        <f aca="false">MAX(CW41-BG42/BG$9*100,0)</f>
        <v>5.32907051820075E-015</v>
      </c>
      <c r="CX42" s="1" t="n">
        <f aca="false">CX$7*EXP(-$AM42/CX$8)</f>
        <v>0.000368479618622736</v>
      </c>
      <c r="CY42" s="1" t="n">
        <f aca="false">(CV42-CX42)^2</f>
        <v>1.35777229333811E-007</v>
      </c>
      <c r="CZ42" s="1" t="n">
        <f aca="false">$AM42</f>
        <v>31</v>
      </c>
      <c r="DA42" s="1" t="n">
        <f aca="false">MAX(DA41-BI42/BI$9*100,0)</f>
        <v>0</v>
      </c>
      <c r="DB42" s="1" t="n">
        <f aca="false">MAX(DB41-BJ42/BJ$9*100,0)</f>
        <v>9.88098491916389E-015</v>
      </c>
      <c r="DC42" s="1" t="n">
        <f aca="false">DC$7*EXP(-$AM42/DC$8)</f>
        <v>2.38242132248301E-008</v>
      </c>
      <c r="DD42" s="1" t="n">
        <f aca="false">(DA42-DC42)^2</f>
        <v>5.67593135782169E-016</v>
      </c>
      <c r="DE42" s="1" t="n">
        <f aca="false">MAX(DE41-BL42/BL$9*100,0)</f>
        <v>0.636942675159231</v>
      </c>
      <c r="DF42" s="1" t="n">
        <f aca="false">MAX(DF41-BM42/BM$9*100,0)</f>
        <v>1.27388535031846</v>
      </c>
      <c r="DG42" s="1" t="n">
        <f aca="false">DG$7*EXP(-$AM42/DG$8)</f>
        <v>0.0519044761393703</v>
      </c>
      <c r="DH42" s="1" t="n">
        <f aca="false">(DE42-DG42)^2</f>
        <v>0.342269694312402</v>
      </c>
      <c r="DI42" s="1" t="n">
        <f aca="false">$AM42</f>
        <v>31</v>
      </c>
      <c r="DJ42" s="1" t="n">
        <f aca="false">MAX(DJ41-BO42/BO$9*100,0)</f>
        <v>0</v>
      </c>
      <c r="DK42" s="1" t="n">
        <f aca="false">MAX(DK41-BP42/BP$9*100,0)</f>
        <v>9.99200722162641E-015</v>
      </c>
      <c r="DL42" s="1" t="n">
        <f aca="false">DL$7*EXP(-$AM42/DL$8)</f>
        <v>8.25093095556533E-007</v>
      </c>
      <c r="DM42" s="1" t="n">
        <f aca="false">(DJ42-DL42)^2</f>
        <v>6.80778616335062E-013</v>
      </c>
      <c r="DN42" s="1" t="n">
        <f aca="false">MAX(DN41-BR42/BR$9*100,0)</f>
        <v>0.502512562814072</v>
      </c>
      <c r="DO42" s="1" t="n">
        <f aca="false">MAX(DO41-BS42/BS$9*100,0)</f>
        <v>2.01005025125628</v>
      </c>
      <c r="DP42" s="1" t="n">
        <f aca="false">DP$7*EXP(-$AM42/DP$8)</f>
        <v>0.0187258820792555</v>
      </c>
      <c r="DQ42" s="1" t="n">
        <f aca="false">(DN42-DP42)^2</f>
        <v>0.234049552456411</v>
      </c>
      <c r="DS42" s="1" t="n">
        <f aca="false">$AM42</f>
        <v>31</v>
      </c>
      <c r="DT42" s="1" t="n">
        <f aca="false">CA42</f>
        <v>0</v>
      </c>
      <c r="DU42" s="1" t="n">
        <f aca="false">DU$7*EXP(-DS42/DU$8)</f>
        <v>2.15116257840493E-012</v>
      </c>
      <c r="DV42" s="1" t="n">
        <f aca="false">(DT42-DU42)^2</f>
        <v>4.62750043872975E-024</v>
      </c>
      <c r="DX42" s="1" t="n">
        <f aca="false">$AM42</f>
        <v>31</v>
      </c>
      <c r="DY42" s="1" t="n">
        <f aca="false">CM42</f>
        <v>0</v>
      </c>
      <c r="DZ42" s="1" t="n">
        <f aca="false">DZ$7*EXP(-DX42/DZ$8)</f>
        <v>4.31619943193357E-006</v>
      </c>
      <c r="EA42" s="1" t="n">
        <f aca="false">(DY42-DZ42)^2</f>
        <v>1.86295775362237E-011</v>
      </c>
      <c r="EC42" s="1" t="n">
        <f aca="false">$AM42</f>
        <v>31</v>
      </c>
      <c r="ED42" s="1" t="n">
        <f aca="false">CV42</f>
        <v>8.88178419700125E-015</v>
      </c>
      <c r="EE42" s="1" t="n">
        <f aca="false">EE$7*EXP(-EC42/EE$8)</f>
        <v>0.000187582680641388</v>
      </c>
      <c r="EF42" s="1" t="n">
        <f aca="false">(ED42-EE42)^2</f>
        <v>3.51872620732768E-008</v>
      </c>
      <c r="EH42" s="1" t="n">
        <f aca="false">$AM42</f>
        <v>31</v>
      </c>
      <c r="EI42" s="1" t="n">
        <f aca="false">DE42</f>
        <v>0.636942675159231</v>
      </c>
      <c r="EJ42" s="1" t="n">
        <f aca="false">EJ$7*EXP(-EH42/EJ$8)</f>
        <v>0.0516891048690825</v>
      </c>
      <c r="EK42" s="1" t="n">
        <f aca="false">(EI42-EJ42)^2</f>
        <v>0.342521741537366</v>
      </c>
      <c r="EM42" s="1" t="n">
        <f aca="false">AM42</f>
        <v>31</v>
      </c>
      <c r="EN42" s="1" t="n">
        <f aca="false">DN42</f>
        <v>0.502512562814072</v>
      </c>
      <c r="EO42" s="1" t="n">
        <f aca="false">EO$7*EXP(-EM42/EO$8)</f>
        <v>0.0245840125871217</v>
      </c>
      <c r="EP42" s="1" t="n">
        <f aca="false">(EN42-EO42)^2</f>
        <v>0.228415699122035</v>
      </c>
      <c r="ER42" s="1" t="n">
        <f aca="false">$AM42</f>
        <v>31</v>
      </c>
      <c r="ES42" s="1" t="n">
        <f aca="false">BZ42</f>
        <v>0</v>
      </c>
      <c r="ET42" s="1" t="n">
        <f aca="false">ET$7*EXP(-ER42/ET$8)</f>
        <v>1.71757867168623E-014</v>
      </c>
      <c r="EU42" s="1" t="n">
        <f aca="false">(ES42-ET42)^2</f>
        <v>2.95007649343143E-028</v>
      </c>
      <c r="EW42" s="1" t="n">
        <f aca="false">$AM42</f>
        <v>31</v>
      </c>
      <c r="EX42" s="1" t="n">
        <f aca="false">CI42</f>
        <v>0</v>
      </c>
      <c r="EY42" s="1" t="n">
        <f aca="false">EY$7*EXP(-EW42/EY$8)</f>
        <v>3.93114351200426E-013</v>
      </c>
      <c r="EZ42" s="1" t="n">
        <f aca="false">(EX42-EY42)^2</f>
        <v>1.54538893119732E-025</v>
      </c>
      <c r="FB42" s="1" t="n">
        <f aca="false">$AM42</f>
        <v>31</v>
      </c>
      <c r="FC42" s="1" t="n">
        <f aca="false">CR42</f>
        <v>0</v>
      </c>
      <c r="FD42" s="1" t="n">
        <f aca="false">FD$7*EXP(-FB42/FD$8)</f>
        <v>2.68159039482484E-011</v>
      </c>
      <c r="FE42" s="1" t="n">
        <f aca="false">(FC42-FD42)^2</f>
        <v>7.19092704561684E-022</v>
      </c>
      <c r="FG42" s="1" t="n">
        <f aca="false">$AM42</f>
        <v>31</v>
      </c>
      <c r="FH42" s="1" t="n">
        <f aca="false">DA42</f>
        <v>0</v>
      </c>
      <c r="FI42" s="1" t="n">
        <f aca="false">FI$7*EXP(-FG42/FI$8)</f>
        <v>1.38982494437888E-009</v>
      </c>
      <c r="FJ42" s="1" t="n">
        <f aca="false">(FH42-FI42)^2</f>
        <v>1.93161337601776E-018</v>
      </c>
      <c r="FL42" s="1" t="n">
        <f aca="false">EM42</f>
        <v>31</v>
      </c>
      <c r="FM42" s="1" t="n">
        <f aca="false">DJ42</f>
        <v>0</v>
      </c>
      <c r="FN42" s="1" t="n">
        <f aca="false">FN$7*EXP(-FL42/FN$8)</f>
        <v>1.79899364301719E-007</v>
      </c>
      <c r="FO42" s="1" t="n">
        <f aca="false">(FM42-FN42)^2</f>
        <v>3.23637812761626E-014</v>
      </c>
      <c r="FQ42" s="1" t="n">
        <f aca="false">AM42</f>
        <v>31</v>
      </c>
      <c r="FR42" s="1" t="n">
        <f aca="false">AN42/AN$9*100</f>
        <v>0</v>
      </c>
      <c r="FS42" s="1" t="n">
        <f aca="false">AO42/AO$9*100</f>
        <v>0</v>
      </c>
      <c r="FT42" s="1" t="n">
        <f aca="false">AQ42/AQ$9*100</f>
        <v>0</v>
      </c>
      <c r="FU42" s="1" t="n">
        <f aca="false">AR42/AR$9*100</f>
        <v>0</v>
      </c>
      <c r="FV42" s="1" t="n">
        <f aca="false">AT42/AT$9*100</f>
        <v>0</v>
      </c>
      <c r="FW42" s="1" t="n">
        <f aca="false">AU42/AU$9*100</f>
        <v>0</v>
      </c>
      <c r="FX42" s="1" t="n">
        <f aca="false">AW42/AW$9*100</f>
        <v>0</v>
      </c>
      <c r="FY42" s="1" t="n">
        <f aca="false">AX42/AX$9*100</f>
        <v>0</v>
      </c>
      <c r="FZ42" s="1" t="n">
        <f aca="false">AZ42/AZ$9*100</f>
        <v>0</v>
      </c>
      <c r="GA42" s="1" t="n">
        <f aca="false">BA42/BA$9*100</f>
        <v>0</v>
      </c>
      <c r="GB42" s="1" t="n">
        <f aca="false">BC42/BC$9*100</f>
        <v>0</v>
      </c>
      <c r="GC42" s="1" t="n">
        <f aca="false">BD42/BD$9*100</f>
        <v>0</v>
      </c>
      <c r="GD42" s="1" t="n">
        <f aca="false">BF42/BF$9*100</f>
        <v>0</v>
      </c>
      <c r="GE42" s="1" t="n">
        <f aca="false">BG42/BG$9*100</f>
        <v>0</v>
      </c>
      <c r="GF42" s="1" t="n">
        <f aca="false">BI42/BI$9*100</f>
        <v>0</v>
      </c>
      <c r="GG42" s="1" t="n">
        <f aca="false">BJ42/BJ$9*100</f>
        <v>0</v>
      </c>
      <c r="GH42" s="1" t="n">
        <f aca="false">BL42/BL$9*100</f>
        <v>0</v>
      </c>
      <c r="GI42" s="1" t="n">
        <f aca="false">BM42/BM$9*100</f>
        <v>0</v>
      </c>
      <c r="GJ42" s="1" t="n">
        <f aca="false">BO42/BO$9*100</f>
        <v>0</v>
      </c>
      <c r="GK42" s="1" t="n">
        <f aca="false">BP42/BP$9*100</f>
        <v>0</v>
      </c>
      <c r="GL42" s="1" t="n">
        <f aca="false">BR42/BR$9*100</f>
        <v>0</v>
      </c>
      <c r="GM42" s="1" t="n">
        <f aca="false">BS42/BS$9*100</f>
        <v>0</v>
      </c>
      <c r="GO42" s="1" t="n">
        <f aca="false">$AM42</f>
        <v>31</v>
      </c>
      <c r="GP42" s="1" t="n">
        <f aca="false">FT42</f>
        <v>0</v>
      </c>
      <c r="GQ42" s="1" t="n">
        <f aca="false">GQ$6*(1+GQ$5*(-1)^$FQ42)*EXP(-$FQ42/GQ$4)</f>
        <v>4.4382235918284E-009</v>
      </c>
      <c r="GR42" s="1" t="n">
        <f aca="false">(GP42-GQ42)^2</f>
        <v>1.96978286510622E-017</v>
      </c>
      <c r="GS42" s="1" t="n">
        <f aca="false">EXP($FQ42/$JG$4)*GP42</f>
        <v>0</v>
      </c>
      <c r="GT42" s="1" t="n">
        <f aca="false">EXP($FQ42/$JG$4)*(-1)^$FQ42*GP42</f>
        <v>-0</v>
      </c>
      <c r="GU42" s="1" t="n">
        <f aca="false">(-1)^GO42*GP42</f>
        <v>-0</v>
      </c>
      <c r="GW42" s="1" t="n">
        <f aca="false">$AM42</f>
        <v>31</v>
      </c>
      <c r="GX42" s="1" t="n">
        <f aca="false">FX42</f>
        <v>0</v>
      </c>
      <c r="GY42" s="1" t="n">
        <f aca="false">GY$6*(1+GY$5*(-1)^$FQ42)*EXP(-$FQ42/GY$4)</f>
        <v>4.4382235918284E-009</v>
      </c>
      <c r="GZ42" s="1" t="n">
        <f aca="false">(GX42-GY42)^2</f>
        <v>1.96978286510622E-017</v>
      </c>
      <c r="HA42" s="1" t="n">
        <f aca="false">EXP($FQ42/$JG$4)*GX42</f>
        <v>0</v>
      </c>
      <c r="HB42" s="1" t="n">
        <f aca="false">EXP($FQ42/$JG$4)*(-1)^$FQ42*GX42</f>
        <v>-0</v>
      </c>
      <c r="HC42" s="1" t="n">
        <f aca="false">(-1)^GW42*GX42</f>
        <v>-0</v>
      </c>
      <c r="HE42" s="1" t="n">
        <f aca="false">$AM42</f>
        <v>31</v>
      </c>
      <c r="HF42" s="1" t="n">
        <f aca="false">GB42</f>
        <v>0</v>
      </c>
      <c r="HG42" s="1" t="n">
        <f aca="false">HG$6*(1+HG$5*(-1)^$FQ42)*EXP(-$FQ42/HG$4)</f>
        <v>4.4382235918284E-009</v>
      </c>
      <c r="HH42" s="1" t="n">
        <f aca="false">(HF42-HG42)^2</f>
        <v>1.96978286510622E-017</v>
      </c>
      <c r="HI42" s="1" t="n">
        <f aca="false">EXP($FQ42/$JG$4)*HF42</f>
        <v>0</v>
      </c>
      <c r="HJ42" s="1" t="n">
        <f aca="false">EXP($FQ42/$JG$4)*(-1)^$FQ42*HF42</f>
        <v>-0</v>
      </c>
      <c r="HK42" s="1" t="n">
        <f aca="false">(-1)^HE42*HF42</f>
        <v>-0</v>
      </c>
      <c r="HM42" s="1" t="n">
        <f aca="false">$AM42</f>
        <v>31</v>
      </c>
      <c r="HN42" s="1" t="n">
        <f aca="false">GF42</f>
        <v>0</v>
      </c>
      <c r="HO42" s="1" t="n">
        <f aca="false">HO$6*(1+HO$5*(-1)^$FQ42)*EXP(-$FQ42/HO$4)</f>
        <v>3.14595758685124E-007</v>
      </c>
      <c r="HP42" s="1" t="n">
        <f aca="false">(HN42-HO42)^2</f>
        <v>9.89704913826688E-014</v>
      </c>
      <c r="HQ42" s="1" t="n">
        <f aca="false">EXP($FQ42/$JG$4)*HN42</f>
        <v>0</v>
      </c>
      <c r="HR42" s="1" t="n">
        <f aca="false">EXP($FQ42/$JG$4)*(-1)^$FQ42*HN42</f>
        <v>-0</v>
      </c>
      <c r="HS42" s="1" t="n">
        <f aca="false">(-1)^HM42*HN42</f>
        <v>-0</v>
      </c>
      <c r="HU42" s="1" t="n">
        <f aca="false">$AM42</f>
        <v>31</v>
      </c>
      <c r="HV42" s="1" t="n">
        <f aca="false">GJ42</f>
        <v>0</v>
      </c>
      <c r="HW42" s="1" t="n">
        <f aca="false">HW$6*(1+HW$5*(-1)^$FQ42)*EXP(-$FQ42/HW$4)</f>
        <v>3.44662218838733E-005</v>
      </c>
      <c r="HX42" s="1" t="n">
        <f aca="false">(HV42-HW42)^2</f>
        <v>1.18792045094839E-009</v>
      </c>
      <c r="HY42" s="1" t="n">
        <f aca="false">EXP($FQ42/$JG$4)*HV42</f>
        <v>0</v>
      </c>
      <c r="HZ42" s="1" t="n">
        <f aca="false">EXP($FQ42/$JG$4)*(-1)^$FQ42*HV42</f>
        <v>-0</v>
      </c>
      <c r="IA42" s="1" t="n">
        <f aca="false">(-1)^HU42*HV42</f>
        <v>-0</v>
      </c>
      <c r="IB42" s="1" t="n">
        <v>0</v>
      </c>
      <c r="ID42" s="1" t="n">
        <f aca="false">$AM42</f>
        <v>31</v>
      </c>
      <c r="IE42" s="1" t="n">
        <f aca="false">FZ42</f>
        <v>0</v>
      </c>
      <c r="IF42" s="1" t="n">
        <f aca="false">IF$6*(1+IF$5*(-1)^$FQ42)*EXP(-$FQ42/IF$4)</f>
        <v>0.000923949217820024</v>
      </c>
      <c r="IG42" s="1" t="n">
        <f aca="false">(IE42-IF42)^2</f>
        <v>8.53682157110234E-007</v>
      </c>
      <c r="IH42" s="1" t="n">
        <f aca="false">EXP($FQ42/$JG$4)*IE42</f>
        <v>0</v>
      </c>
      <c r="II42" s="1" t="n">
        <f aca="false">EXP($FQ42/$JG$4)*(-1)^$FQ42*IE42</f>
        <v>-0</v>
      </c>
      <c r="IJ42" s="1" t="n">
        <f aca="false">(-1)^ID42*IE42</f>
        <v>-0</v>
      </c>
      <c r="IK42" s="1" t="n">
        <v>0</v>
      </c>
      <c r="IM42" s="1" t="n">
        <f aca="false">$AM42</f>
        <v>31</v>
      </c>
      <c r="IN42" s="1" t="n">
        <f aca="false">GD42</f>
        <v>0</v>
      </c>
      <c r="IO42" s="1" t="n">
        <f aca="false">IO$6*(1+IO$5*(-1)^$FQ42)*EXP(-$FQ42/IO$4)</f>
        <v>0.00313042639181006</v>
      </c>
      <c r="IP42" s="1" t="n">
        <f aca="false">(IN42-IO42)^2</f>
        <v>9.79956939454095E-006</v>
      </c>
      <c r="IQ42" s="1" t="n">
        <f aca="false">EXP($FQ42/$JG$4)*IN42</f>
        <v>0</v>
      </c>
      <c r="IR42" s="1" t="n">
        <f aca="false">EXP($FQ42/$JG$4)*(-1)^$FQ42*IN42</f>
        <v>-0</v>
      </c>
      <c r="IS42" s="1" t="n">
        <f aca="false">(-1)^IM42*IN42</f>
        <v>-0</v>
      </c>
      <c r="IT42" s="1" t="n">
        <v>0</v>
      </c>
      <c r="IV42" s="1" t="n">
        <f aca="false">$AM42</f>
        <v>31</v>
      </c>
      <c r="IW42" s="1" t="n">
        <f aca="false">GH42</f>
        <v>0</v>
      </c>
      <c r="IX42" s="1" t="n">
        <f aca="false">IX$6*(1+IX$5*(-1)^$FQ42)*EXP(-$FQ42/IX$4)</f>
        <v>0.0237372000182852</v>
      </c>
      <c r="IY42" s="1" t="n">
        <f aca="false">(IW42-IX42)^2</f>
        <v>0.000563454664708079</v>
      </c>
      <c r="IZ42" s="1" t="n">
        <f aca="false">EXP($FQ42/$JG$4)*IW42</f>
        <v>0</v>
      </c>
      <c r="JA42" s="1" t="n">
        <f aca="false">EXP($FQ42/$JG$4)*(-1)^$FQ42*IW42</f>
        <v>-0</v>
      </c>
      <c r="JB42" s="1" t="n">
        <f aca="false">(-1)^IV42*IW42</f>
        <v>-0</v>
      </c>
      <c r="JC42" s="1" t="n">
        <v>0.000897</v>
      </c>
      <c r="JE42" s="1" t="n">
        <f aca="false">$AM42</f>
        <v>31</v>
      </c>
      <c r="JF42" s="1" t="n">
        <f aca="false">GL42</f>
        <v>0</v>
      </c>
      <c r="JG42" s="1" t="n">
        <f aca="false">JG$6*(1+JG$5*(-1)^$FQ42)*EXP(-$FQ42/JG$4)</f>
        <v>0.00545429780942399</v>
      </c>
      <c r="JH42" s="1" t="n">
        <f aca="false">(JF42-JG42)^2</f>
        <v>2.97493645938873E-005</v>
      </c>
      <c r="JI42" s="1" t="n">
        <f aca="false">EXP($FQ42/$JG$4)*JF42</f>
        <v>0</v>
      </c>
      <c r="JJ42" s="1" t="n">
        <f aca="false">EXP($FQ42/$JG$4)*(-1)^$FQ42*JF42</f>
        <v>-0</v>
      </c>
      <c r="JK42" s="1" t="n">
        <f aca="false">(-1)^JE42*JF42</f>
        <v>-0</v>
      </c>
      <c r="JL42" s="1" t="n">
        <v>0.000873</v>
      </c>
      <c r="JO42" s="1" t="n">
        <f aca="false">$AM42</f>
        <v>31</v>
      </c>
      <c r="JP42" s="1" t="n">
        <f aca="false">GM42</f>
        <v>0</v>
      </c>
      <c r="JQ42" s="1" t="n">
        <f aca="false">JQ$6*(1+JQ$5*(-1)^$FQ42)*EXP(-$FQ42/JQ$4)</f>
        <v>0.2294284130326</v>
      </c>
      <c r="JR42" s="1" t="n">
        <f aca="false">(JP42-JQ42)^2</f>
        <v>0.0526373967066573</v>
      </c>
      <c r="JS42" s="1" t="n">
        <f aca="false">EXP($FQ42/$JG$4)*JP42</f>
        <v>0</v>
      </c>
      <c r="JT42" s="1" t="n">
        <f aca="false">EXP($FQ42/$JG$4)*(-1)^$FQ42*JP42</f>
        <v>-0</v>
      </c>
      <c r="JU42" s="1" t="n">
        <f aca="false">(-1)^JO42*JP42</f>
        <v>-0</v>
      </c>
    </row>
    <row r="43" customFormat="false" ht="16" hidden="false" customHeight="false" outlineLevel="0" collapsed="false">
      <c r="A43" s="1" t="n">
        <v>1</v>
      </c>
      <c r="B43" s="1" t="n">
        <v>1</v>
      </c>
      <c r="C43" s="1" t="n">
        <f aca="false">B43-A43</f>
        <v>0</v>
      </c>
      <c r="D43" s="1" t="n">
        <v>1</v>
      </c>
      <c r="E43" s="1" t="n">
        <v>1</v>
      </c>
      <c r="F43" s="1" t="n">
        <f aca="false">E43-D43</f>
        <v>0</v>
      </c>
      <c r="G43" s="1" t="n">
        <v>1</v>
      </c>
      <c r="H43" s="1" t="n">
        <v>1</v>
      </c>
      <c r="I43" s="1" t="n">
        <f aca="false">H43-G43</f>
        <v>0</v>
      </c>
      <c r="J43" s="1" t="n">
        <v>3</v>
      </c>
      <c r="K43" s="1" t="n">
        <v>3</v>
      </c>
      <c r="L43" s="1" t="n">
        <f aca="false">K43-J43</f>
        <v>0</v>
      </c>
      <c r="M43" s="1" t="n">
        <v>5</v>
      </c>
      <c r="N43" s="1" t="n">
        <v>5</v>
      </c>
      <c r="O43" s="1" t="n">
        <f aca="false">N43-M43</f>
        <v>0</v>
      </c>
      <c r="P43" s="1" t="n">
        <v>5</v>
      </c>
      <c r="Q43" s="1" t="n">
        <v>5</v>
      </c>
      <c r="R43" s="1" t="n">
        <f aca="false">Q43-P43</f>
        <v>0</v>
      </c>
      <c r="S43" s="1" t="n">
        <v>5</v>
      </c>
      <c r="T43" s="1" t="n">
        <v>8</v>
      </c>
      <c r="U43" s="1" t="n">
        <f aca="false">T43-S43</f>
        <v>3</v>
      </c>
      <c r="V43" s="1" t="n">
        <v>2</v>
      </c>
      <c r="W43" s="1" t="n">
        <v>3</v>
      </c>
      <c r="X43" s="1" t="n">
        <f aca="false">W43-V43</f>
        <v>1</v>
      </c>
      <c r="Y43" s="1" t="n">
        <v>12</v>
      </c>
      <c r="Z43" s="1" t="n">
        <v>20</v>
      </c>
      <c r="AA43" s="1" t="n">
        <f aca="false">Z43-Y43</f>
        <v>8</v>
      </c>
      <c r="AB43" s="1" t="n">
        <v>3</v>
      </c>
      <c r="AC43" s="1" t="n">
        <v>5</v>
      </c>
      <c r="AD43" s="1" t="n">
        <f aca="false">AC43-AB43</f>
        <v>2</v>
      </c>
      <c r="AE43" s="1" t="n">
        <v>2</v>
      </c>
      <c r="AF43" s="1" t="n">
        <v>2</v>
      </c>
      <c r="AG43" s="1" t="n">
        <f aca="false">AF43-AE43</f>
        <v>0</v>
      </c>
      <c r="AI43" s="1" t="s">
        <v>48</v>
      </c>
      <c r="AJ43" s="1" t="n">
        <f aca="false">COUNTIFS(Z$2:Z$1000,2,Y$2:Y$1000,1)</f>
        <v>1</v>
      </c>
      <c r="AM43" s="1" t="n">
        <v>32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1</v>
      </c>
      <c r="BT43" s="1" t="n">
        <v>0</v>
      </c>
      <c r="BW43" s="1" t="n">
        <f aca="false">$AM43</f>
        <v>32</v>
      </c>
      <c r="BX43" s="1" t="n">
        <f aca="false">MAX(BX42-AN43/AN$9*100,0)</f>
        <v>0</v>
      </c>
      <c r="BY43" s="1" t="n">
        <f aca="false">MAX(BY42-AO43/AO$9*100,0)</f>
        <v>0</v>
      </c>
      <c r="BZ43" s="1" t="n">
        <f aca="false">MAX(BZ42-AQ43/AQ$9*100,0)</f>
        <v>0</v>
      </c>
      <c r="CA43" s="1" t="n">
        <f aca="false">MAX(CA42-AR43/AR$9*100,0)</f>
        <v>0</v>
      </c>
      <c r="CB43" s="1" t="n">
        <f aca="false">CB$7*EXP(-$AM43/CB$8)</f>
        <v>1.86872089121462E-016</v>
      </c>
      <c r="CC43" s="1" t="n">
        <f aca="false">(BZ43-CB43)^2</f>
        <v>3.49211776926196E-032</v>
      </c>
      <c r="CD43" s="1" t="n">
        <f aca="false">MAX(CD42-AT43/AT$9*100,0)</f>
        <v>0</v>
      </c>
      <c r="CE43" s="1" t="n">
        <f aca="false">MAX(CE42-AU43/AU$9*100,0)</f>
        <v>5.32907051820075E-015</v>
      </c>
      <c r="CF43" s="1" t="n">
        <f aca="false">CF$7*EXP(-$AM43/CF$8)</f>
        <v>5.35144504307008E-016</v>
      </c>
      <c r="CG43" s="1" t="n">
        <f aca="false">(CD43-CF43)^2</f>
        <v>2.86379640489993E-031</v>
      </c>
      <c r="CH43" s="1" t="n">
        <f aca="false">$AM43</f>
        <v>32</v>
      </c>
      <c r="CI43" s="1" t="n">
        <f aca="false">MAX(CI42-AW43/AW$9*100,0)</f>
        <v>0</v>
      </c>
      <c r="CJ43" s="1" t="n">
        <f aca="false">MAX(CJ42-AX43/AX$9*100,0)</f>
        <v>0</v>
      </c>
      <c r="CK43" s="1" t="n">
        <f aca="false">CK$7*EXP(-$AM43/CK$8)</f>
        <v>2.35656990053778E-010</v>
      </c>
      <c r="CL43" s="1" t="n">
        <f aca="false">(CI43-CK43)^2</f>
        <v>5.55342169612064E-020</v>
      </c>
      <c r="CM43" s="1" t="n">
        <f aca="false">MAX(CM42-AZ43/AZ$9*100,0)</f>
        <v>0</v>
      </c>
      <c r="CN43" s="1" t="n">
        <f aca="false">MAX(CN42-BA43/BA$9*100,0)</f>
        <v>5.32907051820075E-015</v>
      </c>
      <c r="CO43" s="1" t="n">
        <f aca="false">CO$7*EXP(-$AM43/CO$8)</f>
        <v>2.76947897981178E-005</v>
      </c>
      <c r="CP43" s="1" t="n">
        <f aca="false">(CM43-CO43)^2</f>
        <v>7.6700138196193E-010</v>
      </c>
      <c r="CQ43" s="1" t="n">
        <f aca="false">$AM43</f>
        <v>32</v>
      </c>
      <c r="CR43" s="1" t="n">
        <f aca="false">MAX(CR42-BC43/BC$9*100,0)</f>
        <v>0</v>
      </c>
      <c r="CS43" s="1" t="n">
        <f aca="false">MAX(CS42-BD43/BD$9*100,0)</f>
        <v>0</v>
      </c>
      <c r="CT43" s="1" t="n">
        <f aca="false">CT$7*EXP(-$AM43/CT$8)</f>
        <v>1.67673429567773E-009</v>
      </c>
      <c r="CU43" s="1" t="n">
        <f aca="false">(CR43-CT43)^2</f>
        <v>2.81143789830189E-018</v>
      </c>
      <c r="CV43" s="1" t="n">
        <f aca="false">MAX(CV42-BF43/BF$9*100,0)</f>
        <v>8.88178419700125E-015</v>
      </c>
      <c r="CW43" s="1" t="n">
        <f aca="false">MAX(CW42-BG43/BG$9*100,0)</f>
        <v>5.32907051820075E-015</v>
      </c>
      <c r="CX43" s="1" t="n">
        <f aca="false">CX$7*EXP(-$AM43/CX$8)</f>
        <v>0.000243754668027032</v>
      </c>
      <c r="CY43" s="1" t="n">
        <f aca="false">(CV43-CX43)^2</f>
        <v>5.94163381806386E-008</v>
      </c>
      <c r="CZ43" s="1" t="n">
        <f aca="false">$AM43</f>
        <v>32</v>
      </c>
      <c r="DA43" s="1" t="n">
        <f aca="false">MAX(DA42-BI43/BI$9*100,0)</f>
        <v>0</v>
      </c>
      <c r="DB43" s="1" t="n">
        <f aca="false">MAX(DB42-BJ43/BJ$9*100,0)</f>
        <v>9.88098491916389E-015</v>
      </c>
      <c r="DC43" s="1" t="n">
        <f aca="false">DC$7*EXP(-$AM43/DC$8)</f>
        <v>1.14819406021389E-008</v>
      </c>
      <c r="DD43" s="1" t="n">
        <f aca="false">(DA43-DC43)^2</f>
        <v>1.31834959991046E-016</v>
      </c>
      <c r="DE43" s="1" t="n">
        <f aca="false">MAX(DE42-BL43/BL$9*100,0)</f>
        <v>0.636942675159231</v>
      </c>
      <c r="DF43" s="1" t="n">
        <f aca="false">MAX(DF42-BM43/BM$9*100,0)</f>
        <v>1.27388535031846</v>
      </c>
      <c r="DG43" s="1" t="n">
        <f aca="false">DG$7*EXP(-$AM43/DG$8)</f>
        <v>0.0404232466622527</v>
      </c>
      <c r="DH43" s="1" t="n">
        <f aca="false">(DE43-DG43)^2</f>
        <v>0.355835428574362</v>
      </c>
      <c r="DI43" s="1" t="n">
        <f aca="false">$AM43</f>
        <v>32</v>
      </c>
      <c r="DJ43" s="1" t="n">
        <f aca="false">MAX(DJ42-BO43/BO$9*100,0)</f>
        <v>0</v>
      </c>
      <c r="DK43" s="1" t="n">
        <f aca="false">MAX(DK42-BP43/BP$9*100,0)</f>
        <v>9.99200722162641E-015</v>
      </c>
      <c r="DL43" s="1" t="n">
        <f aca="false">DL$7*EXP(-$AM43/DL$8)</f>
        <v>4.46750060986888E-007</v>
      </c>
      <c r="DM43" s="1" t="n">
        <f aca="false">(DJ43-DL43)^2</f>
        <v>1.99585616991788E-013</v>
      </c>
      <c r="DN43" s="1" t="n">
        <f aca="false">MAX(DN42-BR43/BR$9*100,0)</f>
        <v>0.502512562814072</v>
      </c>
      <c r="DO43" s="1" t="n">
        <f aca="false">MAX(DO42-BS43/BS$9*100,0)</f>
        <v>1.50753768844221</v>
      </c>
      <c r="DP43" s="1" t="n">
        <f aca="false">DP$7*EXP(-$AM43/DP$8)</f>
        <v>0.0141062860382174</v>
      </c>
      <c r="DQ43" s="1" t="n">
        <f aca="false">(DN43-DP43)^2</f>
        <v>0.238540691194053</v>
      </c>
      <c r="DS43" s="1" t="n">
        <f aca="false">$AM43</f>
        <v>32</v>
      </c>
      <c r="DT43" s="1" t="n">
        <f aca="false">CA43</f>
        <v>0</v>
      </c>
      <c r="DU43" s="1" t="n">
        <f aca="false">DU$7*EXP(-DS43/DU$8)</f>
        <v>7.67267785497023E-013</v>
      </c>
      <c r="DV43" s="1" t="n">
        <f aca="false">(DT43-DU43)^2</f>
        <v>5.88699854661506E-025</v>
      </c>
      <c r="DX43" s="1" t="n">
        <f aca="false">$AM43</f>
        <v>32</v>
      </c>
      <c r="DY43" s="1" t="n">
        <f aca="false">CM43</f>
        <v>0</v>
      </c>
      <c r="DZ43" s="1" t="n">
        <f aca="false">DZ$7*EXP(-DX43/DZ$8)</f>
        <v>2.4610239448951E-006</v>
      </c>
      <c r="EA43" s="1" t="n">
        <f aca="false">(DY43-DZ43)^2</f>
        <v>6.05663885734704E-012</v>
      </c>
      <c r="EC43" s="1" t="n">
        <f aca="false">$AM43</f>
        <v>32</v>
      </c>
      <c r="ED43" s="1" t="n">
        <f aca="false">CV43</f>
        <v>8.88178419700125E-015</v>
      </c>
      <c r="EE43" s="1" t="n">
        <f aca="false">EE$7*EXP(-EC43/EE$8)</f>
        <v>0.000121211686096833</v>
      </c>
      <c r="EF43" s="1" t="n">
        <f aca="false">(ED43-EE43)^2</f>
        <v>1.4692272844284E-008</v>
      </c>
      <c r="EH43" s="1" t="n">
        <f aca="false">$AM43</f>
        <v>32</v>
      </c>
      <c r="EI43" s="1" t="n">
        <f aca="false">DE43</f>
        <v>0.636942675159231</v>
      </c>
      <c r="EJ43" s="1" t="n">
        <f aca="false">EJ$7*EXP(-EH43/EJ$8)</f>
        <v>0.0402555153483014</v>
      </c>
      <c r="EK43" s="1" t="n">
        <f aca="false">(EI43-EJ43)^2</f>
        <v>0.356035566683234</v>
      </c>
      <c r="EM43" s="1" t="n">
        <f aca="false">AM43</f>
        <v>32</v>
      </c>
      <c r="EN43" s="1" t="n">
        <f aca="false">DN43</f>
        <v>0.502512562814072</v>
      </c>
      <c r="EO43" s="1" t="n">
        <f aca="false">EO$7*EXP(-EM43/EO$8)</f>
        <v>0.0186925254255748</v>
      </c>
      <c r="EP43" s="1" t="n">
        <f aca="false">(EN43-EO43)^2</f>
        <v>0.234081828578607</v>
      </c>
      <c r="ER43" s="1" t="n">
        <f aca="false">$AM43</f>
        <v>32</v>
      </c>
      <c r="ES43" s="1" t="n">
        <f aca="false">BZ43</f>
        <v>0</v>
      </c>
      <c r="ET43" s="1" t="n">
        <f aca="false">ET$7*EXP(-ER43/ET$8)</f>
        <v>5.22275192937294E-015</v>
      </c>
      <c r="EU43" s="1" t="n">
        <f aca="false">(ES43-ET43)^2</f>
        <v>2.72771377157688E-029</v>
      </c>
      <c r="EW43" s="1" t="n">
        <f aca="false">$AM43</f>
        <v>32</v>
      </c>
      <c r="EX43" s="1" t="n">
        <f aca="false">CI43</f>
        <v>0</v>
      </c>
      <c r="EY43" s="1" t="n">
        <f aca="false">EY$7*EXP(-EW43/EY$8)</f>
        <v>1.31000277382196E-013</v>
      </c>
      <c r="EZ43" s="1" t="n">
        <f aca="false">(EX43-EY43)^2</f>
        <v>1.71610726742123E-026</v>
      </c>
      <c r="FB43" s="1" t="n">
        <f aca="false">$AM43</f>
        <v>32</v>
      </c>
      <c r="FC43" s="1" t="n">
        <f aca="false">CR43</f>
        <v>0</v>
      </c>
      <c r="FD43" s="1" t="n">
        <f aca="false">FD$7*EXP(-FB43/FD$8)</f>
        <v>1.03461471051175E-011</v>
      </c>
      <c r="FE43" s="1" t="n">
        <f aca="false">(FC43-FD43)^2</f>
        <v>1.07042759920731E-022</v>
      </c>
      <c r="FG43" s="1" t="n">
        <f aca="false">$AM43</f>
        <v>32</v>
      </c>
      <c r="FH43" s="1" t="n">
        <f aca="false">DA43</f>
        <v>0</v>
      </c>
      <c r="FI43" s="1" t="n">
        <f aca="false">FI$7*EXP(-FG43/FI$8)</f>
        <v>6.08189674471255E-010</v>
      </c>
      <c r="FJ43" s="1" t="n">
        <f aca="false">(FH43-FI43)^2</f>
        <v>3.69894680133451E-019</v>
      </c>
      <c r="FL43" s="1" t="n">
        <f aca="false">EM43</f>
        <v>32</v>
      </c>
      <c r="FM43" s="1" t="n">
        <f aca="false">DJ43</f>
        <v>0</v>
      </c>
      <c r="FN43" s="1" t="n">
        <f aca="false">FN$7*EXP(-FL43/FN$8)</f>
        <v>9.23634133355835E-008</v>
      </c>
      <c r="FO43" s="1" t="n">
        <f aca="false">(FM43-FN43)^2</f>
        <v>8.53100012299985E-015</v>
      </c>
      <c r="FQ43" s="1" t="n">
        <f aca="false">AM43</f>
        <v>32</v>
      </c>
      <c r="FR43" s="1" t="n">
        <f aca="false">AN43/AN$9*100</f>
        <v>0</v>
      </c>
      <c r="FS43" s="1" t="n">
        <f aca="false">AO43/AO$9*100</f>
        <v>0</v>
      </c>
      <c r="FT43" s="1" t="n">
        <f aca="false">AQ43/AQ$9*100</f>
        <v>0</v>
      </c>
      <c r="FU43" s="1" t="n">
        <f aca="false">AR43/AR$9*100</f>
        <v>0</v>
      </c>
      <c r="FV43" s="1" t="n">
        <f aca="false">AT43/AT$9*100</f>
        <v>0</v>
      </c>
      <c r="FW43" s="1" t="n">
        <f aca="false">AU43/AU$9*100</f>
        <v>0</v>
      </c>
      <c r="FX43" s="1" t="n">
        <f aca="false">AW43/AW$9*100</f>
        <v>0</v>
      </c>
      <c r="FY43" s="1" t="n">
        <f aca="false">AX43/AX$9*100</f>
        <v>0</v>
      </c>
      <c r="FZ43" s="1" t="n">
        <f aca="false">AZ43/AZ$9*100</f>
        <v>0</v>
      </c>
      <c r="GA43" s="1" t="n">
        <f aca="false">BA43/BA$9*100</f>
        <v>0</v>
      </c>
      <c r="GB43" s="1" t="n">
        <f aca="false">BC43/BC$9*100</f>
        <v>0</v>
      </c>
      <c r="GC43" s="1" t="n">
        <f aca="false">BD43/BD$9*100</f>
        <v>0</v>
      </c>
      <c r="GD43" s="1" t="n">
        <f aca="false">BF43/BF$9*100</f>
        <v>0</v>
      </c>
      <c r="GE43" s="1" t="n">
        <f aca="false">BG43/BG$9*100</f>
        <v>0</v>
      </c>
      <c r="GF43" s="1" t="n">
        <f aca="false">BI43/BI$9*100</f>
        <v>0</v>
      </c>
      <c r="GG43" s="1" t="n">
        <f aca="false">BJ43/BJ$9*100</f>
        <v>0</v>
      </c>
      <c r="GH43" s="1" t="n">
        <f aca="false">BL43/BL$9*100</f>
        <v>0</v>
      </c>
      <c r="GI43" s="1" t="n">
        <f aca="false">BM43/BM$9*100</f>
        <v>0</v>
      </c>
      <c r="GJ43" s="1" t="n">
        <f aca="false">BO43/BO$9*100</f>
        <v>0</v>
      </c>
      <c r="GK43" s="1" t="n">
        <f aca="false">BP43/BP$9*100</f>
        <v>0</v>
      </c>
      <c r="GL43" s="1" t="n">
        <f aca="false">BR43/BR$9*100</f>
        <v>0</v>
      </c>
      <c r="GM43" s="1" t="n">
        <f aca="false">BS43/BS$9*100</f>
        <v>0.50251256281407</v>
      </c>
      <c r="GO43" s="1" t="n">
        <f aca="false">$AM43</f>
        <v>32</v>
      </c>
      <c r="GP43" s="1" t="n">
        <f aca="false">FT43</f>
        <v>0</v>
      </c>
      <c r="GQ43" s="1" t="n">
        <f aca="false">GQ$6*(1+GQ$5*(-1)^$FQ43)*EXP(-$FQ43/GQ$4)</f>
        <v>6.07875022713237E-009</v>
      </c>
      <c r="GR43" s="1" t="n">
        <f aca="false">(GP43-GQ43)^2</f>
        <v>3.69512043238618E-017</v>
      </c>
      <c r="GS43" s="1" t="n">
        <f aca="false">EXP($FQ43/$JG$4)*GP43</f>
        <v>0</v>
      </c>
      <c r="GT43" s="1" t="n">
        <f aca="false">EXP($FQ43/$JG$4)*(-1)^$FQ43*GP43</f>
        <v>0</v>
      </c>
      <c r="GU43" s="1" t="n">
        <f aca="false">(-1)^GO43*GP43</f>
        <v>0</v>
      </c>
      <c r="GW43" s="1" t="n">
        <f aca="false">$AM43</f>
        <v>32</v>
      </c>
      <c r="GX43" s="1" t="n">
        <f aca="false">FX43</f>
        <v>0</v>
      </c>
      <c r="GY43" s="1" t="n">
        <f aca="false">GY$6*(1+GY$5*(-1)^$FQ43)*EXP(-$FQ43/GY$4)</f>
        <v>6.07875022713237E-009</v>
      </c>
      <c r="GZ43" s="1" t="n">
        <f aca="false">(GX43-GY43)^2</f>
        <v>3.69512043238618E-017</v>
      </c>
      <c r="HA43" s="1" t="n">
        <f aca="false">EXP($FQ43/$JG$4)*GX43</f>
        <v>0</v>
      </c>
      <c r="HB43" s="1" t="n">
        <f aca="false">EXP($FQ43/$JG$4)*(-1)^$FQ43*GX43</f>
        <v>0</v>
      </c>
      <c r="HC43" s="1" t="n">
        <f aca="false">(-1)^GW43*GX43</f>
        <v>0</v>
      </c>
      <c r="HE43" s="1" t="n">
        <f aca="false">$AM43</f>
        <v>32</v>
      </c>
      <c r="HF43" s="1" t="n">
        <f aca="false">GB43</f>
        <v>0</v>
      </c>
      <c r="HG43" s="1" t="n">
        <f aca="false">HG$6*(1+HG$5*(-1)^$FQ43)*EXP(-$FQ43/HG$4)</f>
        <v>6.07875022713237E-009</v>
      </c>
      <c r="HH43" s="1" t="n">
        <f aca="false">(HF43-HG43)^2</f>
        <v>3.69512043238618E-017</v>
      </c>
      <c r="HI43" s="1" t="n">
        <f aca="false">EXP($FQ43/$JG$4)*HF43</f>
        <v>0</v>
      </c>
      <c r="HJ43" s="1" t="n">
        <f aca="false">EXP($FQ43/$JG$4)*(-1)^$FQ43*HF43</f>
        <v>0</v>
      </c>
      <c r="HK43" s="1" t="n">
        <f aca="false">(-1)^HE43*HF43</f>
        <v>0</v>
      </c>
      <c r="HM43" s="1" t="n">
        <f aca="false">$AM43</f>
        <v>32</v>
      </c>
      <c r="HN43" s="1" t="n">
        <f aca="false">GF43</f>
        <v>0</v>
      </c>
      <c r="HO43" s="1" t="n">
        <f aca="false">HO$6*(1+HO$5*(-1)^$FQ43)*EXP(-$FQ43/HO$4)</f>
        <v>7.87476558348818E-007</v>
      </c>
      <c r="HP43" s="1" t="n">
        <f aca="false">(HN43-HO43)^2</f>
        <v>6.20119329948899E-013</v>
      </c>
      <c r="HQ43" s="1" t="n">
        <f aca="false">EXP($FQ43/$JG$4)*HN43</f>
        <v>0</v>
      </c>
      <c r="HR43" s="1" t="n">
        <f aca="false">EXP($FQ43/$JG$4)*(-1)^$FQ43*HN43</f>
        <v>0</v>
      </c>
      <c r="HS43" s="1" t="n">
        <f aca="false">(-1)^HM43*HN43</f>
        <v>0</v>
      </c>
      <c r="HU43" s="1" t="n">
        <f aca="false">$AM43</f>
        <v>32</v>
      </c>
      <c r="HV43" s="1" t="n">
        <f aca="false">GJ43</f>
        <v>0</v>
      </c>
      <c r="HW43" s="1" t="n">
        <f aca="false">HW$6*(1+HW$5*(-1)^$FQ43)*EXP(-$FQ43/HW$4)</f>
        <v>6.64277028560742E-005</v>
      </c>
      <c r="HX43" s="1" t="n">
        <f aca="false">(HV43-HW43)^2</f>
        <v>4.41263970673489E-009</v>
      </c>
      <c r="HY43" s="1" t="n">
        <f aca="false">EXP($FQ43/$JG$4)*HV43</f>
        <v>0</v>
      </c>
      <c r="HZ43" s="1" t="n">
        <f aca="false">EXP($FQ43/$JG$4)*(-1)^$FQ43*HV43</f>
        <v>0</v>
      </c>
      <c r="IA43" s="1" t="n">
        <f aca="false">(-1)^HU43*HV43</f>
        <v>0</v>
      </c>
      <c r="IB43" s="1" t="n">
        <v>0</v>
      </c>
      <c r="ID43" s="1" t="n">
        <f aca="false">$AM43</f>
        <v>32</v>
      </c>
      <c r="IE43" s="1" t="n">
        <f aca="false">FZ43</f>
        <v>0</v>
      </c>
      <c r="IF43" s="1" t="n">
        <f aca="false">IF$6*(1+IF$5*(-1)^$FQ43)*EXP(-$FQ43/IF$4)</f>
        <v>0.00128513364413476</v>
      </c>
      <c r="IG43" s="1" t="n">
        <f aca="false">(IE43-IF43)^2</f>
        <v>1.65156848328709E-006</v>
      </c>
      <c r="IH43" s="1" t="n">
        <f aca="false">EXP($FQ43/$JG$4)*IE43</f>
        <v>0</v>
      </c>
      <c r="II43" s="1" t="n">
        <f aca="false">EXP($FQ43/$JG$4)*(-1)^$FQ43*IE43</f>
        <v>0</v>
      </c>
      <c r="IJ43" s="1" t="n">
        <f aca="false">(-1)^ID43*IE43</f>
        <v>0</v>
      </c>
      <c r="IK43" s="1" t="n">
        <v>0</v>
      </c>
      <c r="IM43" s="1" t="n">
        <f aca="false">$AM43</f>
        <v>32</v>
      </c>
      <c r="IN43" s="1" t="n">
        <f aca="false">GD43</f>
        <v>0</v>
      </c>
      <c r="IO43" s="1" t="n">
        <f aca="false">IO$6*(1+IO$5*(-1)^$FQ43)*EXP(-$FQ43/IO$4)</f>
        <v>0.00511563295395515</v>
      </c>
      <c r="IP43" s="1" t="n">
        <f aca="false">(IN43-IO43)^2</f>
        <v>2.61697005195919E-005</v>
      </c>
      <c r="IQ43" s="1" t="n">
        <f aca="false">EXP($FQ43/$JG$4)*IN43</f>
        <v>0</v>
      </c>
      <c r="IR43" s="1" t="n">
        <f aca="false">EXP($FQ43/$JG$4)*(-1)^$FQ43*IN43</f>
        <v>0</v>
      </c>
      <c r="IS43" s="1" t="n">
        <f aca="false">(-1)^IM43*IN43</f>
        <v>0</v>
      </c>
      <c r="IT43" s="1" t="n">
        <v>0</v>
      </c>
      <c r="IV43" s="1" t="n">
        <f aca="false">$AM43</f>
        <v>32</v>
      </c>
      <c r="IW43" s="1" t="n">
        <f aca="false">GH43</f>
        <v>0</v>
      </c>
      <c r="IX43" s="1" t="n">
        <f aca="false">IX$6*(1+IX$5*(-1)^$FQ43)*EXP(-$FQ43/IX$4)</f>
        <v>0.0759494419795261</v>
      </c>
      <c r="IY43" s="1" t="n">
        <f aca="false">(IW43-IX43)^2</f>
        <v>0.0057683177370014</v>
      </c>
      <c r="IZ43" s="1" t="n">
        <f aca="false">EXP($FQ43/$JG$4)*IW43</f>
        <v>0</v>
      </c>
      <c r="JA43" s="1" t="n">
        <f aca="false">EXP($FQ43/$JG$4)*(-1)^$FQ43*IW43</f>
        <v>0</v>
      </c>
      <c r="JB43" s="1" t="n">
        <f aca="false">(-1)^IV43*IW43</f>
        <v>0</v>
      </c>
      <c r="JC43" s="1" t="n">
        <v>0</v>
      </c>
      <c r="JE43" s="1" t="n">
        <f aca="false">$AM43</f>
        <v>32</v>
      </c>
      <c r="JF43" s="1" t="n">
        <f aca="false">GL43</f>
        <v>0</v>
      </c>
      <c r="JG43" s="1" t="n">
        <f aca="false">JG$6*(1+JG$5*(-1)^$FQ43)*EXP(-$FQ43/JG$4)</f>
        <v>0.0282697377026468</v>
      </c>
      <c r="JH43" s="1" t="n">
        <f aca="false">(JF43-JG43)^2</f>
        <v>0.00079917806977645</v>
      </c>
      <c r="JI43" s="1" t="n">
        <f aca="false">EXP($FQ43/$JG$4)*JF43</f>
        <v>0</v>
      </c>
      <c r="JJ43" s="1" t="n">
        <f aca="false">EXP($FQ43/$JG$4)*(-1)^$FQ43*JF43</f>
        <v>0</v>
      </c>
      <c r="JK43" s="1" t="n">
        <f aca="false">(-1)^JE43*JF43</f>
        <v>0</v>
      </c>
      <c r="JO43" s="1" t="n">
        <f aca="false">$AM43</f>
        <v>32</v>
      </c>
      <c r="JP43" s="1" t="n">
        <f aca="false">GM43</f>
        <v>0.50251256281407</v>
      </c>
      <c r="JQ43" s="1" t="n">
        <f aca="false">JQ$6*(1+JQ$5*(-1)^$FQ43)*EXP(-$FQ43/JQ$4)</f>
        <v>1.11189287157868</v>
      </c>
      <c r="JR43" s="1" t="n">
        <f aca="false">(JP43-JQ43)^2</f>
        <v>0.371344360710051</v>
      </c>
      <c r="JS43" s="1" t="n">
        <f aca="false">EXP($FQ43/$JG$4)*JP43</f>
        <v>887.581967900259</v>
      </c>
      <c r="JT43" s="1" t="n">
        <f aca="false">EXP($FQ43/$JG$4)*(-1)^$FQ43*JP43</f>
        <v>887.581967900259</v>
      </c>
      <c r="JU43" s="1" t="n">
        <f aca="false">(-1)^JO43*JP43</f>
        <v>0.50251256281407</v>
      </c>
    </row>
    <row r="44" customFormat="false" ht="16" hidden="false" customHeight="false" outlineLevel="0" collapsed="false">
      <c r="A44" s="1" t="n">
        <v>1</v>
      </c>
      <c r="B44" s="1" t="n">
        <v>1</v>
      </c>
      <c r="C44" s="1" t="n">
        <f aca="false">B44-A44</f>
        <v>0</v>
      </c>
      <c r="D44" s="1" t="n">
        <v>2</v>
      </c>
      <c r="E44" s="1" t="n">
        <v>3</v>
      </c>
      <c r="F44" s="1" t="n">
        <f aca="false">E44-D44</f>
        <v>1</v>
      </c>
      <c r="G44" s="1" t="n">
        <v>1</v>
      </c>
      <c r="H44" s="1" t="n">
        <v>1</v>
      </c>
      <c r="I44" s="1" t="n">
        <f aca="false">H44-G44</f>
        <v>0</v>
      </c>
      <c r="J44" s="1" t="n">
        <v>2</v>
      </c>
      <c r="K44" s="1" t="n">
        <v>2</v>
      </c>
      <c r="L44" s="1" t="n">
        <f aca="false">K44-J44</f>
        <v>0</v>
      </c>
      <c r="M44" s="1" t="n">
        <v>4</v>
      </c>
      <c r="N44" s="1" t="n">
        <v>6</v>
      </c>
      <c r="O44" s="1" t="n">
        <f aca="false">N44-M44</f>
        <v>2</v>
      </c>
      <c r="P44" s="1" t="n">
        <v>1</v>
      </c>
      <c r="Q44" s="1" t="n">
        <v>4</v>
      </c>
      <c r="R44" s="1" t="n">
        <f aca="false">Q44-P44</f>
        <v>3</v>
      </c>
      <c r="S44" s="1" t="n">
        <v>4</v>
      </c>
      <c r="T44" s="1" t="n">
        <v>6</v>
      </c>
      <c r="U44" s="1" t="n">
        <f aca="false">T44-S44</f>
        <v>2</v>
      </c>
      <c r="V44" s="1" t="n">
        <v>4</v>
      </c>
      <c r="W44" s="1" t="n">
        <v>4</v>
      </c>
      <c r="X44" s="1" t="n">
        <f aca="false">W44-V44</f>
        <v>0</v>
      </c>
      <c r="Y44" s="1" t="n">
        <v>6</v>
      </c>
      <c r="Z44" s="1" t="n">
        <v>9</v>
      </c>
      <c r="AA44" s="1" t="n">
        <f aca="false">Z44-Y44</f>
        <v>3</v>
      </c>
      <c r="AB44" s="1" t="n">
        <v>2</v>
      </c>
      <c r="AC44" s="1" t="n">
        <v>8</v>
      </c>
      <c r="AD44" s="1" t="n">
        <f aca="false">AC44-AB44</f>
        <v>6</v>
      </c>
      <c r="AE44" s="1" t="n">
        <v>2</v>
      </c>
      <c r="AF44" s="1" t="n">
        <v>2</v>
      </c>
      <c r="AG44" s="1" t="n">
        <f aca="false">AF44-AE44</f>
        <v>0</v>
      </c>
      <c r="AI44" s="1" t="s">
        <v>52</v>
      </c>
      <c r="AJ44" s="1" t="n">
        <f aca="false">COUNTIFS(Z$2:Z$1000,2,Y$2:Y$1000,0)</f>
        <v>0</v>
      </c>
      <c r="AM44" s="1" t="n">
        <v>33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W44" s="1" t="n">
        <f aca="false">$AM44</f>
        <v>33</v>
      </c>
      <c r="BX44" s="1" t="n">
        <f aca="false">MAX(BX43-AN44/AN$9*100,0)</f>
        <v>0</v>
      </c>
      <c r="BY44" s="1" t="n">
        <f aca="false">MAX(BY43-AO44/AO$9*100,0)</f>
        <v>0</v>
      </c>
      <c r="BZ44" s="1" t="n">
        <f aca="false">MAX(BZ43-AQ44/AQ$9*100,0)</f>
        <v>0</v>
      </c>
      <c r="CA44" s="1" t="n">
        <f aca="false">MAX(CA43-AR44/AR$9*100,0)</f>
        <v>0</v>
      </c>
      <c r="CB44" s="1" t="n">
        <f aca="false">CB$7*EXP(-$AM44/CB$8)</f>
        <v>5.09947695037481E-017</v>
      </c>
      <c r="CC44" s="1" t="n">
        <f aca="false">(BZ44-CB44)^2</f>
        <v>2.6004665167404E-033</v>
      </c>
      <c r="CD44" s="1" t="n">
        <f aca="false">MAX(CD43-AT44/AT$9*100,0)</f>
        <v>0</v>
      </c>
      <c r="CE44" s="1" t="n">
        <f aca="false">MAX(CE43-AU44/AU$9*100,0)</f>
        <v>5.32907051820075E-015</v>
      </c>
      <c r="CF44" s="1" t="n">
        <f aca="false">CF$7*EXP(-$AM44/CF$8)</f>
        <v>1.50914586902647E-016</v>
      </c>
      <c r="CG44" s="1" t="n">
        <f aca="false">(CD44-CF44)^2</f>
        <v>2.27752125399966E-032</v>
      </c>
      <c r="CH44" s="1" t="n">
        <f aca="false">$AM44</f>
        <v>33</v>
      </c>
      <c r="CI44" s="1" t="n">
        <f aca="false">MAX(CI43-AW44/AW$9*100,0)</f>
        <v>0</v>
      </c>
      <c r="CJ44" s="1" t="n">
        <f aca="false">MAX(CJ43-AX44/AX$9*100,0)</f>
        <v>0</v>
      </c>
      <c r="CK44" s="1" t="n">
        <f aca="false">CK$7*EXP(-$AM44/CK$8)</f>
        <v>1.00250941843725E-010</v>
      </c>
      <c r="CL44" s="1" t="n">
        <f aca="false">(CI44-CK44)^2</f>
        <v>1.00502513405539E-020</v>
      </c>
      <c r="CM44" s="1" t="n">
        <f aca="false">MAX(CM43-AZ44/AZ$9*100,0)</f>
        <v>0</v>
      </c>
      <c r="CN44" s="1" t="n">
        <f aca="false">MAX(CN43-BA44/BA$9*100,0)</f>
        <v>5.32907051820075E-015</v>
      </c>
      <c r="CO44" s="1" t="n">
        <f aca="false">CO$7*EXP(-$AM44/CO$8)</f>
        <v>1.71238986693503E-005</v>
      </c>
      <c r="CP44" s="1" t="n">
        <f aca="false">(CM44-CO44)^2</f>
        <v>2.93227905638177E-010</v>
      </c>
      <c r="CQ44" s="1" t="n">
        <f aca="false">$AM44</f>
        <v>33</v>
      </c>
      <c r="CR44" s="1" t="n">
        <f aca="false">MAX(CR43-BC44/BC$9*100,0)</f>
        <v>0</v>
      </c>
      <c r="CS44" s="1" t="n">
        <f aca="false">MAX(CS43-BD44/BD$9*100,0)</f>
        <v>0</v>
      </c>
      <c r="CT44" s="1" t="n">
        <f aca="false">CT$7*EXP(-$AM44/CT$8)</f>
        <v>7.62957046536202E-010</v>
      </c>
      <c r="CU44" s="1" t="n">
        <f aca="false">(CR44-CT44)^2</f>
        <v>5.82103454859244E-019</v>
      </c>
      <c r="CV44" s="1" t="n">
        <f aca="false">MAX(CV43-BF44/BF$9*100,0)</f>
        <v>8.88178419700125E-015</v>
      </c>
      <c r="CW44" s="1" t="n">
        <f aca="false">MAX(CW43-BG44/BG$9*100,0)</f>
        <v>5.32907051820075E-015</v>
      </c>
      <c r="CX44" s="1" t="n">
        <f aca="false">CX$7*EXP(-$AM44/CX$8)</f>
        <v>0.00016124728528283</v>
      </c>
      <c r="CY44" s="1" t="n">
        <f aca="false">(CV44-CX44)^2</f>
        <v>2.6000687008218E-008</v>
      </c>
      <c r="CZ44" s="1" t="n">
        <f aca="false">$AM44</f>
        <v>33</v>
      </c>
      <c r="DA44" s="1" t="n">
        <f aca="false">MAX(DA43-BI44/BI$9*100,0)</f>
        <v>0</v>
      </c>
      <c r="DB44" s="1" t="n">
        <f aca="false">MAX(DB43-BJ44/BJ$9*100,0)</f>
        <v>9.88098491916389E-015</v>
      </c>
      <c r="DC44" s="1" t="n">
        <f aca="false">DC$7*EXP(-$AM44/DC$8)</f>
        <v>5.53365430148373E-009</v>
      </c>
      <c r="DD44" s="1" t="n">
        <f aca="false">(DA44-DC44)^2</f>
        <v>3.06213299283294E-017</v>
      </c>
      <c r="DE44" s="1" t="n">
        <f aca="false">MAX(DE43-BL44/BL$9*100,0)</f>
        <v>0.636942675159231</v>
      </c>
      <c r="DF44" s="1" t="n">
        <f aca="false">MAX(DF43-BM44/BM$9*100,0)</f>
        <v>1.27388535031846</v>
      </c>
      <c r="DG44" s="1" t="n">
        <f aca="false">DG$7*EXP(-$AM44/DG$8)</f>
        <v>0.0314816561548509</v>
      </c>
      <c r="DH44" s="1" t="n">
        <f aca="false">(DE44-DG44)^2</f>
        <v>0.366583045533823</v>
      </c>
      <c r="DI44" s="1" t="n">
        <f aca="false">$AM44</f>
        <v>33</v>
      </c>
      <c r="DJ44" s="1" t="n">
        <f aca="false">MAX(DJ43-BO44/BO$9*100,0)</f>
        <v>0</v>
      </c>
      <c r="DK44" s="1" t="n">
        <f aca="false">MAX(DK43-BP44/BP$9*100,0)</f>
        <v>9.99200722162641E-015</v>
      </c>
      <c r="DL44" s="1" t="n">
        <f aca="false">DL$7*EXP(-$AM44/DL$8)</f>
        <v>2.41894663846587E-007</v>
      </c>
      <c r="DM44" s="1" t="n">
        <f aca="false">(DJ44-DL44)^2</f>
        <v>5.85130283974533E-014</v>
      </c>
      <c r="DN44" s="1" t="n">
        <f aca="false">MAX(DN43-BR44/BR$9*100,0)</f>
        <v>0.502512562814072</v>
      </c>
      <c r="DO44" s="1" t="n">
        <f aca="false">MAX(DO43-BS44/BS$9*100,0)</f>
        <v>1.50753768844221</v>
      </c>
      <c r="DP44" s="1" t="n">
        <f aca="false">DP$7*EXP(-$AM44/DP$8)</f>
        <v>0.0106263248347828</v>
      </c>
      <c r="DQ44" s="1" t="n">
        <f aca="false">(DN44-DP44)^2</f>
        <v>0.241952071113418</v>
      </c>
      <c r="DS44" s="1" t="n">
        <f aca="false">$AM44</f>
        <v>33</v>
      </c>
      <c r="DT44" s="1" t="n">
        <f aca="false">CA44</f>
        <v>0</v>
      </c>
      <c r="DU44" s="1" t="n">
        <f aca="false">DU$7*EXP(-DS44/DU$8)</f>
        <v>2.73665905390576E-013</v>
      </c>
      <c r="DV44" s="1" t="n">
        <f aca="false">(DT44-DU44)^2</f>
        <v>7.48930277732437E-026</v>
      </c>
      <c r="DX44" s="1" t="n">
        <f aca="false">$AM44</f>
        <v>33</v>
      </c>
      <c r="DY44" s="1" t="n">
        <f aca="false">CM44</f>
        <v>0</v>
      </c>
      <c r="DZ44" s="1" t="n">
        <f aca="false">DZ$7*EXP(-DX44/DZ$8)</f>
        <v>1.40323424643837E-006</v>
      </c>
      <c r="EA44" s="1" t="n">
        <f aca="false">(DY44-DZ44)^2</f>
        <v>1.96906635037746E-012</v>
      </c>
      <c r="EC44" s="1" t="n">
        <f aca="false">$AM44</f>
        <v>33</v>
      </c>
      <c r="ED44" s="1" t="n">
        <f aca="false">CV44</f>
        <v>8.88178419700125E-015</v>
      </c>
      <c r="EE44" s="1" t="n">
        <f aca="false">EE$7*EXP(-EC44/EE$8)</f>
        <v>7.83242503849559E-005</v>
      </c>
      <c r="EF44" s="1" t="n">
        <f aca="false">(ED44-EE44)^2</f>
        <v>6.13468819697395E-009</v>
      </c>
      <c r="EH44" s="1" t="n">
        <f aca="false">$AM44</f>
        <v>33</v>
      </c>
      <c r="EI44" s="1" t="n">
        <f aca="false">DE44</f>
        <v>0.636942675159231</v>
      </c>
      <c r="EJ44" s="1" t="n">
        <f aca="false">EJ$7*EXP(-EH44/EJ$8)</f>
        <v>0.0313510268762001</v>
      </c>
      <c r="EK44" s="1" t="n">
        <f aca="false">(EI44-EJ44)^2</f>
        <v>0.366741244470159</v>
      </c>
      <c r="EM44" s="1" t="n">
        <f aca="false">AM44</f>
        <v>33</v>
      </c>
      <c r="EN44" s="1" t="n">
        <f aca="false">DN44</f>
        <v>0.502512562814072</v>
      </c>
      <c r="EO44" s="1" t="n">
        <f aca="false">EO$7*EXP(-EM44/EO$8)</f>
        <v>0.0142129160383199</v>
      </c>
      <c r="EP44" s="1" t="n">
        <f aca="false">(EN44-EO44)^2</f>
        <v>0.238436545041324</v>
      </c>
      <c r="ER44" s="1" t="n">
        <f aca="false">$AM44</f>
        <v>33</v>
      </c>
      <c r="ES44" s="1" t="n">
        <f aca="false">BZ44</f>
        <v>0</v>
      </c>
      <c r="ET44" s="1" t="n">
        <f aca="false">ET$7*EXP(-ER44/ET$8)</f>
        <v>1.5881157681697E-015</v>
      </c>
      <c r="EU44" s="1" t="n">
        <f aca="false">(ES44-ET44)^2</f>
        <v>2.52211169310924E-030</v>
      </c>
      <c r="EW44" s="1" t="n">
        <f aca="false">$AM44</f>
        <v>33</v>
      </c>
      <c r="EX44" s="1" t="n">
        <f aca="false">CI44</f>
        <v>0</v>
      </c>
      <c r="EY44" s="1" t="n">
        <f aca="false">EY$7*EXP(-EW44/EY$8)</f>
        <v>4.36541495414974E-014</v>
      </c>
      <c r="EZ44" s="1" t="n">
        <f aca="false">(EX44-EY44)^2</f>
        <v>1.90568477219142E-027</v>
      </c>
      <c r="FB44" s="1" t="n">
        <f aca="false">$AM44</f>
        <v>33</v>
      </c>
      <c r="FC44" s="1" t="n">
        <f aca="false">CR44</f>
        <v>0</v>
      </c>
      <c r="FD44" s="1" t="n">
        <f aca="false">FD$7*EXP(-FB44/FD$8)</f>
        <v>3.99176399674277E-012</v>
      </c>
      <c r="FE44" s="1" t="n">
        <f aca="false">(FC44-FD44)^2</f>
        <v>1.59341798056918E-023</v>
      </c>
      <c r="FG44" s="1" t="n">
        <f aca="false">$AM44</f>
        <v>33</v>
      </c>
      <c r="FH44" s="1" t="n">
        <f aca="false">DA44</f>
        <v>0</v>
      </c>
      <c r="FI44" s="1" t="n">
        <f aca="false">FI$7*EXP(-FG44/FI$8)</f>
        <v>2.66144798760076E-010</v>
      </c>
      <c r="FJ44" s="1" t="n">
        <f aca="false">(FH44-FI44)^2</f>
        <v>7.08330539070414E-020</v>
      </c>
      <c r="FL44" s="1" t="n">
        <f aca="false">EM44</f>
        <v>33</v>
      </c>
      <c r="FM44" s="1" t="n">
        <f aca="false">DJ44</f>
        <v>0</v>
      </c>
      <c r="FN44" s="1" t="n">
        <f aca="false">FN$7*EXP(-FL44/FN$8)</f>
        <v>4.74209575787717E-008</v>
      </c>
      <c r="FO44" s="1" t="n">
        <f aca="false">(FM44-FN44)^2</f>
        <v>2.24874721768767E-015</v>
      </c>
      <c r="FQ44" s="1" t="n">
        <f aca="false">AM44</f>
        <v>33</v>
      </c>
      <c r="FR44" s="1" t="n">
        <f aca="false">AN44/AN$9*100</f>
        <v>0</v>
      </c>
      <c r="FS44" s="1" t="n">
        <f aca="false">AO44/AO$9*100</f>
        <v>0</v>
      </c>
      <c r="FT44" s="1" t="n">
        <f aca="false">AQ44/AQ$9*100</f>
        <v>0</v>
      </c>
      <c r="FU44" s="1" t="n">
        <f aca="false">AR44/AR$9*100</f>
        <v>0</v>
      </c>
      <c r="FV44" s="1" t="n">
        <f aca="false">AT44/AT$9*100</f>
        <v>0</v>
      </c>
      <c r="FW44" s="1" t="n">
        <f aca="false">AU44/AU$9*100</f>
        <v>0</v>
      </c>
      <c r="FX44" s="1" t="n">
        <f aca="false">AW44/AW$9*100</f>
        <v>0</v>
      </c>
      <c r="FY44" s="1" t="n">
        <f aca="false">AX44/AX$9*100</f>
        <v>0</v>
      </c>
      <c r="FZ44" s="1" t="n">
        <f aca="false">AZ44/AZ$9*100</f>
        <v>0</v>
      </c>
      <c r="GA44" s="1" t="n">
        <f aca="false">BA44/BA$9*100</f>
        <v>0</v>
      </c>
      <c r="GB44" s="1" t="n">
        <f aca="false">BC44/BC$9*100</f>
        <v>0</v>
      </c>
      <c r="GC44" s="1" t="n">
        <f aca="false">BD44/BD$9*100</f>
        <v>0</v>
      </c>
      <c r="GD44" s="1" t="n">
        <f aca="false">BF44/BF$9*100</f>
        <v>0</v>
      </c>
      <c r="GE44" s="1" t="n">
        <f aca="false">BG44/BG$9*100</f>
        <v>0</v>
      </c>
      <c r="GF44" s="1" t="n">
        <f aca="false">BI44/BI$9*100</f>
        <v>0</v>
      </c>
      <c r="GG44" s="1" t="n">
        <f aca="false">BJ44/BJ$9*100</f>
        <v>0</v>
      </c>
      <c r="GH44" s="1" t="n">
        <f aca="false">BL44/BL$9*100</f>
        <v>0</v>
      </c>
      <c r="GI44" s="1" t="n">
        <f aca="false">BM44/BM$9*100</f>
        <v>0</v>
      </c>
      <c r="GJ44" s="1" t="n">
        <f aca="false">BO44/BO$9*100</f>
        <v>0</v>
      </c>
      <c r="GK44" s="1" t="n">
        <f aca="false">BP44/BP$9*100</f>
        <v>0</v>
      </c>
      <c r="GL44" s="1" t="n">
        <f aca="false">BR44/BR$9*100</f>
        <v>0</v>
      </c>
      <c r="GM44" s="1" t="n">
        <f aca="false">BS44/BS$9*100</f>
        <v>0</v>
      </c>
      <c r="GO44" s="1" t="n">
        <f aca="false">$AM44</f>
        <v>33</v>
      </c>
      <c r="GP44" s="1" t="n">
        <f aca="false">FT44</f>
        <v>0</v>
      </c>
      <c r="GQ44" s="1" t="n">
        <f aca="false">GQ$6*(1+GQ$5*(-1)^$FQ44)*EXP(-$FQ44/GQ$4)</f>
        <v>9.75410071066874E-010</v>
      </c>
      <c r="GR44" s="1" t="n">
        <f aca="false">(GP44-GQ44)^2</f>
        <v>9.51424806738684E-019</v>
      </c>
      <c r="GS44" s="1" t="n">
        <f aca="false">EXP($FQ44/$JG$4)*GP44</f>
        <v>0</v>
      </c>
      <c r="GT44" s="1" t="n">
        <f aca="false">EXP($FQ44/$JG$4)*(-1)^$FQ44*GP44</f>
        <v>-0</v>
      </c>
      <c r="GU44" s="1" t="n">
        <f aca="false">(-1)^GO44*GP44</f>
        <v>-0</v>
      </c>
      <c r="GW44" s="1" t="n">
        <f aca="false">$AM44</f>
        <v>33</v>
      </c>
      <c r="GX44" s="1" t="n">
        <f aca="false">FX44</f>
        <v>0</v>
      </c>
      <c r="GY44" s="1" t="n">
        <f aca="false">GY$6*(1+GY$5*(-1)^$FQ44)*EXP(-$FQ44/GY$4)</f>
        <v>9.75410071066874E-010</v>
      </c>
      <c r="GZ44" s="1" t="n">
        <f aca="false">(GX44-GY44)^2</f>
        <v>9.51424806738684E-019</v>
      </c>
      <c r="HA44" s="1" t="n">
        <f aca="false">EXP($FQ44/$JG$4)*GX44</f>
        <v>0</v>
      </c>
      <c r="HB44" s="1" t="n">
        <f aca="false">EXP($FQ44/$JG$4)*(-1)^$FQ44*GX44</f>
        <v>-0</v>
      </c>
      <c r="HC44" s="1" t="n">
        <f aca="false">(-1)^GW44*GX44</f>
        <v>-0</v>
      </c>
      <c r="HE44" s="1" t="n">
        <f aca="false">$AM44</f>
        <v>33</v>
      </c>
      <c r="HF44" s="1" t="n">
        <f aca="false">GB44</f>
        <v>0</v>
      </c>
      <c r="HG44" s="1" t="n">
        <f aca="false">HG$6*(1+HG$5*(-1)^$FQ44)*EXP(-$FQ44/HG$4)</f>
        <v>9.75410071066874E-010</v>
      </c>
      <c r="HH44" s="1" t="n">
        <f aca="false">(HF44-HG44)^2</f>
        <v>9.51424806738684E-019</v>
      </c>
      <c r="HI44" s="1" t="n">
        <f aca="false">EXP($FQ44/$JG$4)*HF44</f>
        <v>0</v>
      </c>
      <c r="HJ44" s="1" t="n">
        <f aca="false">EXP($FQ44/$JG$4)*(-1)^$FQ44*HF44</f>
        <v>-0</v>
      </c>
      <c r="HK44" s="1" t="n">
        <f aca="false">(-1)^HE44*HF44</f>
        <v>-0</v>
      </c>
      <c r="HM44" s="1" t="n">
        <f aca="false">$AM44</f>
        <v>33</v>
      </c>
      <c r="HN44" s="1" t="n">
        <f aca="false">GF44</f>
        <v>0</v>
      </c>
      <c r="HO44" s="1" t="n">
        <f aca="false">HO$6*(1+HO$5*(-1)^$FQ44)*EXP(-$FQ44/HO$4)</f>
        <v>9.49816503281186E-008</v>
      </c>
      <c r="HP44" s="1" t="n">
        <f aca="false">(HN44-HO44)^2</f>
        <v>9.02151389905299E-015</v>
      </c>
      <c r="HQ44" s="1" t="n">
        <f aca="false">EXP($FQ44/$JG$4)*HN44</f>
        <v>0</v>
      </c>
      <c r="HR44" s="1" t="n">
        <f aca="false">EXP($FQ44/$JG$4)*(-1)^$FQ44*HN44</f>
        <v>-0</v>
      </c>
      <c r="HS44" s="1" t="n">
        <f aca="false">(-1)^HM44*HN44</f>
        <v>-0</v>
      </c>
      <c r="HU44" s="1" t="n">
        <f aca="false">$AM44</f>
        <v>33</v>
      </c>
      <c r="HV44" s="1" t="n">
        <f aca="false">GJ44</f>
        <v>0</v>
      </c>
      <c r="HW44" s="1" t="n">
        <f aca="false">HW$6*(1+HW$5*(-1)^$FQ44)*EXP(-$FQ44/HW$4)</f>
        <v>1.42253276962082E-005</v>
      </c>
      <c r="HX44" s="1" t="n">
        <f aca="false">(HV44-HW44)^2</f>
        <v>2.02359948064508E-010</v>
      </c>
      <c r="HY44" s="1" t="n">
        <f aca="false">EXP($FQ44/$JG$4)*HV44</f>
        <v>0</v>
      </c>
      <c r="HZ44" s="1" t="n">
        <f aca="false">EXP($FQ44/$JG$4)*(-1)^$FQ44*HV44</f>
        <v>-0</v>
      </c>
      <c r="IA44" s="1" t="n">
        <f aca="false">(-1)^HU44*HV44</f>
        <v>-0</v>
      </c>
      <c r="IB44" s="1" t="n">
        <v>0</v>
      </c>
      <c r="ID44" s="1" t="n">
        <f aca="false">$AM44</f>
        <v>33</v>
      </c>
      <c r="IE44" s="1" t="n">
        <f aca="false">FZ44</f>
        <v>0</v>
      </c>
      <c r="IF44" s="1" t="n">
        <f aca="false">IF$6*(1+IF$5*(-1)^$FQ44)*EXP(-$FQ44/IF$4)</f>
        <v>0.000474371345545574</v>
      </c>
      <c r="IG44" s="1" t="n">
        <f aca="false">(IE44-IF44)^2</f>
        <v>2.25028173474718E-007</v>
      </c>
      <c r="IH44" s="1" t="n">
        <f aca="false">EXP($FQ44/$JG$4)*IE44</f>
        <v>0</v>
      </c>
      <c r="II44" s="1" t="n">
        <f aca="false">EXP($FQ44/$JG$4)*(-1)^$FQ44*IE44</f>
        <v>-0</v>
      </c>
      <c r="IJ44" s="1" t="n">
        <f aca="false">(-1)^ID44*IE44</f>
        <v>-0</v>
      </c>
      <c r="IK44" s="1" t="n">
        <v>0</v>
      </c>
      <c r="IM44" s="1" t="n">
        <f aca="false">$AM44</f>
        <v>33</v>
      </c>
      <c r="IN44" s="1" t="n">
        <f aca="false">GD44</f>
        <v>0</v>
      </c>
      <c r="IO44" s="1" t="n">
        <f aca="false">IO$6*(1+IO$5*(-1)^$FQ44)*EXP(-$FQ44/IO$4)</f>
        <v>0.0017678085130665</v>
      </c>
      <c r="IP44" s="1" t="n">
        <f aca="false">(IN44-IO44)^2</f>
        <v>3.12514693887039E-006</v>
      </c>
      <c r="IQ44" s="1" t="n">
        <f aca="false">EXP($FQ44/$JG$4)*IN44</f>
        <v>0</v>
      </c>
      <c r="IR44" s="1" t="n">
        <f aca="false">EXP($FQ44/$JG$4)*(-1)^$FQ44*IN44</f>
        <v>-0</v>
      </c>
      <c r="IS44" s="1" t="n">
        <f aca="false">(-1)^IM44*IN44</f>
        <v>-0</v>
      </c>
      <c r="IT44" s="1" t="n">
        <v>0</v>
      </c>
      <c r="IV44" s="1" t="n">
        <f aca="false">$AM44</f>
        <v>33</v>
      </c>
      <c r="IW44" s="1" t="n">
        <f aca="false">GH44</f>
        <v>0</v>
      </c>
      <c r="IX44" s="1" t="n">
        <f aca="false">IX$6*(1+IX$5*(-1)^$FQ44)*EXP(-$FQ44/IX$4)</f>
        <v>0.0161582063539289</v>
      </c>
      <c r="IY44" s="1" t="n">
        <f aca="false">(IW44-IX44)^2</f>
        <v>0.000261087632576148</v>
      </c>
      <c r="IZ44" s="1" t="n">
        <f aca="false">EXP($FQ44/$JG$4)*IW44</f>
        <v>0</v>
      </c>
      <c r="JA44" s="1" t="n">
        <f aca="false">EXP($FQ44/$JG$4)*(-1)^$FQ44*IW44</f>
        <v>-0</v>
      </c>
      <c r="JB44" s="1" t="n">
        <f aca="false">(-1)^IV44*IW44</f>
        <v>-0</v>
      </c>
      <c r="JC44" s="1" t="n">
        <v>0</v>
      </c>
      <c r="JE44" s="1" t="n">
        <f aca="false">$AM44</f>
        <v>33</v>
      </c>
      <c r="JF44" s="1" t="n">
        <f aca="false">GL44</f>
        <v>0</v>
      </c>
      <c r="JG44" s="1" t="n">
        <f aca="false">JG$6*(1+JG$5*(-1)^$FQ44)*EXP(-$FQ44/JG$4)</f>
        <v>0.00341820024074044</v>
      </c>
      <c r="JH44" s="1" t="n">
        <f aca="false">(JF44-JG44)^2</f>
        <v>1.1684092885798E-005</v>
      </c>
      <c r="JI44" s="1" t="n">
        <f aca="false">EXP($FQ44/$JG$4)*JF44</f>
        <v>0</v>
      </c>
      <c r="JJ44" s="1" t="n">
        <f aca="false">EXP($FQ44/$JG$4)*(-1)^$FQ44*JF44</f>
        <v>-0</v>
      </c>
      <c r="JK44" s="1" t="n">
        <f aca="false">(-1)^JE44*JF44</f>
        <v>-0</v>
      </c>
      <c r="JO44" s="1" t="n">
        <f aca="false">$AM44</f>
        <v>33</v>
      </c>
      <c r="JP44" s="1" t="n">
        <f aca="false">GM44</f>
        <v>0</v>
      </c>
      <c r="JQ44" s="1" t="n">
        <f aca="false">JQ$6*(1+JQ$5*(-1)^$FQ44)*EXP(-$FQ44/JQ$4)</f>
        <v>0.195505997178105</v>
      </c>
      <c r="JR44" s="1" t="n">
        <f aca="false">(JP44-JQ44)^2</f>
        <v>0.0382225949326052</v>
      </c>
      <c r="JS44" s="1" t="n">
        <f aca="false">EXP($FQ44/$JG$4)*JP44</f>
        <v>0</v>
      </c>
      <c r="JT44" s="1" t="n">
        <f aca="false">EXP($FQ44/$JG$4)*(-1)^$FQ44*JP44</f>
        <v>-0</v>
      </c>
      <c r="JU44" s="1" t="n">
        <f aca="false">(-1)^JO44*JP44</f>
        <v>-0</v>
      </c>
    </row>
    <row r="45" customFormat="false" ht="16" hidden="false" customHeight="false" outlineLevel="0" collapsed="false">
      <c r="A45" s="1" t="n">
        <v>1</v>
      </c>
      <c r="B45" s="1" t="n">
        <v>1</v>
      </c>
      <c r="C45" s="1" t="n">
        <f aca="false">B45-A45</f>
        <v>0</v>
      </c>
      <c r="D45" s="1" t="n">
        <v>1</v>
      </c>
      <c r="E45" s="1" t="n">
        <v>1</v>
      </c>
      <c r="F45" s="1" t="n">
        <f aca="false">E45-D45</f>
        <v>0</v>
      </c>
      <c r="G45" s="1" t="n">
        <v>2</v>
      </c>
      <c r="H45" s="1" t="n">
        <v>2</v>
      </c>
      <c r="I45" s="1" t="n">
        <f aca="false">H45-G45</f>
        <v>0</v>
      </c>
      <c r="J45" s="1" t="n">
        <v>4</v>
      </c>
      <c r="K45" s="1" t="n">
        <v>5</v>
      </c>
      <c r="L45" s="1" t="n">
        <f aca="false">K45-J45</f>
        <v>1</v>
      </c>
      <c r="M45" s="1" t="n">
        <v>2</v>
      </c>
      <c r="N45" s="1" t="n">
        <v>2</v>
      </c>
      <c r="O45" s="1" t="n">
        <f aca="false">N45-M45</f>
        <v>0</v>
      </c>
      <c r="P45" s="1" t="n">
        <v>4</v>
      </c>
      <c r="Q45" s="1" t="n">
        <v>4</v>
      </c>
      <c r="R45" s="1" t="n">
        <f aca="false">Q45-P45</f>
        <v>0</v>
      </c>
      <c r="S45" s="1" t="n">
        <v>5</v>
      </c>
      <c r="T45" s="1" t="n">
        <v>5</v>
      </c>
      <c r="U45" s="1" t="n">
        <f aca="false">T45-S45</f>
        <v>0</v>
      </c>
      <c r="V45" s="1" t="n">
        <v>5</v>
      </c>
      <c r="W45" s="1" t="n">
        <v>7</v>
      </c>
      <c r="X45" s="1" t="n">
        <f aca="false">W45-V45</f>
        <v>2</v>
      </c>
      <c r="Y45" s="1" t="n">
        <v>14</v>
      </c>
      <c r="Z45" s="1" t="n">
        <v>26</v>
      </c>
      <c r="AA45" s="1" t="n">
        <f aca="false">Z45-Y45</f>
        <v>12</v>
      </c>
      <c r="AB45" s="1" t="n">
        <v>3</v>
      </c>
      <c r="AC45" s="1" t="n">
        <v>6</v>
      </c>
      <c r="AD45" s="1" t="n">
        <f aca="false">AC45-AB45</f>
        <v>3</v>
      </c>
      <c r="AE45" s="1" t="n">
        <v>2</v>
      </c>
      <c r="AF45" s="1" t="n">
        <v>2</v>
      </c>
      <c r="AG45" s="1" t="n">
        <f aca="false">AF45-AE45</f>
        <v>0</v>
      </c>
      <c r="AM45" s="1" t="n">
        <v>34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1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W45" s="1" t="n">
        <f aca="false">$AM45</f>
        <v>34</v>
      </c>
      <c r="BX45" s="1" t="n">
        <f aca="false">MAX(BX44-AN45/AN$9*100,0)</f>
        <v>0</v>
      </c>
      <c r="BY45" s="1" t="n">
        <f aca="false">MAX(BY44-AO45/AO$9*100,0)</f>
        <v>0</v>
      </c>
      <c r="BZ45" s="1" t="n">
        <f aca="false">MAX(BZ44-AQ45/AQ$9*100,0)</f>
        <v>0</v>
      </c>
      <c r="CA45" s="1" t="n">
        <f aca="false">MAX(CA44-AR45/AR$9*100,0)</f>
        <v>0</v>
      </c>
      <c r="CB45" s="1" t="n">
        <f aca="false">CB$7*EXP(-$AM45/CB$8)</f>
        <v>1.39157566491919E-017</v>
      </c>
      <c r="CC45" s="1" t="n">
        <f aca="false">(BZ45-CB45)^2</f>
        <v>1.93648283119529E-034</v>
      </c>
      <c r="CD45" s="1" t="n">
        <f aca="false">MAX(CD44-AT45/AT$9*100,0)</f>
        <v>0</v>
      </c>
      <c r="CE45" s="1" t="n">
        <f aca="false">MAX(CE44-AU45/AU$9*100,0)</f>
        <v>5.32907051820075E-015</v>
      </c>
      <c r="CF45" s="1" t="n">
        <f aca="false">CF$7*EXP(-$AM45/CF$8)</f>
        <v>4.25589954800892E-017</v>
      </c>
      <c r="CG45" s="1" t="n">
        <f aca="false">(CD45-CF45)^2</f>
        <v>1.81126809627425E-033</v>
      </c>
      <c r="CH45" s="1" t="n">
        <f aca="false">$AM45</f>
        <v>34</v>
      </c>
      <c r="CI45" s="1" t="n">
        <f aca="false">MAX(CI44-AW45/AW$9*100,0)</f>
        <v>0</v>
      </c>
      <c r="CJ45" s="1" t="n">
        <f aca="false">MAX(CJ44-AX45/AX$9*100,0)</f>
        <v>0</v>
      </c>
      <c r="CK45" s="1" t="n">
        <f aca="false">CK$7*EXP(-$AM45/CK$8)</f>
        <v>4.26477964360849E-011</v>
      </c>
      <c r="CL45" s="1" t="n">
        <f aca="false">(CI45-CK45)^2</f>
        <v>1.81883454085374E-021</v>
      </c>
      <c r="CM45" s="1" t="n">
        <f aca="false">MAX(CM44-AZ45/AZ$9*100,0)</f>
        <v>0</v>
      </c>
      <c r="CN45" s="1" t="n">
        <f aca="false">MAX(CN44-BA45/BA$9*100,0)</f>
        <v>5.32907051820075E-015</v>
      </c>
      <c r="CO45" s="1" t="n">
        <f aca="false">CO$7*EXP(-$AM45/CO$8)</f>
        <v>1.05878364766684E-005</v>
      </c>
      <c r="CP45" s="1" t="n">
        <f aca="false">(CM45-CO45)^2</f>
        <v>1.1210228125667E-010</v>
      </c>
      <c r="CQ45" s="1" t="n">
        <f aca="false">$AM45</f>
        <v>34</v>
      </c>
      <c r="CR45" s="1" t="n">
        <f aca="false">MAX(CR44-BC45/BC$9*100,0)</f>
        <v>0</v>
      </c>
      <c r="CS45" s="1" t="n">
        <f aca="false">MAX(CS44-BD45/BD$9*100,0)</f>
        <v>0</v>
      </c>
      <c r="CT45" s="1" t="n">
        <f aca="false">CT$7*EXP(-$AM45/CT$8)</f>
        <v>3.47164995885029E-010</v>
      </c>
      <c r="CU45" s="1" t="n">
        <f aca="false">(CR45-CT45)^2</f>
        <v>1.20523534367852E-019</v>
      </c>
      <c r="CV45" s="1" t="n">
        <f aca="false">MAX(CV44-BF45/BF$9*100,0)</f>
        <v>8.88178419700125E-015</v>
      </c>
      <c r="CW45" s="1" t="n">
        <f aca="false">MAX(CW44-BG45/BG$9*100,0)</f>
        <v>5.32907051820075E-015</v>
      </c>
      <c r="CX45" s="1" t="n">
        <f aca="false">CX$7*EXP(-$AM45/CX$8)</f>
        <v>0.000106667442398268</v>
      </c>
      <c r="CY45" s="1" t="n">
        <f aca="false">(CV45-CX45)^2</f>
        <v>1.1377943265893E-008</v>
      </c>
      <c r="CZ45" s="1" t="n">
        <f aca="false">$AM45</f>
        <v>34</v>
      </c>
      <c r="DA45" s="1" t="n">
        <f aca="false">MAX(DA44-BI45/BI$9*100,0)</f>
        <v>0</v>
      </c>
      <c r="DB45" s="1" t="n">
        <f aca="false">MAX(DB44-BJ45/BJ$9*100,0)</f>
        <v>9.88098491916389E-015</v>
      </c>
      <c r="DC45" s="1" t="n">
        <f aca="false">DC$7*EXP(-$AM45/DC$8)</f>
        <v>2.66691241397164E-009</v>
      </c>
      <c r="DD45" s="1" t="n">
        <f aca="false">(DA45-DC45)^2</f>
        <v>7.11242182379604E-018</v>
      </c>
      <c r="DE45" s="1" t="n">
        <f aca="false">MAX(DE44-BL45/BL$9*100,0)</f>
        <v>0</v>
      </c>
      <c r="DF45" s="1" t="n">
        <f aca="false">MAX(DF44-BM45/BM$9*100,0)</f>
        <v>1.27388535031846</v>
      </c>
      <c r="DG45" s="1" t="n">
        <f aca="false">DG$7*EXP(-$AM45/DG$8)</f>
        <v>0.0245179384657826</v>
      </c>
      <c r="DH45" s="1" t="n">
        <f aca="false">(DE45-DG45)^2</f>
        <v>0.000601129306611902</v>
      </c>
      <c r="DI45" s="1" t="n">
        <f aca="false">$AM45</f>
        <v>34</v>
      </c>
      <c r="DJ45" s="1" t="n">
        <f aca="false">MAX(DJ44-BO45/BO$9*100,0)</f>
        <v>0</v>
      </c>
      <c r="DK45" s="1" t="n">
        <f aca="false">MAX(DK44-BP45/BP$9*100,0)</f>
        <v>9.99200722162641E-015</v>
      </c>
      <c r="DL45" s="1" t="n">
        <f aca="false">DL$7*EXP(-$AM45/DL$8)</f>
        <v>1.3097486381579E-007</v>
      </c>
      <c r="DM45" s="1" t="n">
        <f aca="false">(DJ45-DL45)^2</f>
        <v>1.71544149515647E-014</v>
      </c>
      <c r="DN45" s="1" t="n">
        <f aca="false">MAX(DN44-BR45/BR$9*100,0)</f>
        <v>0.502512562814072</v>
      </c>
      <c r="DO45" s="1" t="n">
        <f aca="false">MAX(DO44-BS45/BS$9*100,0)</f>
        <v>1.50753768844221</v>
      </c>
      <c r="DP45" s="1" t="n">
        <f aca="false">DP$7*EXP(-$AM45/DP$8)</f>
        <v>0.00800485536649384</v>
      </c>
      <c r="DQ45" s="1" t="n">
        <f aca="false">(DN45-DP45)^2</f>
        <v>0.24453787272506</v>
      </c>
      <c r="DS45" s="1" t="n">
        <f aca="false">$AM45</f>
        <v>34</v>
      </c>
      <c r="DT45" s="1" t="n">
        <f aca="false">CA45</f>
        <v>0</v>
      </c>
      <c r="DU45" s="1" t="n">
        <f aca="false">DU$7*EXP(-DS45/DU$8)</f>
        <v>9.76100250641031E-014</v>
      </c>
      <c r="DV45" s="1" t="n">
        <f aca="false">(DT45-DU45)^2</f>
        <v>9.52771699301484E-027</v>
      </c>
      <c r="DX45" s="1" t="n">
        <f aca="false">$AM45</f>
        <v>34</v>
      </c>
      <c r="DY45" s="1" t="n">
        <f aca="false">CM45</f>
        <v>0</v>
      </c>
      <c r="DZ45" s="1" t="n">
        <f aca="false">DZ$7*EXP(-DX45/DZ$8)</f>
        <v>8.00100443744928E-007</v>
      </c>
      <c r="EA45" s="1" t="n">
        <f aca="false">(DY45-DZ45)^2</f>
        <v>6.40160720080831E-013</v>
      </c>
      <c r="EC45" s="1" t="n">
        <f aca="false">$AM45</f>
        <v>34</v>
      </c>
      <c r="ED45" s="1" t="n">
        <f aca="false">CV45</f>
        <v>8.88178419700125E-015</v>
      </c>
      <c r="EE45" s="1" t="n">
        <f aca="false">EE$7*EXP(-EC45/EE$8)</f>
        <v>5.06113593161669E-005</v>
      </c>
      <c r="EF45" s="1" t="n">
        <f aca="false">(ED45-EE45)^2</f>
        <v>2.56150969093112E-009</v>
      </c>
      <c r="EH45" s="1" t="n">
        <f aca="false">$AM45</f>
        <v>34</v>
      </c>
      <c r="EI45" s="1" t="n">
        <f aca="false">DE45</f>
        <v>0</v>
      </c>
      <c r="EJ45" s="1" t="n">
        <f aca="false">EJ$7*EXP(-EH45/EJ$8)</f>
        <v>0.0244162042812773</v>
      </c>
      <c r="EK45" s="1" t="n">
        <f aca="false">(EI45-EJ45)^2</f>
        <v>0.000596151031505064</v>
      </c>
      <c r="EM45" s="1" t="n">
        <f aca="false">AM45</f>
        <v>34</v>
      </c>
      <c r="EN45" s="1" t="n">
        <f aca="false">DN45</f>
        <v>0.502512562814072</v>
      </c>
      <c r="EO45" s="1" t="n">
        <f aca="false">EO$7*EXP(-EM45/EO$8)</f>
        <v>0.0108068320204582</v>
      </c>
      <c r="EP45" s="1" t="n">
        <f aca="false">(EN45-EO45)^2</f>
        <v>0.241774525695282</v>
      </c>
      <c r="ER45" s="1" t="n">
        <f aca="false">$AM45</f>
        <v>34</v>
      </c>
      <c r="ES45" s="1" t="n">
        <f aca="false">BZ45</f>
        <v>0</v>
      </c>
      <c r="ET45" s="1" t="n">
        <f aca="false">ET$7*EXP(-ER45/ET$8)</f>
        <v>4.82908575252215E-016</v>
      </c>
      <c r="EU45" s="1" t="n">
        <f aca="false">(ES45-ET45)^2</f>
        <v>2.33200692052124E-031</v>
      </c>
      <c r="EW45" s="1" t="n">
        <f aca="false">$AM45</f>
        <v>34</v>
      </c>
      <c r="EX45" s="1" t="n">
        <f aca="false">CI45</f>
        <v>0</v>
      </c>
      <c r="EY45" s="1" t="n">
        <f aca="false">EY$7*EXP(-EW45/EY$8)</f>
        <v>1.45471811989492E-014</v>
      </c>
      <c r="EZ45" s="1" t="n">
        <f aca="false">(EX45-EY45)^2</f>
        <v>2.11620480835061E-028</v>
      </c>
      <c r="FB45" s="1" t="n">
        <f aca="false">$AM45</f>
        <v>34</v>
      </c>
      <c r="FC45" s="1" t="n">
        <f aca="false">CR45</f>
        <v>0</v>
      </c>
      <c r="FD45" s="1" t="n">
        <f aca="false">FD$7*EXP(-FB45/FD$8)</f>
        <v>1.54010760177674E-012</v>
      </c>
      <c r="FE45" s="1" t="n">
        <f aca="false">(FC45-FD45)^2</f>
        <v>2.3719314250505E-024</v>
      </c>
      <c r="FG45" s="1" t="n">
        <f aca="false">$AM45</f>
        <v>34</v>
      </c>
      <c r="FH45" s="1" t="n">
        <f aca="false">DA45</f>
        <v>0</v>
      </c>
      <c r="FI45" s="1" t="n">
        <f aca="false">FI$7*EXP(-FG45/FI$8)</f>
        <v>1.16465400318777E-010</v>
      </c>
      <c r="FJ45" s="1" t="n">
        <f aca="false">(FH45-FI45)^2</f>
        <v>1.3564189471413E-020</v>
      </c>
      <c r="FL45" s="1" t="n">
        <f aca="false">EM45</f>
        <v>34</v>
      </c>
      <c r="FM45" s="1" t="n">
        <f aca="false">DJ45</f>
        <v>0</v>
      </c>
      <c r="FN45" s="1" t="n">
        <f aca="false">FN$7*EXP(-FL45/FN$8)</f>
        <v>2.43467314218597E-008</v>
      </c>
      <c r="FO45" s="1" t="n">
        <f aca="false">(FM45-FN45)^2</f>
        <v>5.92763330928171E-016</v>
      </c>
      <c r="FQ45" s="1" t="n">
        <f aca="false">AM45</f>
        <v>34</v>
      </c>
      <c r="FR45" s="1" t="n">
        <f aca="false">AN45/AN$9*100</f>
        <v>0</v>
      </c>
      <c r="FS45" s="1" t="n">
        <f aca="false">AO45/AO$9*100</f>
        <v>0</v>
      </c>
      <c r="FT45" s="1" t="n">
        <f aca="false">AQ45/AQ$9*100</f>
        <v>0</v>
      </c>
      <c r="FU45" s="1" t="n">
        <f aca="false">AR45/AR$9*100</f>
        <v>0</v>
      </c>
      <c r="FV45" s="1" t="n">
        <f aca="false">AT45/AT$9*100</f>
        <v>0</v>
      </c>
      <c r="FW45" s="1" t="n">
        <f aca="false">AU45/AU$9*100</f>
        <v>0</v>
      </c>
      <c r="FX45" s="1" t="n">
        <f aca="false">AW45/AW$9*100</f>
        <v>0</v>
      </c>
      <c r="FY45" s="1" t="n">
        <f aca="false">AX45/AX$9*100</f>
        <v>0</v>
      </c>
      <c r="FZ45" s="1" t="n">
        <f aca="false">AZ45/AZ$9*100</f>
        <v>0</v>
      </c>
      <c r="GA45" s="1" t="n">
        <f aca="false">BA45/BA$9*100</f>
        <v>0</v>
      </c>
      <c r="GB45" s="1" t="n">
        <f aca="false">BC45/BC$9*100</f>
        <v>0</v>
      </c>
      <c r="GC45" s="1" t="n">
        <f aca="false">BD45/BD$9*100</f>
        <v>0</v>
      </c>
      <c r="GD45" s="1" t="n">
        <f aca="false">BF45/BF$9*100</f>
        <v>0</v>
      </c>
      <c r="GE45" s="1" t="n">
        <f aca="false">BG45/BG$9*100</f>
        <v>0</v>
      </c>
      <c r="GF45" s="1" t="n">
        <f aca="false">BI45/BI$9*100</f>
        <v>0</v>
      </c>
      <c r="GG45" s="1" t="n">
        <f aca="false">BJ45/BJ$9*100</f>
        <v>0</v>
      </c>
      <c r="GH45" s="1" t="n">
        <f aca="false">BL45/BL$9*100</f>
        <v>0.636942675159236</v>
      </c>
      <c r="GI45" s="1" t="n">
        <f aca="false">BM45/BM$9*100</f>
        <v>0</v>
      </c>
      <c r="GJ45" s="1" t="n">
        <f aca="false">BO45/BO$9*100</f>
        <v>0</v>
      </c>
      <c r="GK45" s="1" t="n">
        <f aca="false">BP45/BP$9*100</f>
        <v>0</v>
      </c>
      <c r="GL45" s="1" t="n">
        <f aca="false">BR45/BR$9*100</f>
        <v>0</v>
      </c>
      <c r="GM45" s="1" t="n">
        <f aca="false">BS45/BS$9*100</f>
        <v>0</v>
      </c>
      <c r="GO45" s="1" t="n">
        <f aca="false">$AM45</f>
        <v>34</v>
      </c>
      <c r="GP45" s="1" t="n">
        <f aca="false">FT45</f>
        <v>0</v>
      </c>
      <c r="GQ45" s="1" t="n">
        <f aca="false">GQ$6*(1+GQ$5*(-1)^$FQ45)*EXP(-$FQ45/GQ$4)</f>
        <v>1.33595662056366E-009</v>
      </c>
      <c r="GR45" s="1" t="n">
        <f aca="false">(GP45-GQ45)^2</f>
        <v>1.78478009202788E-018</v>
      </c>
      <c r="GS45" s="1" t="n">
        <f aca="false">EXP($FQ45/$JG$4)*GP45</f>
        <v>0</v>
      </c>
      <c r="GT45" s="1" t="n">
        <f aca="false">EXP($FQ45/$JG$4)*(-1)^$FQ45*GP45</f>
        <v>0</v>
      </c>
      <c r="GU45" s="1" t="n">
        <f aca="false">(-1)^GO45*GP45</f>
        <v>0</v>
      </c>
      <c r="GW45" s="1" t="n">
        <f aca="false">$AM45</f>
        <v>34</v>
      </c>
      <c r="GX45" s="1" t="n">
        <f aca="false">FX45</f>
        <v>0</v>
      </c>
      <c r="GY45" s="1" t="n">
        <f aca="false">GY$6*(1+GY$5*(-1)^$FQ45)*EXP(-$FQ45/GY$4)</f>
        <v>1.33595662056366E-009</v>
      </c>
      <c r="GZ45" s="1" t="n">
        <f aca="false">(GX45-GY45)^2</f>
        <v>1.78478009202788E-018</v>
      </c>
      <c r="HA45" s="1" t="n">
        <f aca="false">EXP($FQ45/$JG$4)*GX45</f>
        <v>0</v>
      </c>
      <c r="HB45" s="1" t="n">
        <f aca="false">EXP($FQ45/$JG$4)*(-1)^$FQ45*GX45</f>
        <v>0</v>
      </c>
      <c r="HC45" s="1" t="n">
        <f aca="false">(-1)^GW45*GX45</f>
        <v>0</v>
      </c>
      <c r="HE45" s="1" t="n">
        <f aca="false">$AM45</f>
        <v>34</v>
      </c>
      <c r="HF45" s="1" t="n">
        <f aca="false">GB45</f>
        <v>0</v>
      </c>
      <c r="HG45" s="1" t="n">
        <f aca="false">HG$6*(1+HG$5*(-1)^$FQ45)*EXP(-$FQ45/HG$4)</f>
        <v>1.33595662056366E-009</v>
      </c>
      <c r="HH45" s="1" t="n">
        <f aca="false">(HF45-HG45)^2</f>
        <v>1.78478009202788E-018</v>
      </c>
      <c r="HI45" s="1" t="n">
        <f aca="false">EXP($FQ45/$JG$4)*HF45</f>
        <v>0</v>
      </c>
      <c r="HJ45" s="1" t="n">
        <f aca="false">EXP($FQ45/$JG$4)*(-1)^$FQ45*HF45</f>
        <v>0</v>
      </c>
      <c r="HK45" s="1" t="n">
        <f aca="false">(-1)^HE45*HF45</f>
        <v>0</v>
      </c>
      <c r="HM45" s="1" t="n">
        <f aca="false">$AM45</f>
        <v>34</v>
      </c>
      <c r="HN45" s="1" t="n">
        <f aca="false">GF45</f>
        <v>0</v>
      </c>
      <c r="HO45" s="1" t="n">
        <f aca="false">HO$6*(1+HO$5*(-1)^$FQ45)*EXP(-$FQ45/HO$4)</f>
        <v>2.37752166206221E-007</v>
      </c>
      <c r="HP45" s="1" t="n">
        <f aca="false">(HN45-HO45)^2</f>
        <v>5.65260925357505E-014</v>
      </c>
      <c r="HQ45" s="1" t="n">
        <f aca="false">EXP($FQ45/$JG$4)*HN45</f>
        <v>0</v>
      </c>
      <c r="HR45" s="1" t="n">
        <f aca="false">EXP($FQ45/$JG$4)*(-1)^$FQ45*HN45</f>
        <v>0</v>
      </c>
      <c r="HS45" s="1" t="n">
        <f aca="false">(-1)^HM45*HN45</f>
        <v>0</v>
      </c>
      <c r="HU45" s="1" t="n">
        <f aca="false">$AM45</f>
        <v>34</v>
      </c>
      <c r="HV45" s="1" t="n">
        <f aca="false">GJ45</f>
        <v>0</v>
      </c>
      <c r="HW45" s="1" t="n">
        <f aca="false">HW$6*(1+HW$5*(-1)^$FQ45)*EXP(-$FQ45/HW$4)</f>
        <v>2.74168675759656E-005</v>
      </c>
      <c r="HX45" s="1" t="n">
        <f aca="false">(HV45-HW45)^2</f>
        <v>7.51684627678034E-010</v>
      </c>
      <c r="HY45" s="1" t="n">
        <f aca="false">EXP($FQ45/$JG$4)*HV45</f>
        <v>0</v>
      </c>
      <c r="HZ45" s="1" t="n">
        <f aca="false">EXP($FQ45/$JG$4)*(-1)^$FQ45*HV45</f>
        <v>0</v>
      </c>
      <c r="IA45" s="1" t="n">
        <f aca="false">(-1)^HU45*HV45</f>
        <v>0</v>
      </c>
      <c r="IB45" s="1" t="n">
        <v>0</v>
      </c>
      <c r="ID45" s="1" t="n">
        <f aca="false">$AM45</f>
        <v>34</v>
      </c>
      <c r="IE45" s="1" t="n">
        <f aca="false">FZ45</f>
        <v>0</v>
      </c>
      <c r="IF45" s="1" t="n">
        <f aca="false">IF$6*(1+IF$5*(-1)^$FQ45)*EXP(-$FQ45/IF$4)</f>
        <v>0.000659809613143525</v>
      </c>
      <c r="IG45" s="1" t="n">
        <f aca="false">(IE45-IF45)^2</f>
        <v>4.35348725596608E-007</v>
      </c>
      <c r="IH45" s="1" t="n">
        <f aca="false">EXP($FQ45/$JG$4)*IE45</f>
        <v>0</v>
      </c>
      <c r="II45" s="1" t="n">
        <f aca="false">EXP($FQ45/$JG$4)*(-1)^$FQ45*IE45</f>
        <v>0</v>
      </c>
      <c r="IJ45" s="1" t="n">
        <f aca="false">(-1)^ID45*IE45</f>
        <v>0</v>
      </c>
      <c r="IK45" s="1" t="n">
        <v>0</v>
      </c>
      <c r="IM45" s="1" t="n">
        <f aca="false">$AM45</f>
        <v>34</v>
      </c>
      <c r="IN45" s="1" t="n">
        <f aca="false">GD45</f>
        <v>0</v>
      </c>
      <c r="IO45" s="1" t="n">
        <f aca="false">IO$6*(1+IO$5*(-1)^$FQ45)*EXP(-$FQ45/IO$4)</f>
        <v>0.00288889063463856</v>
      </c>
      <c r="IP45" s="1" t="n">
        <f aca="false">(IN45-IO45)^2</f>
        <v>8.34568909890238E-006</v>
      </c>
      <c r="IQ45" s="1" t="n">
        <f aca="false">EXP($FQ45/$JG$4)*IN45</f>
        <v>0</v>
      </c>
      <c r="IR45" s="1" t="n">
        <f aca="false">EXP($FQ45/$JG$4)*(-1)^$FQ45*IN45</f>
        <v>0</v>
      </c>
      <c r="IS45" s="1" t="n">
        <f aca="false">(-1)^IM45*IN45</f>
        <v>0</v>
      </c>
      <c r="IT45" s="1" t="n">
        <v>0</v>
      </c>
      <c r="IV45" s="1" t="n">
        <f aca="false">$AM45</f>
        <v>34</v>
      </c>
      <c r="IW45" s="1" t="n">
        <f aca="false">GH45</f>
        <v>0.636942675159236</v>
      </c>
      <c r="IX45" s="1" t="n">
        <f aca="false">IX$6*(1+IX$5*(-1)^$FQ45)*EXP(-$FQ45/IX$4)</f>
        <v>0.051699726801206</v>
      </c>
      <c r="IY45" s="1" t="n">
        <f aca="false">(IW45-IX45)^2</f>
        <v>0.342509308602799</v>
      </c>
      <c r="IZ45" s="1" t="n">
        <f aca="false">EXP($FQ45/$JG$4)*IW45</f>
        <v>1795.16032464472</v>
      </c>
      <c r="JA45" s="1" t="n">
        <f aca="false">EXP($FQ45/$JG$4)*(-1)^$FQ45*IW45</f>
        <v>1795.16032464472</v>
      </c>
      <c r="JB45" s="1" t="n">
        <f aca="false">(-1)^IV45*IW45</f>
        <v>0.636942675159236</v>
      </c>
      <c r="JC45" s="1" t="n">
        <v>0</v>
      </c>
      <c r="JE45" s="1" t="n">
        <f aca="false">$AM45</f>
        <v>34</v>
      </c>
      <c r="JF45" s="1" t="n">
        <f aca="false">GL45</f>
        <v>0</v>
      </c>
      <c r="JG45" s="1" t="n">
        <f aca="false">JG$6*(1+JG$5*(-1)^$FQ45)*EXP(-$FQ45/JG$4)</f>
        <v>0.0177166021360065</v>
      </c>
      <c r="JH45" s="1" t="n">
        <f aca="false">(JF45-JG45)^2</f>
        <v>0.00031387799124555</v>
      </c>
      <c r="JI45" s="1" t="n">
        <f aca="false">EXP($FQ45/$JG$4)*JF45</f>
        <v>0</v>
      </c>
      <c r="JJ45" s="1" t="n">
        <f aca="false">EXP($FQ45/$JG$4)*(-1)^$FQ45*JF45</f>
        <v>0</v>
      </c>
      <c r="JK45" s="1" t="n">
        <f aca="false">(-1)^JE45*JF45</f>
        <v>0</v>
      </c>
      <c r="JO45" s="1" t="n">
        <f aca="false">$AM45</f>
        <v>34</v>
      </c>
      <c r="JP45" s="1" t="n">
        <f aca="false">GM45</f>
        <v>0</v>
      </c>
      <c r="JQ45" s="1" t="n">
        <f aca="false">JQ$6*(1+JQ$5*(-1)^$FQ45)*EXP(-$FQ45/JQ$4)</f>
        <v>0.947492604511574</v>
      </c>
      <c r="JR45" s="1" t="n">
        <f aca="false">(JP45-JQ45)^2</f>
        <v>0.897742235604126</v>
      </c>
      <c r="JS45" s="1" t="n">
        <f aca="false">EXP($FQ45/$JG$4)*JP45</f>
        <v>0</v>
      </c>
      <c r="JT45" s="1" t="n">
        <f aca="false">EXP($FQ45/$JG$4)*(-1)^$FQ45*JP45</f>
        <v>0</v>
      </c>
      <c r="JU45" s="1" t="n">
        <f aca="false">(-1)^JO45*JP45</f>
        <v>0</v>
      </c>
    </row>
    <row r="46" customFormat="false" ht="16" hidden="false" customHeight="false" outlineLevel="0" collapsed="false">
      <c r="A46" s="1" t="n">
        <v>2</v>
      </c>
      <c r="B46" s="1" t="n">
        <v>2</v>
      </c>
      <c r="C46" s="1" t="n">
        <f aca="false">B46-A46</f>
        <v>0</v>
      </c>
      <c r="D46" s="1" t="n">
        <v>2</v>
      </c>
      <c r="E46" s="1" t="n">
        <v>2</v>
      </c>
      <c r="F46" s="1" t="n">
        <f aca="false">E46-D46</f>
        <v>0</v>
      </c>
      <c r="G46" s="1" t="n">
        <v>1</v>
      </c>
      <c r="H46" s="1" t="n">
        <v>1</v>
      </c>
      <c r="I46" s="1" t="n">
        <f aca="false">H46-G46</f>
        <v>0</v>
      </c>
      <c r="J46" s="1" t="n">
        <v>4</v>
      </c>
      <c r="K46" s="1" t="n">
        <v>6</v>
      </c>
      <c r="L46" s="1" t="n">
        <f aca="false">K46-J46</f>
        <v>2</v>
      </c>
      <c r="M46" s="1" t="n">
        <v>3</v>
      </c>
      <c r="N46" s="1" t="n">
        <v>3</v>
      </c>
      <c r="O46" s="1" t="n">
        <f aca="false">N46-M46</f>
        <v>0</v>
      </c>
      <c r="P46" s="1" t="n">
        <v>4</v>
      </c>
      <c r="Q46" s="1" t="n">
        <v>6</v>
      </c>
      <c r="R46" s="1" t="n">
        <f aca="false">Q46-P46</f>
        <v>2</v>
      </c>
      <c r="S46" s="1" t="n">
        <v>12</v>
      </c>
      <c r="T46" s="1" t="n">
        <v>15</v>
      </c>
      <c r="U46" s="1" t="n">
        <f aca="false">T46-S46</f>
        <v>3</v>
      </c>
      <c r="V46" s="1" t="n">
        <v>2</v>
      </c>
      <c r="W46" s="1" t="n">
        <v>2</v>
      </c>
      <c r="X46" s="1" t="n">
        <f aca="false">W46-V46</f>
        <v>0</v>
      </c>
      <c r="Y46" s="1" t="n">
        <v>6</v>
      </c>
      <c r="Z46" s="1" t="n">
        <v>10</v>
      </c>
      <c r="AA46" s="1" t="n">
        <f aca="false">Z46-Y46</f>
        <v>4</v>
      </c>
      <c r="AB46" s="1" t="n">
        <v>4</v>
      </c>
      <c r="AC46" s="1" t="n">
        <v>4</v>
      </c>
      <c r="AD46" s="1" t="n">
        <f aca="false">AC46-AB46</f>
        <v>0</v>
      </c>
      <c r="AE46" s="1" t="n">
        <v>4</v>
      </c>
      <c r="AF46" s="1" t="n">
        <v>4</v>
      </c>
      <c r="AG46" s="1" t="n">
        <f aca="false">AF46-AE46</f>
        <v>0</v>
      </c>
      <c r="AI46" s="1" t="s">
        <v>77</v>
      </c>
      <c r="AM46" s="1" t="n">
        <v>35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W46" s="1" t="n">
        <f aca="false">$AM46</f>
        <v>35</v>
      </c>
      <c r="BX46" s="1" t="n">
        <f aca="false">MAX(BX45-AN46/AN$9*100,0)</f>
        <v>0</v>
      </c>
      <c r="BY46" s="1" t="n">
        <f aca="false">MAX(BY45-AO46/AO$9*100,0)</f>
        <v>0</v>
      </c>
      <c r="BZ46" s="1" t="n">
        <f aca="false">MAX(BZ45-AQ46/AQ$9*100,0)</f>
        <v>0</v>
      </c>
      <c r="CA46" s="1" t="n">
        <f aca="false">MAX(CA45-AR46/AR$9*100,0)</f>
        <v>0</v>
      </c>
      <c r="CB46" s="1" t="n">
        <f aca="false">CB$7*EXP(-$AM46/CB$8)</f>
        <v>3.797414617303E-018</v>
      </c>
      <c r="CC46" s="1" t="n">
        <f aca="false">(BZ46-CB46)^2</f>
        <v>1.44203577757065E-035</v>
      </c>
      <c r="CD46" s="1" t="n">
        <f aca="false">MAX(CD45-AT46/AT$9*100,0)</f>
        <v>0</v>
      </c>
      <c r="CE46" s="1" t="n">
        <f aca="false">MAX(CE45-AU46/AU$9*100,0)</f>
        <v>5.32907051820075E-015</v>
      </c>
      <c r="CF46" s="1" t="n">
        <f aca="false">CF$7*EXP(-$AM46/CF$8)</f>
        <v>1.20019418496814E-017</v>
      </c>
      <c r="CG46" s="1" t="n">
        <f aca="false">(CD46-CF46)^2</f>
        <v>1.44046608163134E-034</v>
      </c>
      <c r="CH46" s="1" t="n">
        <f aca="false">$AM46</f>
        <v>35</v>
      </c>
      <c r="CI46" s="1" t="n">
        <f aca="false">MAX(CI45-AW46/AW$9*100,0)</f>
        <v>0</v>
      </c>
      <c r="CJ46" s="1" t="n">
        <f aca="false">MAX(CJ45-AX46/AX$9*100,0)</f>
        <v>0</v>
      </c>
      <c r="CK46" s="1" t="n">
        <f aca="false">CK$7*EXP(-$AM46/CK$8)</f>
        <v>1.81428174878298E-011</v>
      </c>
      <c r="CL46" s="1" t="n">
        <f aca="false">(CI46-CK46)^2</f>
        <v>3.29161826396703E-022</v>
      </c>
      <c r="CM46" s="1" t="n">
        <f aca="false">MAX(CM45-AZ46/AZ$9*100,0)</f>
        <v>0</v>
      </c>
      <c r="CN46" s="1" t="n">
        <f aca="false">MAX(CN45-BA46/BA$9*100,0)</f>
        <v>5.32907051820075E-015</v>
      </c>
      <c r="CO46" s="1" t="n">
        <f aca="false">CO$7*EXP(-$AM46/CO$8)</f>
        <v>6.54653962986362E-006</v>
      </c>
      <c r="CP46" s="1" t="n">
        <f aca="false">(CM46-CO46)^2</f>
        <v>4.28571811253749E-011</v>
      </c>
      <c r="CQ46" s="1" t="n">
        <f aca="false">$AM46</f>
        <v>35</v>
      </c>
      <c r="CR46" s="1" t="n">
        <f aca="false">MAX(CR45-BC46/BC$9*100,0)</f>
        <v>0</v>
      </c>
      <c r="CS46" s="1" t="n">
        <f aca="false">MAX(CS45-BD46/BD$9*100,0)</f>
        <v>0</v>
      </c>
      <c r="CT46" s="1" t="n">
        <f aca="false">CT$7*EXP(-$AM46/CT$8)</f>
        <v>1.5796896419664E-010</v>
      </c>
      <c r="CU46" s="1" t="n">
        <f aca="false">(CR46-CT46)^2</f>
        <v>2.49541936493593E-020</v>
      </c>
      <c r="CV46" s="1" t="n">
        <f aca="false">MAX(CV45-BF46/BF$9*100,0)</f>
        <v>8.88178419700125E-015</v>
      </c>
      <c r="CW46" s="1" t="n">
        <f aca="false">MAX(CW45-BG46/BG$9*100,0)</f>
        <v>5.32907051820075E-015</v>
      </c>
      <c r="CX46" s="1" t="n">
        <f aca="false">CX$7*EXP(-$AM46/CX$8)</f>
        <v>7.05620764270895E-005</v>
      </c>
      <c r="CY46" s="1" t="n">
        <f aca="false">(CV46-CX46)^2</f>
        <v>4.97900662844899E-009</v>
      </c>
      <c r="CZ46" s="1" t="n">
        <f aca="false">$AM46</f>
        <v>35</v>
      </c>
      <c r="DA46" s="1" t="n">
        <f aca="false">MAX(DA45-BI46/BI$9*100,0)</f>
        <v>0</v>
      </c>
      <c r="DB46" s="1" t="n">
        <f aca="false">MAX(DB45-BJ46/BJ$9*100,0)</f>
        <v>9.88098491916389E-015</v>
      </c>
      <c r="DC46" s="1" t="n">
        <f aca="false">DC$7*EXP(-$AM46/DC$8)</f>
        <v>1.28530288238082E-009</v>
      </c>
      <c r="DD46" s="1" t="n">
        <f aca="false">(DA46-DC46)^2</f>
        <v>1.65200349945644E-018</v>
      </c>
      <c r="DE46" s="1" t="n">
        <f aca="false">MAX(DE45-BL46/BL$9*100,0)</f>
        <v>0</v>
      </c>
      <c r="DF46" s="1" t="n">
        <f aca="false">MAX(DF45-BM46/BM$9*100,0)</f>
        <v>1.27388535031846</v>
      </c>
      <c r="DG46" s="1" t="n">
        <f aca="false">DG$7*EXP(-$AM46/DG$8)</f>
        <v>0.019094589676448</v>
      </c>
      <c r="DH46" s="1" t="n">
        <f aca="false">(DE46-DG46)^2</f>
        <v>0.000364603354911915</v>
      </c>
      <c r="DI46" s="1" t="n">
        <f aca="false">$AM46</f>
        <v>35</v>
      </c>
      <c r="DJ46" s="1" t="n">
        <f aca="false">MAX(DJ45-BO46/BO$9*100,0)</f>
        <v>0</v>
      </c>
      <c r="DK46" s="1" t="n">
        <f aca="false">MAX(DK45-BP46/BP$9*100,0)</f>
        <v>9.99200722162641E-015</v>
      </c>
      <c r="DL46" s="1" t="n">
        <f aca="false">DL$7*EXP(-$AM46/DL$8)</f>
        <v>7.09168804254579E-008</v>
      </c>
      <c r="DM46" s="1" t="n">
        <f aca="false">(DJ46-DL46)^2</f>
        <v>5.02920392927869E-015</v>
      </c>
      <c r="DN46" s="1" t="n">
        <f aca="false">MAX(DN45-BR46/BR$9*100,0)</f>
        <v>0.502512562814072</v>
      </c>
      <c r="DO46" s="1" t="n">
        <f aca="false">MAX(DO45-BS46/BS$9*100,0)</f>
        <v>1.50753768844221</v>
      </c>
      <c r="DP46" s="1" t="n">
        <f aca="false">DP$7*EXP(-$AM46/DP$8)</f>
        <v>0.00603009134717411</v>
      </c>
      <c r="DQ46" s="1" t="n">
        <f aca="false">(DN46-DP46)^2</f>
        <v>0.246494844473879</v>
      </c>
      <c r="DS46" s="1" t="n">
        <f aca="false">$AM46</f>
        <v>35</v>
      </c>
      <c r="DT46" s="1" t="n">
        <f aca="false">CA46</f>
        <v>0</v>
      </c>
      <c r="DU46" s="1" t="n">
        <f aca="false">DU$7*EXP(-DS46/DU$8)</f>
        <v>3.48151406709467E-014</v>
      </c>
      <c r="DV46" s="1" t="n">
        <f aca="false">(DT46-DU46)^2</f>
        <v>1.21209401993781E-027</v>
      </c>
      <c r="DX46" s="1" t="n">
        <f aca="false">$AM46</f>
        <v>35</v>
      </c>
      <c r="DY46" s="1" t="n">
        <f aca="false">CM46</f>
        <v>0</v>
      </c>
      <c r="DZ46" s="1" t="n">
        <f aca="false">DZ$7*EXP(-DX46/DZ$8)</f>
        <v>4.56203746242411E-007</v>
      </c>
      <c r="EA46" s="1" t="n">
        <f aca="false">(DY46-DZ46)^2</f>
        <v>2.0812185808561E-013</v>
      </c>
      <c r="EC46" s="1" t="n">
        <f aca="false">$AM46</f>
        <v>35</v>
      </c>
      <c r="ED46" s="1" t="n">
        <f aca="false">CV46</f>
        <v>8.88178419700125E-015</v>
      </c>
      <c r="EE46" s="1" t="n">
        <f aca="false">EE$7*EXP(-EC46/EE$8)</f>
        <v>3.27039158273534E-005</v>
      </c>
      <c r="EF46" s="1" t="n">
        <f aca="false">(ED46-EE46)^2</f>
        <v>1.06954610986168E-009</v>
      </c>
      <c r="EH46" s="1" t="n">
        <f aca="false">$AM46</f>
        <v>35</v>
      </c>
      <c r="EI46" s="1" t="n">
        <f aca="false">DE46</f>
        <v>0</v>
      </c>
      <c r="EJ46" s="1" t="n">
        <f aca="false">EJ$7*EXP(-EH46/EJ$8)</f>
        <v>0.0190153590138902</v>
      </c>
      <c r="EK46" s="1" t="n">
        <f aca="false">(EI46-EJ46)^2</f>
        <v>0.000361583878427135</v>
      </c>
      <c r="EM46" s="1" t="n">
        <f aca="false">AM46</f>
        <v>35</v>
      </c>
      <c r="EN46" s="1" t="n">
        <f aca="false">DN46</f>
        <v>0.502512562814072</v>
      </c>
      <c r="EO46" s="1" t="n">
        <f aca="false">EO$7*EXP(-EM46/EO$8)</f>
        <v>0.00821700613748272</v>
      </c>
      <c r="EP46" s="1" t="n">
        <f aca="false">(EN46-EO46)^2</f>
        <v>0.244328097350219</v>
      </c>
      <c r="ER46" s="1" t="n">
        <f aca="false">$AM46</f>
        <v>35</v>
      </c>
      <c r="ES46" s="1" t="n">
        <f aca="false">BZ46</f>
        <v>0</v>
      </c>
      <c r="ET46" s="1" t="n">
        <f aca="false">ET$7*EXP(-ER46/ET$8)</f>
        <v>1.46841116199536E-016</v>
      </c>
      <c r="EU46" s="1" t="n">
        <f aca="false">(ES46-ET46)^2</f>
        <v>2.15623134067256E-032</v>
      </c>
      <c r="EW46" s="1" t="n">
        <f aca="false">$AM46</f>
        <v>35</v>
      </c>
      <c r="EX46" s="1" t="n">
        <f aca="false">CI46</f>
        <v>0</v>
      </c>
      <c r="EY46" s="1" t="n">
        <f aca="false">EY$7*EXP(-EW46/EY$8)</f>
        <v>4.84766014359983E-015</v>
      </c>
      <c r="EZ46" s="1" t="n">
        <f aca="false">(EX46-EY46)^2</f>
        <v>2.34998088678463E-029</v>
      </c>
      <c r="FB46" s="1" t="n">
        <f aca="false">$AM46</f>
        <v>35</v>
      </c>
      <c r="FC46" s="1" t="n">
        <f aca="false">CR46</f>
        <v>0</v>
      </c>
      <c r="FD46" s="1" t="n">
        <f aca="false">FD$7*EXP(-FB46/FD$8)</f>
        <v>5.94206327574974E-013</v>
      </c>
      <c r="FE46" s="1" t="n">
        <f aca="false">(FC46-FD46)^2</f>
        <v>3.53081159730137E-025</v>
      </c>
      <c r="FG46" s="1" t="n">
        <f aca="false">$AM46</f>
        <v>35</v>
      </c>
      <c r="FH46" s="1" t="n">
        <f aca="false">DA46</f>
        <v>0</v>
      </c>
      <c r="FI46" s="1" t="n">
        <f aca="false">FI$7*EXP(-FG46/FI$8)</f>
        <v>5.09654501406991E-011</v>
      </c>
      <c r="FJ46" s="1" t="n">
        <f aca="false">(FH46-FI46)^2</f>
        <v>2.59747710804409E-021</v>
      </c>
      <c r="FL46" s="1" t="n">
        <f aca="false">EM46</f>
        <v>35</v>
      </c>
      <c r="FM46" s="1" t="n">
        <f aca="false">DJ46</f>
        <v>0</v>
      </c>
      <c r="FN46" s="1" t="n">
        <f aca="false">FN$7*EXP(-FL46/FN$8)</f>
        <v>1.25000287044715E-008</v>
      </c>
      <c r="FO46" s="1" t="n">
        <f aca="false">(FM46-FN46)^2</f>
        <v>1.56250717612611E-016</v>
      </c>
      <c r="FQ46" s="1" t="n">
        <f aca="false">AM46</f>
        <v>35</v>
      </c>
      <c r="FR46" s="1" t="n">
        <f aca="false">AN46/AN$9*100</f>
        <v>0</v>
      </c>
      <c r="FS46" s="1" t="n">
        <f aca="false">AO46/AO$9*100</f>
        <v>0</v>
      </c>
      <c r="FT46" s="1" t="n">
        <f aca="false">AQ46/AQ$9*100</f>
        <v>0</v>
      </c>
      <c r="FU46" s="1" t="n">
        <f aca="false">AR46/AR$9*100</f>
        <v>0</v>
      </c>
      <c r="FV46" s="1" t="n">
        <f aca="false">AT46/AT$9*100</f>
        <v>0</v>
      </c>
      <c r="FW46" s="1" t="n">
        <f aca="false">AU46/AU$9*100</f>
        <v>0</v>
      </c>
      <c r="FX46" s="1" t="n">
        <f aca="false">AW46/AW$9*100</f>
        <v>0</v>
      </c>
      <c r="FY46" s="1" t="n">
        <f aca="false">AX46/AX$9*100</f>
        <v>0</v>
      </c>
      <c r="FZ46" s="1" t="n">
        <f aca="false">AZ46/AZ$9*100</f>
        <v>0</v>
      </c>
      <c r="GA46" s="1" t="n">
        <f aca="false">BA46/BA$9*100</f>
        <v>0</v>
      </c>
      <c r="GB46" s="1" t="n">
        <f aca="false">BC46/BC$9*100</f>
        <v>0</v>
      </c>
      <c r="GC46" s="1" t="n">
        <f aca="false">BD46/BD$9*100</f>
        <v>0</v>
      </c>
      <c r="GD46" s="1" t="n">
        <f aca="false">BF46/BF$9*100</f>
        <v>0</v>
      </c>
      <c r="GE46" s="1" t="n">
        <f aca="false">BG46/BG$9*100</f>
        <v>0</v>
      </c>
      <c r="GF46" s="1" t="n">
        <f aca="false">BI46/BI$9*100</f>
        <v>0</v>
      </c>
      <c r="GG46" s="1" t="n">
        <f aca="false">BJ46/BJ$9*100</f>
        <v>0</v>
      </c>
      <c r="GH46" s="1" t="n">
        <f aca="false">BL46/BL$9*100</f>
        <v>0</v>
      </c>
      <c r="GI46" s="1" t="n">
        <f aca="false">BM46/BM$9*100</f>
        <v>0</v>
      </c>
      <c r="GJ46" s="1" t="n">
        <f aca="false">BO46/BO$9*100</f>
        <v>0</v>
      </c>
      <c r="GK46" s="1" t="n">
        <f aca="false">BP46/BP$9*100</f>
        <v>0</v>
      </c>
      <c r="GL46" s="1" t="n">
        <f aca="false">BR46/BR$9*100</f>
        <v>0</v>
      </c>
      <c r="GM46" s="1" t="n">
        <f aca="false">BS46/BS$9*100</f>
        <v>0</v>
      </c>
      <c r="GO46" s="1" t="n">
        <f aca="false">$AM46</f>
        <v>35</v>
      </c>
      <c r="GP46" s="1" t="n">
        <f aca="false">FT46</f>
        <v>0</v>
      </c>
      <c r="GQ46" s="1" t="n">
        <f aca="false">GQ$6*(1+GQ$5*(-1)^$FQ46)*EXP(-$FQ46/GQ$4)</f>
        <v>2.14370634343532E-010</v>
      </c>
      <c r="GR46" s="1" t="n">
        <f aca="false">(GP46-GQ46)^2</f>
        <v>4.59547688688483E-020</v>
      </c>
      <c r="GS46" s="1" t="n">
        <f aca="false">EXP($FQ46/$JG$4)*GP46</f>
        <v>0</v>
      </c>
      <c r="GT46" s="1" t="n">
        <f aca="false">EXP($FQ46/$JG$4)*(-1)^$FQ46*GP46</f>
        <v>-0</v>
      </c>
      <c r="GU46" s="1" t="n">
        <f aca="false">(-1)^GO46*GP46</f>
        <v>-0</v>
      </c>
      <c r="GW46" s="1" t="n">
        <f aca="false">$AM46</f>
        <v>35</v>
      </c>
      <c r="GX46" s="1" t="n">
        <f aca="false">FX46</f>
        <v>0</v>
      </c>
      <c r="GY46" s="1" t="n">
        <f aca="false">GY$6*(1+GY$5*(-1)^$FQ46)*EXP(-$FQ46/GY$4)</f>
        <v>2.14370634343532E-010</v>
      </c>
      <c r="GZ46" s="1" t="n">
        <f aca="false">(GX46-GY46)^2</f>
        <v>4.59547688688483E-020</v>
      </c>
      <c r="HA46" s="1" t="n">
        <f aca="false">EXP($FQ46/$JG$4)*GX46</f>
        <v>0</v>
      </c>
      <c r="HB46" s="1" t="n">
        <f aca="false">EXP($FQ46/$JG$4)*(-1)^$FQ46*GX46</f>
        <v>-0</v>
      </c>
      <c r="HC46" s="1" t="n">
        <f aca="false">(-1)^GW46*GX46</f>
        <v>-0</v>
      </c>
      <c r="HE46" s="1" t="n">
        <f aca="false">$AM46</f>
        <v>35</v>
      </c>
      <c r="HF46" s="1" t="n">
        <f aca="false">GB46</f>
        <v>0</v>
      </c>
      <c r="HG46" s="1" t="n">
        <f aca="false">HG$6*(1+HG$5*(-1)^$FQ46)*EXP(-$FQ46/HG$4)</f>
        <v>2.14370634343532E-010</v>
      </c>
      <c r="HH46" s="1" t="n">
        <f aca="false">(HF46-HG46)^2</f>
        <v>4.59547688688483E-020</v>
      </c>
      <c r="HI46" s="1" t="n">
        <f aca="false">EXP($FQ46/$JG$4)*HF46</f>
        <v>0</v>
      </c>
      <c r="HJ46" s="1" t="n">
        <f aca="false">EXP($FQ46/$JG$4)*(-1)^$FQ46*HF46</f>
        <v>-0</v>
      </c>
      <c r="HK46" s="1" t="n">
        <f aca="false">(-1)^HE46*HF46</f>
        <v>-0</v>
      </c>
      <c r="HM46" s="1" t="n">
        <f aca="false">$AM46</f>
        <v>35</v>
      </c>
      <c r="HN46" s="1" t="n">
        <f aca="false">GF46</f>
        <v>0</v>
      </c>
      <c r="HO46" s="1" t="n">
        <f aca="false">HO$6*(1+HO$5*(-1)^$FQ46)*EXP(-$FQ46/HO$4)</f>
        <v>2.86765274165141E-008</v>
      </c>
      <c r="HP46" s="1" t="n">
        <f aca="false">(HN46-HO46)^2</f>
        <v>8.22343224670085E-016</v>
      </c>
      <c r="HQ46" s="1" t="n">
        <f aca="false">EXP($FQ46/$JG$4)*HN46</f>
        <v>0</v>
      </c>
      <c r="HR46" s="1" t="n">
        <f aca="false">EXP($FQ46/$JG$4)*(-1)^$FQ46*HN46</f>
        <v>-0</v>
      </c>
      <c r="HS46" s="1" t="n">
        <f aca="false">(-1)^HM46*HN46</f>
        <v>-0</v>
      </c>
      <c r="HU46" s="1" t="n">
        <f aca="false">$AM46</f>
        <v>35</v>
      </c>
      <c r="HV46" s="1" t="n">
        <f aca="false">GJ46</f>
        <v>0</v>
      </c>
      <c r="HW46" s="1" t="n">
        <f aca="false">HW$6*(1+HW$5*(-1)^$FQ46)*EXP(-$FQ46/HW$4)</f>
        <v>5.87125414402303E-006</v>
      </c>
      <c r="HX46" s="1" t="n">
        <f aca="false">(HV46-HW46)^2</f>
        <v>3.44716252237076E-011</v>
      </c>
      <c r="HY46" s="1" t="n">
        <f aca="false">EXP($FQ46/$JG$4)*HV46</f>
        <v>0</v>
      </c>
      <c r="HZ46" s="1" t="n">
        <f aca="false">EXP($FQ46/$JG$4)*(-1)^$FQ46*HV46</f>
        <v>-0</v>
      </c>
      <c r="IA46" s="1" t="n">
        <f aca="false">(-1)^HU46*HV46</f>
        <v>-0</v>
      </c>
      <c r="IB46" s="1" t="n">
        <v>0</v>
      </c>
      <c r="ID46" s="1" t="n">
        <f aca="false">$AM46</f>
        <v>35</v>
      </c>
      <c r="IE46" s="1" t="n">
        <f aca="false">FZ46</f>
        <v>0</v>
      </c>
      <c r="IF46" s="1" t="n">
        <f aca="false">IF$6*(1+IF$5*(-1)^$FQ46)*EXP(-$FQ46/IF$4)</f>
        <v>0.000243550369581623</v>
      </c>
      <c r="IG46" s="1" t="n">
        <f aca="false">(IE46-IF46)^2</f>
        <v>5.93167825233452E-008</v>
      </c>
      <c r="IH46" s="1" t="n">
        <f aca="false">EXP($FQ46/$JG$4)*IE46</f>
        <v>0</v>
      </c>
      <c r="II46" s="1" t="n">
        <f aca="false">EXP($FQ46/$JG$4)*(-1)^$FQ46*IE46</f>
        <v>-0</v>
      </c>
      <c r="IJ46" s="1" t="n">
        <f aca="false">(-1)^ID46*IE46</f>
        <v>-0</v>
      </c>
      <c r="IK46" s="1" t="n">
        <v>0</v>
      </c>
      <c r="IM46" s="1" t="n">
        <f aca="false">$AM46</f>
        <v>35</v>
      </c>
      <c r="IN46" s="1" t="n">
        <f aca="false">GD46</f>
        <v>0</v>
      </c>
      <c r="IO46" s="1" t="n">
        <f aca="false">IO$6*(1+IO$5*(-1)^$FQ46)*EXP(-$FQ46/IO$4)</f>
        <v>0.000998313503568246</v>
      </c>
      <c r="IP46" s="1" t="n">
        <f aca="false">(IN46-IO46)^2</f>
        <v>9.96629851406706E-007</v>
      </c>
      <c r="IQ46" s="1" t="n">
        <f aca="false">EXP($FQ46/$JG$4)*IN46</f>
        <v>0</v>
      </c>
      <c r="IR46" s="1" t="n">
        <f aca="false">EXP($FQ46/$JG$4)*(-1)^$FQ46*IN46</f>
        <v>-0</v>
      </c>
      <c r="IS46" s="1" t="n">
        <f aca="false">(-1)^IM46*IN46</f>
        <v>-0</v>
      </c>
      <c r="IT46" s="1" t="n">
        <v>0</v>
      </c>
      <c r="IV46" s="1" t="n">
        <f aca="false">$AM46</f>
        <v>35</v>
      </c>
      <c r="IW46" s="1" t="n">
        <f aca="false">GH46</f>
        <v>0</v>
      </c>
      <c r="IX46" s="1" t="n">
        <f aca="false">IX$6*(1+IX$5*(-1)^$FQ46)*EXP(-$FQ46/IX$4)</f>
        <v>0.0109990913997871</v>
      </c>
      <c r="IY46" s="1" t="n">
        <f aca="false">(IW46-IX46)^2</f>
        <v>0.000120980011620871</v>
      </c>
      <c r="IZ46" s="1" t="n">
        <f aca="false">EXP($FQ46/$JG$4)*IW46</f>
        <v>0</v>
      </c>
      <c r="JA46" s="1" t="n">
        <f aca="false">EXP($FQ46/$JG$4)*(-1)^$FQ46*IW46</f>
        <v>-0</v>
      </c>
      <c r="JB46" s="1" t="n">
        <f aca="false">(-1)^IV46*IW46</f>
        <v>-0</v>
      </c>
      <c r="JC46" s="1" t="n">
        <v>0</v>
      </c>
      <c r="JE46" s="1" t="n">
        <f aca="false">$AM46</f>
        <v>35</v>
      </c>
      <c r="JF46" s="1" t="n">
        <f aca="false">GL46</f>
        <v>0</v>
      </c>
      <c r="JG46" s="1" t="n">
        <f aca="false">JG$6*(1+JG$5*(-1)^$FQ46)*EXP(-$FQ46/JG$4)</f>
        <v>0.00214218095418445</v>
      </c>
      <c r="JH46" s="1" t="n">
        <f aca="false">(JF46-JG46)^2</f>
        <v>4.5889392404706E-006</v>
      </c>
      <c r="JI46" s="1" t="n">
        <f aca="false">EXP($FQ46/$JG$4)*JF46</f>
        <v>0</v>
      </c>
      <c r="JJ46" s="1" t="n">
        <f aca="false">EXP($FQ46/$JG$4)*(-1)^$FQ46*JF46</f>
        <v>-0</v>
      </c>
      <c r="JK46" s="1" t="n">
        <f aca="false">(-1)^JE46*JF46</f>
        <v>-0</v>
      </c>
      <c r="JO46" s="1" t="n">
        <f aca="false">$AM46</f>
        <v>35</v>
      </c>
      <c r="JP46" s="1" t="n">
        <f aca="false">GM46</f>
        <v>0</v>
      </c>
      <c r="JQ46" s="1" t="n">
        <f aca="false">JQ$6*(1+JQ$5*(-1)^$FQ46)*EXP(-$FQ46/JQ$4)</f>
        <v>0.166599221200968</v>
      </c>
      <c r="JR46" s="1" t="n">
        <f aca="false">(JP46-JQ46)^2</f>
        <v>0.0277553005047691</v>
      </c>
      <c r="JS46" s="1" t="n">
        <f aca="false">EXP($FQ46/$JG$4)*JP46</f>
        <v>0</v>
      </c>
      <c r="JT46" s="1" t="n">
        <f aca="false">EXP($FQ46/$JG$4)*(-1)^$FQ46*JP46</f>
        <v>-0</v>
      </c>
      <c r="JU46" s="1" t="n">
        <f aca="false">(-1)^JO46*JP46</f>
        <v>-0</v>
      </c>
    </row>
    <row r="47" customFormat="false" ht="16" hidden="false" customHeight="false" outlineLevel="0" collapsed="false">
      <c r="A47" s="1" t="n">
        <v>1</v>
      </c>
      <c r="B47" s="1" t="n">
        <v>1</v>
      </c>
      <c r="C47" s="1" t="n">
        <f aca="false">B47-A47</f>
        <v>0</v>
      </c>
      <c r="D47" s="1" t="n">
        <v>2</v>
      </c>
      <c r="E47" s="1" t="n">
        <v>2</v>
      </c>
      <c r="F47" s="1" t="n">
        <f aca="false">E47-D47</f>
        <v>0</v>
      </c>
      <c r="G47" s="1" t="n">
        <v>1</v>
      </c>
      <c r="H47" s="1" t="n">
        <v>1</v>
      </c>
      <c r="I47" s="1" t="n">
        <f aca="false">H47-G47</f>
        <v>0</v>
      </c>
      <c r="J47" s="1" t="n">
        <v>4</v>
      </c>
      <c r="K47" s="1" t="n">
        <v>4</v>
      </c>
      <c r="L47" s="1" t="n">
        <f aca="false">K47-J47</f>
        <v>0</v>
      </c>
      <c r="M47" s="1" t="n">
        <v>1</v>
      </c>
      <c r="N47" s="1" t="n">
        <v>1</v>
      </c>
      <c r="O47" s="1" t="n">
        <f aca="false">N47-M47</f>
        <v>0</v>
      </c>
      <c r="P47" s="1" t="n">
        <v>1</v>
      </c>
      <c r="Q47" s="1" t="n">
        <v>2</v>
      </c>
      <c r="R47" s="1" t="n">
        <f aca="false">Q47-P47</f>
        <v>1</v>
      </c>
      <c r="S47" s="1" t="n">
        <v>2</v>
      </c>
      <c r="T47" s="1" t="n">
        <v>4</v>
      </c>
      <c r="U47" s="1" t="n">
        <f aca="false">T47-S47</f>
        <v>2</v>
      </c>
      <c r="V47" s="1" t="n">
        <v>1</v>
      </c>
      <c r="W47" s="1" t="n">
        <v>1</v>
      </c>
      <c r="X47" s="1" t="n">
        <f aca="false">W47-V47</f>
        <v>0</v>
      </c>
      <c r="Y47" s="1" t="n">
        <v>2</v>
      </c>
      <c r="Z47" s="1" t="n">
        <v>6</v>
      </c>
      <c r="AA47" s="1" t="n">
        <f aca="false">Z47-Y47</f>
        <v>4</v>
      </c>
      <c r="AB47" s="1" t="n">
        <v>4</v>
      </c>
      <c r="AC47" s="1" t="n">
        <v>12</v>
      </c>
      <c r="AD47" s="1" t="n">
        <f aca="false">AC47-AB47</f>
        <v>8</v>
      </c>
      <c r="AE47" s="1" t="n">
        <v>2</v>
      </c>
      <c r="AF47" s="1" t="n">
        <v>24</v>
      </c>
      <c r="AG47" s="1" t="n">
        <f aca="false">AF47-AE47</f>
        <v>22</v>
      </c>
      <c r="AI47" s="1" t="s">
        <v>41</v>
      </c>
      <c r="AJ47" s="1" t="n">
        <f aca="false">COUNTIFS(AC$2:AC$1000,2,AB$2:AB$1000,2)</f>
        <v>19</v>
      </c>
      <c r="AM47" s="1" t="n">
        <v>36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W47" s="1" t="n">
        <f aca="false">$AM47</f>
        <v>36</v>
      </c>
      <c r="BX47" s="1" t="n">
        <f aca="false">MAX(BX46-AN47/AN$9*100,0)</f>
        <v>0</v>
      </c>
      <c r="BY47" s="1" t="n">
        <f aca="false">MAX(BY46-AO47/AO$9*100,0)</f>
        <v>0</v>
      </c>
      <c r="BZ47" s="1" t="n">
        <f aca="false">MAX(BZ46-AQ47/AQ$9*100,0)</f>
        <v>0</v>
      </c>
      <c r="CA47" s="1" t="n">
        <f aca="false">MAX(CA46-AR47/AR$9*100,0)</f>
        <v>0</v>
      </c>
      <c r="CB47" s="1" t="n">
        <f aca="false">CB$7*EXP(-$AM47/CB$8)</f>
        <v>1.03626113471479E-018</v>
      </c>
      <c r="CC47" s="1" t="n">
        <f aca="false">(BZ47-CB47)^2</f>
        <v>1.07383713932038E-036</v>
      </c>
      <c r="CD47" s="1" t="n">
        <f aca="false">MAX(CD46-AT47/AT$9*100,0)</f>
        <v>0</v>
      </c>
      <c r="CE47" s="1" t="n">
        <f aca="false">MAX(CE46-AU47/AU$9*100,0)</f>
        <v>5.32907051820075E-015</v>
      </c>
      <c r="CF47" s="1" t="n">
        <f aca="false">CF$7*EXP(-$AM47/CF$8)</f>
        <v>3.38463364884923E-018</v>
      </c>
      <c r="CG47" s="1" t="n">
        <f aca="false">(CD47-CF47)^2</f>
        <v>1.14557449369225E-035</v>
      </c>
      <c r="CH47" s="1" t="n">
        <f aca="false">$AM47</f>
        <v>36</v>
      </c>
      <c r="CI47" s="1" t="n">
        <f aca="false">MAX(CI46-AW47/AW$9*100,0)</f>
        <v>0</v>
      </c>
      <c r="CJ47" s="1" t="n">
        <f aca="false">MAX(CJ46-AX47/AX$9*100,0)</f>
        <v>0</v>
      </c>
      <c r="CK47" s="1" t="n">
        <f aca="false">CK$7*EXP(-$AM47/CK$8)</f>
        <v>7.71814381758283E-012</v>
      </c>
      <c r="CL47" s="1" t="n">
        <f aca="false">(CI47-CK47)^2</f>
        <v>5.95697439888921E-023</v>
      </c>
      <c r="CM47" s="1" t="n">
        <f aca="false">MAX(CM46-AZ47/AZ$9*100,0)</f>
        <v>0</v>
      </c>
      <c r="CN47" s="1" t="n">
        <f aca="false">MAX(CN46-BA47/BA$9*100,0)</f>
        <v>5.32907051820075E-015</v>
      </c>
      <c r="CO47" s="1" t="n">
        <f aca="false">CO$7*EXP(-$AM47/CO$8)</f>
        <v>4.04777512571297E-006</v>
      </c>
      <c r="CP47" s="1" t="n">
        <f aca="false">(CM47-CO47)^2</f>
        <v>1.63844834683407E-011</v>
      </c>
      <c r="CQ47" s="1" t="n">
        <f aca="false">$AM47</f>
        <v>36</v>
      </c>
      <c r="CR47" s="1" t="n">
        <f aca="false">MAX(CR46-BC47/BC$9*100,0)</f>
        <v>0</v>
      </c>
      <c r="CS47" s="1" t="n">
        <f aca="false">MAX(CS46-BD47/BD$9*100,0)</f>
        <v>0</v>
      </c>
      <c r="CT47" s="1" t="n">
        <f aca="false">CT$7*EXP(-$AM47/CT$8)</f>
        <v>7.18799243735493E-011</v>
      </c>
      <c r="CU47" s="1" t="n">
        <f aca="false">(CR47-CT47)^2</f>
        <v>5.16672352794717E-021</v>
      </c>
      <c r="CV47" s="1" t="n">
        <f aca="false">MAX(CV46-BF47/BF$9*100,0)</f>
        <v>8.88178419700125E-015</v>
      </c>
      <c r="CW47" s="1" t="n">
        <f aca="false">MAX(CW46-BG47/BG$9*100,0)</f>
        <v>5.32907051820075E-015</v>
      </c>
      <c r="CX47" s="1" t="n">
        <f aca="false">CX$7*EXP(-$AM47/CX$8)</f>
        <v>4.66778476895709E-005</v>
      </c>
      <c r="CY47" s="1" t="n">
        <f aca="false">(CV47-CX47)^2</f>
        <v>2.17882146410161E-009</v>
      </c>
      <c r="CZ47" s="1" t="n">
        <f aca="false">$AM47</f>
        <v>36</v>
      </c>
      <c r="DA47" s="1" t="n">
        <f aca="false">MAX(DA46-BI47/BI$9*100,0)</f>
        <v>0</v>
      </c>
      <c r="DB47" s="1" t="n">
        <f aca="false">MAX(DB46-BJ47/BJ$9*100,0)</f>
        <v>9.88098491916389E-015</v>
      </c>
      <c r="DC47" s="1" t="n">
        <f aca="false">DC$7*EXP(-$AM47/DC$8)</f>
        <v>6.19444227265126E-010</v>
      </c>
      <c r="DD47" s="1" t="n">
        <f aca="false">(DA47-DC47)^2</f>
        <v>3.83711150692089E-019</v>
      </c>
      <c r="DE47" s="1" t="n">
        <f aca="false">MAX(DE46-BL47/BL$9*100,0)</f>
        <v>0</v>
      </c>
      <c r="DF47" s="1" t="n">
        <f aca="false">MAX(DF46-BM47/BM$9*100,0)</f>
        <v>1.27388535031846</v>
      </c>
      <c r="DG47" s="1" t="n">
        <f aca="false">DG$7*EXP(-$AM47/DG$8)</f>
        <v>0.0148708813924449</v>
      </c>
      <c r="DH47" s="1" t="n">
        <f aca="false">(DE47-DG47)^2</f>
        <v>0.000221143113388164</v>
      </c>
      <c r="DI47" s="1" t="n">
        <f aca="false">$AM47</f>
        <v>36</v>
      </c>
      <c r="DJ47" s="1" t="n">
        <f aca="false">MAX(DJ46-BO47/BO$9*100,0)</f>
        <v>0</v>
      </c>
      <c r="DK47" s="1" t="n">
        <f aca="false">MAX(DK46-BP47/BP$9*100,0)</f>
        <v>9.99200722162641E-015</v>
      </c>
      <c r="DL47" s="1" t="n">
        <f aca="false">DL$7*EXP(-$AM47/DL$8)</f>
        <v>3.83982375148871E-008</v>
      </c>
      <c r="DM47" s="1" t="n">
        <f aca="false">(DJ47-DL47)^2</f>
        <v>1.47442464424968E-015</v>
      </c>
      <c r="DN47" s="1" t="n">
        <f aca="false">MAX(DN46-BR47/BR$9*100,0)</f>
        <v>0.502512562814072</v>
      </c>
      <c r="DO47" s="1" t="n">
        <f aca="false">MAX(DO46-BS47/BS$9*100,0)</f>
        <v>1.50753768844221</v>
      </c>
      <c r="DP47" s="1" t="n">
        <f aca="false">DP$7*EXP(-$AM47/DP$8)</f>
        <v>0.00454249327320337</v>
      </c>
      <c r="DQ47" s="1" t="n">
        <f aca="false">(DN47-DP47)^2</f>
        <v>0.247974190158538</v>
      </c>
      <c r="DS47" s="1" t="n">
        <f aca="false">$AM47</f>
        <v>36</v>
      </c>
      <c r="DT47" s="1" t="n">
        <f aca="false">CA47</f>
        <v>0</v>
      </c>
      <c r="DU47" s="1" t="n">
        <f aca="false">DU$7*EXP(-DS47/DU$8)</f>
        <v>1.24177206095561E-014</v>
      </c>
      <c r="DV47" s="1" t="n">
        <f aca="false">(DT47-DU47)^2</f>
        <v>1.54199785136994E-028</v>
      </c>
      <c r="DX47" s="1" t="n">
        <f aca="false">$AM47</f>
        <v>36</v>
      </c>
      <c r="DY47" s="1" t="n">
        <f aca="false">CM47</f>
        <v>0</v>
      </c>
      <c r="DZ47" s="1" t="n">
        <f aca="false">DZ$7*EXP(-DX47/DZ$8)</f>
        <v>2.60119663365615E-007</v>
      </c>
      <c r="EA47" s="1" t="n">
        <f aca="false">(DY47-DZ47)^2</f>
        <v>6.76622392694409E-014</v>
      </c>
      <c r="EC47" s="1" t="n">
        <f aca="false">$AM47</f>
        <v>36</v>
      </c>
      <c r="ED47" s="1" t="n">
        <f aca="false">CV47</f>
        <v>8.88178419700125E-015</v>
      </c>
      <c r="EE47" s="1" t="n">
        <f aca="false">EE$7*EXP(-EC47/EE$8)</f>
        <v>2.11325308170684E-005</v>
      </c>
      <c r="EF47" s="1" t="n">
        <f aca="false">(ED47-EE47)^2</f>
        <v>4.46583858358957E-010</v>
      </c>
      <c r="EH47" s="1" t="n">
        <f aca="false">$AM47</f>
        <v>36</v>
      </c>
      <c r="EI47" s="1" t="n">
        <f aca="false">DE47</f>
        <v>0</v>
      </c>
      <c r="EJ47" s="1" t="n">
        <f aca="false">EJ$7*EXP(-EH47/EJ$8)</f>
        <v>0.0148091764904015</v>
      </c>
      <c r="EK47" s="1" t="n">
        <f aca="false">(EI47-EJ47)^2</f>
        <v>0.00021931170832386</v>
      </c>
      <c r="EM47" s="1" t="n">
        <f aca="false">AM47</f>
        <v>36</v>
      </c>
      <c r="EN47" s="1" t="n">
        <f aca="false">DN47</f>
        <v>0.502512562814072</v>
      </c>
      <c r="EO47" s="1" t="n">
        <f aca="false">EO$7*EXP(-EM47/EO$8)</f>
        <v>0.0062478244998728</v>
      </c>
      <c r="EP47" s="1" t="n">
        <f aca="false">(EN47-EO47)^2</f>
        <v>0.246278690494061</v>
      </c>
      <c r="ER47" s="1" t="n">
        <f aca="false">$AM47</f>
        <v>36</v>
      </c>
      <c r="ES47" s="1" t="n">
        <f aca="false">BZ47</f>
        <v>0</v>
      </c>
      <c r="ET47" s="1" t="n">
        <f aca="false">ET$7*EXP(-ER47/ET$8)</f>
        <v>4.46509225798365E-017</v>
      </c>
      <c r="EU47" s="1" t="n">
        <f aca="false">(ES47-ET47)^2</f>
        <v>1.99370488723055E-033</v>
      </c>
      <c r="EW47" s="1" t="n">
        <f aca="false">$AM47</f>
        <v>36</v>
      </c>
      <c r="EX47" s="1" t="n">
        <f aca="false">CI47</f>
        <v>0</v>
      </c>
      <c r="EY47" s="1" t="n">
        <f aca="false">EY$7*EXP(-EW47/EY$8)</f>
        <v>1.61542009729992E-015</v>
      </c>
      <c r="EZ47" s="1" t="n">
        <f aca="false">(EX47-EY47)^2</f>
        <v>2.60958209076048E-030</v>
      </c>
      <c r="FB47" s="1" t="n">
        <f aca="false">$AM47</f>
        <v>36</v>
      </c>
      <c r="FC47" s="1" t="n">
        <f aca="false">CR47</f>
        <v>0</v>
      </c>
      <c r="FD47" s="1" t="n">
        <f aca="false">FD$7*EXP(-FB47/FD$8)</f>
        <v>2.2925746183111E-013</v>
      </c>
      <c r="FE47" s="1" t="n">
        <f aca="false">(FC47-FD47)^2</f>
        <v>5.25589838052429E-026</v>
      </c>
      <c r="FG47" s="1" t="n">
        <f aca="false">$AM47</f>
        <v>36</v>
      </c>
      <c r="FH47" s="1" t="n">
        <f aca="false">DA47</f>
        <v>0</v>
      </c>
      <c r="FI47" s="1" t="n">
        <f aca="false">FI$7*EXP(-FG47/FI$8)</f>
        <v>2.23025645465051E-011</v>
      </c>
      <c r="FJ47" s="1" t="n">
        <f aca="false">(FH47-FI47)^2</f>
        <v>4.97404385351026E-022</v>
      </c>
      <c r="FL47" s="1" t="n">
        <f aca="false">EM47</f>
        <v>36</v>
      </c>
      <c r="FM47" s="1" t="n">
        <f aca="false">DJ47</f>
        <v>0</v>
      </c>
      <c r="FN47" s="1" t="n">
        <f aca="false">FN$7*EXP(-FL47/FN$8)</f>
        <v>6.41772872527447E-009</v>
      </c>
      <c r="FO47" s="1" t="n">
        <f aca="false">(FM47-FN47)^2</f>
        <v>4.11872419912131E-017</v>
      </c>
      <c r="FQ47" s="1" t="n">
        <f aca="false">AM47</f>
        <v>36</v>
      </c>
      <c r="FR47" s="1" t="n">
        <f aca="false">AN47/AN$9*100</f>
        <v>0</v>
      </c>
      <c r="FS47" s="1" t="n">
        <f aca="false">AO47/AO$9*100</f>
        <v>0</v>
      </c>
      <c r="FT47" s="1" t="n">
        <f aca="false">AQ47/AQ$9*100</f>
        <v>0</v>
      </c>
      <c r="FU47" s="1" t="n">
        <f aca="false">AR47/AR$9*100</f>
        <v>0</v>
      </c>
      <c r="FV47" s="1" t="n">
        <f aca="false">AT47/AT$9*100</f>
        <v>0</v>
      </c>
      <c r="FW47" s="1" t="n">
        <f aca="false">AU47/AU$9*100</f>
        <v>0</v>
      </c>
      <c r="FX47" s="1" t="n">
        <f aca="false">AW47/AW$9*100</f>
        <v>0</v>
      </c>
      <c r="FY47" s="1" t="n">
        <f aca="false">AX47/AX$9*100</f>
        <v>0</v>
      </c>
      <c r="FZ47" s="1" t="n">
        <f aca="false">AZ47/AZ$9*100</f>
        <v>0</v>
      </c>
      <c r="GA47" s="1" t="n">
        <f aca="false">BA47/BA$9*100</f>
        <v>0</v>
      </c>
      <c r="GB47" s="1" t="n">
        <f aca="false">BC47/BC$9*100</f>
        <v>0</v>
      </c>
      <c r="GC47" s="1" t="n">
        <f aca="false">BD47/BD$9*100</f>
        <v>0</v>
      </c>
      <c r="GD47" s="1" t="n">
        <f aca="false">BF47/BF$9*100</f>
        <v>0</v>
      </c>
      <c r="GE47" s="1" t="n">
        <f aca="false">BG47/BG$9*100</f>
        <v>0</v>
      </c>
      <c r="GF47" s="1" t="n">
        <f aca="false">BI47/BI$9*100</f>
        <v>0</v>
      </c>
      <c r="GG47" s="1" t="n">
        <f aca="false">BJ47/BJ$9*100</f>
        <v>0</v>
      </c>
      <c r="GH47" s="1" t="n">
        <f aca="false">BL47/BL$9*100</f>
        <v>0</v>
      </c>
      <c r="GI47" s="1" t="n">
        <f aca="false">BM47/BM$9*100</f>
        <v>0</v>
      </c>
      <c r="GJ47" s="1" t="n">
        <f aca="false">BO47/BO$9*100</f>
        <v>0</v>
      </c>
      <c r="GK47" s="1" t="n">
        <f aca="false">BP47/BP$9*100</f>
        <v>0</v>
      </c>
      <c r="GL47" s="1" t="n">
        <f aca="false">BR47/BR$9*100</f>
        <v>0</v>
      </c>
      <c r="GM47" s="1" t="n">
        <f aca="false">BS47/BS$9*100</f>
        <v>0</v>
      </c>
      <c r="GO47" s="1" t="n">
        <f aca="false">$AM47</f>
        <v>36</v>
      </c>
      <c r="GP47" s="1" t="n">
        <f aca="false">FT47</f>
        <v>0</v>
      </c>
      <c r="GQ47" s="1" t="n">
        <f aca="false">GQ$6*(1+GQ$5*(-1)^$FQ47)*EXP(-$FQ47/GQ$4)</f>
        <v>2.93609710111388E-010</v>
      </c>
      <c r="GR47" s="1" t="n">
        <f aca="false">(GP47-GQ47)^2</f>
        <v>8.62066618716933E-020</v>
      </c>
      <c r="GS47" s="1" t="n">
        <f aca="false">EXP($FQ47/$JG$4)*GP47</f>
        <v>0</v>
      </c>
      <c r="GT47" s="1" t="n">
        <f aca="false">EXP($FQ47/$JG$4)*(-1)^$FQ47*GP47</f>
        <v>0</v>
      </c>
      <c r="GU47" s="1" t="n">
        <f aca="false">(-1)^GO47*GP47</f>
        <v>0</v>
      </c>
      <c r="GW47" s="1" t="n">
        <f aca="false">$AM47</f>
        <v>36</v>
      </c>
      <c r="GX47" s="1" t="n">
        <f aca="false">FX47</f>
        <v>0</v>
      </c>
      <c r="GY47" s="1" t="n">
        <f aca="false">GY$6*(1+GY$5*(-1)^$FQ47)*EXP(-$FQ47/GY$4)</f>
        <v>2.93609710111388E-010</v>
      </c>
      <c r="GZ47" s="1" t="n">
        <f aca="false">(GX47-GY47)^2</f>
        <v>8.62066618716933E-020</v>
      </c>
      <c r="HA47" s="1" t="n">
        <f aca="false">EXP($FQ47/$JG$4)*GX47</f>
        <v>0</v>
      </c>
      <c r="HB47" s="1" t="n">
        <f aca="false">EXP($FQ47/$JG$4)*(-1)^$FQ47*GX47</f>
        <v>0</v>
      </c>
      <c r="HC47" s="1" t="n">
        <f aca="false">(-1)^GW47*GX47</f>
        <v>0</v>
      </c>
      <c r="HE47" s="1" t="n">
        <f aca="false">$AM47</f>
        <v>36</v>
      </c>
      <c r="HF47" s="1" t="n">
        <f aca="false">GB47</f>
        <v>0</v>
      </c>
      <c r="HG47" s="1" t="n">
        <f aca="false">HG$6*(1+HG$5*(-1)^$FQ47)*EXP(-$FQ47/HG$4)</f>
        <v>2.93609710111388E-010</v>
      </c>
      <c r="HH47" s="1" t="n">
        <f aca="false">(HF47-HG47)^2</f>
        <v>8.62066618716933E-020</v>
      </c>
      <c r="HI47" s="1" t="n">
        <f aca="false">EXP($FQ47/$JG$4)*HF47</f>
        <v>0</v>
      </c>
      <c r="HJ47" s="1" t="n">
        <f aca="false">EXP($FQ47/$JG$4)*(-1)^$FQ47*HF47</f>
        <v>0</v>
      </c>
      <c r="HK47" s="1" t="n">
        <f aca="false">(-1)^HE47*HF47</f>
        <v>0</v>
      </c>
      <c r="HM47" s="1" t="n">
        <f aca="false">$AM47</f>
        <v>36</v>
      </c>
      <c r="HN47" s="1" t="n">
        <f aca="false">GF47</f>
        <v>0</v>
      </c>
      <c r="HO47" s="1" t="n">
        <f aca="false">HO$6*(1+HO$5*(-1)^$FQ47)*EXP(-$FQ47/HO$4)</f>
        <v>7.17813018514155E-008</v>
      </c>
      <c r="HP47" s="1" t="n">
        <f aca="false">(HN47-HO47)^2</f>
        <v>5.15255529548403E-015</v>
      </c>
      <c r="HQ47" s="1" t="n">
        <f aca="false">EXP($FQ47/$JG$4)*HN47</f>
        <v>0</v>
      </c>
      <c r="HR47" s="1" t="n">
        <f aca="false">EXP($FQ47/$JG$4)*(-1)^$FQ47*HN47</f>
        <v>0</v>
      </c>
      <c r="HS47" s="1" t="n">
        <f aca="false">(-1)^HM47*HN47</f>
        <v>0</v>
      </c>
      <c r="HU47" s="1" t="n">
        <f aca="false">$AM47</f>
        <v>36</v>
      </c>
      <c r="HV47" s="1" t="n">
        <f aca="false">GJ47</f>
        <v>0</v>
      </c>
      <c r="HW47" s="1" t="n">
        <f aca="false">HW$6*(1+HW$5*(-1)^$FQ47)*EXP(-$FQ47/HW$4)</f>
        <v>1.13158305249042E-005</v>
      </c>
      <c r="HX47" s="1" t="n">
        <f aca="false">(HV47-HW47)^2</f>
        <v>1.28048020468354E-010</v>
      </c>
      <c r="HY47" s="1" t="n">
        <f aca="false">EXP($FQ47/$JG$4)*HV47</f>
        <v>0</v>
      </c>
      <c r="HZ47" s="1" t="n">
        <f aca="false">EXP($FQ47/$JG$4)*(-1)^$FQ47*HV47</f>
        <v>0</v>
      </c>
      <c r="IA47" s="1" t="n">
        <f aca="false">(-1)^HU47*HV47</f>
        <v>0</v>
      </c>
      <c r="IB47" s="1" t="n">
        <v>0</v>
      </c>
      <c r="ID47" s="1" t="n">
        <f aca="false">$AM47</f>
        <v>36</v>
      </c>
      <c r="IE47" s="1" t="n">
        <f aca="false">FZ47</f>
        <v>0</v>
      </c>
      <c r="IF47" s="1" t="n">
        <f aca="false">IF$6*(1+IF$5*(-1)^$FQ47)*EXP(-$FQ47/IF$4)</f>
        <v>0.000338757550690158</v>
      </c>
      <c r="IG47" s="1" t="n">
        <f aca="false">(IE47-IF47)^2</f>
        <v>1.14756678149595E-007</v>
      </c>
      <c r="IH47" s="1" t="n">
        <f aca="false">EXP($FQ47/$JG$4)*IE47</f>
        <v>0</v>
      </c>
      <c r="II47" s="1" t="n">
        <f aca="false">EXP($FQ47/$JG$4)*(-1)^$FQ47*IE47</f>
        <v>0</v>
      </c>
      <c r="IJ47" s="1" t="n">
        <f aca="false">(-1)^ID47*IE47</f>
        <v>0</v>
      </c>
      <c r="IK47" s="1" t="n">
        <v>0</v>
      </c>
      <c r="IM47" s="1" t="n">
        <f aca="false">$AM47</f>
        <v>36</v>
      </c>
      <c r="IN47" s="1" t="n">
        <f aca="false">GD47</f>
        <v>0</v>
      </c>
      <c r="IO47" s="1" t="n">
        <f aca="false">IO$6*(1+IO$5*(-1)^$FQ47)*EXP(-$FQ47/IO$4)</f>
        <v>0.00163140889387889</v>
      </c>
      <c r="IP47" s="1" t="n">
        <f aca="false">(IN47-IO47)^2</f>
        <v>2.66149497902714E-006</v>
      </c>
      <c r="IQ47" s="1" t="n">
        <f aca="false">EXP($FQ47/$JG$4)*IN47</f>
        <v>0</v>
      </c>
      <c r="IR47" s="1" t="n">
        <f aca="false">EXP($FQ47/$JG$4)*(-1)^$FQ47*IN47</f>
        <v>0</v>
      </c>
      <c r="IS47" s="1" t="n">
        <f aca="false">(-1)^IM47*IN47</f>
        <v>0</v>
      </c>
      <c r="IT47" s="1" t="n">
        <v>0</v>
      </c>
      <c r="IV47" s="1" t="n">
        <f aca="false">$AM47</f>
        <v>36</v>
      </c>
      <c r="IW47" s="1" t="n">
        <f aca="false">GH47</f>
        <v>0</v>
      </c>
      <c r="IX47" s="1" t="n">
        <f aca="false">IX$6*(1+IX$5*(-1)^$FQ47)*EXP(-$FQ47/IX$4)</f>
        <v>0.0351926450235128</v>
      </c>
      <c r="IY47" s="1" t="n">
        <f aca="false">(IW47-IX47)^2</f>
        <v>0.00123852226375098</v>
      </c>
      <c r="IZ47" s="1" t="n">
        <f aca="false">EXP($FQ47/$JG$4)*IW47</f>
        <v>0</v>
      </c>
      <c r="JA47" s="1" t="n">
        <f aca="false">EXP($FQ47/$JG$4)*(-1)^$FQ47*IW47</f>
        <v>0</v>
      </c>
      <c r="JB47" s="1" t="n">
        <f aca="false">(-1)^IV47*IW47</f>
        <v>0</v>
      </c>
      <c r="JC47" s="1" t="n">
        <v>0.000299</v>
      </c>
      <c r="JE47" s="1" t="n">
        <f aca="false">$AM47</f>
        <v>36</v>
      </c>
      <c r="JF47" s="1" t="n">
        <f aca="false">GL47</f>
        <v>0</v>
      </c>
      <c r="JG47" s="1" t="n">
        <f aca="false">JG$6*(1+JG$5*(-1)^$FQ47)*EXP(-$FQ47/JG$4)</f>
        <v>0.0111029679350779</v>
      </c>
      <c r="JH47" s="1" t="n">
        <f aca="false">(JF47-JG47)^2</f>
        <v>0.000123275896967368</v>
      </c>
      <c r="JI47" s="1" t="n">
        <f aca="false">EXP($FQ47/$JG$4)*JF47</f>
        <v>0</v>
      </c>
      <c r="JJ47" s="1" t="n">
        <f aca="false">EXP($FQ47/$JG$4)*(-1)^$FQ47*JF47</f>
        <v>0</v>
      </c>
      <c r="JK47" s="1" t="n">
        <f aca="false">(-1)^JE47*JF47</f>
        <v>0</v>
      </c>
      <c r="JO47" s="1" t="n">
        <f aca="false">$AM47</f>
        <v>36</v>
      </c>
      <c r="JP47" s="1" t="n">
        <f aca="false">GM47</f>
        <v>0</v>
      </c>
      <c r="JQ47" s="1" t="n">
        <f aca="false">JQ$6*(1+JQ$5*(-1)^$FQ47)*EXP(-$FQ47/JQ$4)</f>
        <v>0.807399938025957</v>
      </c>
      <c r="JR47" s="1" t="n">
        <f aca="false">(JP47-JQ47)^2</f>
        <v>0.651894659924319</v>
      </c>
      <c r="JS47" s="1" t="n">
        <f aca="false">EXP($FQ47/$JG$4)*JP47</f>
        <v>0</v>
      </c>
      <c r="JT47" s="1" t="n">
        <f aca="false">EXP($FQ47/$JG$4)*(-1)^$FQ47*JP47</f>
        <v>0</v>
      </c>
      <c r="JU47" s="1" t="n">
        <f aca="false">(-1)^JO47*JP47</f>
        <v>0</v>
      </c>
    </row>
    <row r="48" customFormat="false" ht="16" hidden="false" customHeight="false" outlineLevel="0" collapsed="false">
      <c r="A48" s="1" t="n">
        <v>2</v>
      </c>
      <c r="B48" s="1" t="n">
        <v>2</v>
      </c>
      <c r="C48" s="1" t="n">
        <f aca="false">B48-A48</f>
        <v>0</v>
      </c>
      <c r="D48" s="1" t="n">
        <v>2</v>
      </c>
      <c r="E48" s="1" t="n">
        <v>2</v>
      </c>
      <c r="F48" s="1" t="n">
        <f aca="false">E48-D48</f>
        <v>0</v>
      </c>
      <c r="G48" s="1" t="n">
        <v>1</v>
      </c>
      <c r="H48" s="1" t="n">
        <v>1</v>
      </c>
      <c r="I48" s="1" t="n">
        <f aca="false">H48-G48</f>
        <v>0</v>
      </c>
      <c r="J48" s="1" t="n">
        <v>1</v>
      </c>
      <c r="K48" s="1" t="n">
        <v>1</v>
      </c>
      <c r="L48" s="1" t="n">
        <f aca="false">K48-J48</f>
        <v>0</v>
      </c>
      <c r="M48" s="1" t="n">
        <v>4</v>
      </c>
      <c r="N48" s="1" t="n">
        <v>4</v>
      </c>
      <c r="O48" s="1" t="n">
        <f aca="false">N48-M48</f>
        <v>0</v>
      </c>
      <c r="P48" s="1" t="n">
        <v>2</v>
      </c>
      <c r="Q48" s="1" t="n">
        <v>3</v>
      </c>
      <c r="R48" s="1" t="n">
        <f aca="false">Q48-P48</f>
        <v>1</v>
      </c>
      <c r="S48" s="1" t="n">
        <v>3</v>
      </c>
      <c r="T48" s="1" t="n">
        <v>5</v>
      </c>
      <c r="U48" s="1" t="n">
        <f aca="false">T48-S48</f>
        <v>2</v>
      </c>
      <c r="V48" s="1" t="n">
        <v>5</v>
      </c>
      <c r="W48" s="1" t="n">
        <v>5</v>
      </c>
      <c r="X48" s="1" t="n">
        <f aca="false">W48-V48</f>
        <v>0</v>
      </c>
      <c r="Y48" s="1" t="n">
        <v>4</v>
      </c>
      <c r="Z48" s="1" t="n">
        <v>4</v>
      </c>
      <c r="AA48" s="1" t="n">
        <f aca="false">Z48-Y48</f>
        <v>0</v>
      </c>
      <c r="AB48" s="1" t="n">
        <v>3</v>
      </c>
      <c r="AC48" s="1" t="n">
        <v>5</v>
      </c>
      <c r="AD48" s="1" t="n">
        <f aca="false">AC48-AB48</f>
        <v>2</v>
      </c>
      <c r="AE48" s="1" t="n">
        <v>2</v>
      </c>
      <c r="AF48" s="1" t="n">
        <v>26</v>
      </c>
      <c r="AG48" s="1" t="n">
        <f aca="false">AF48-AE48</f>
        <v>24</v>
      </c>
      <c r="AI48" s="1" t="s">
        <v>48</v>
      </c>
      <c r="AJ48" s="1" t="n">
        <f aca="false">COUNTIFS(AC$2:AC$1000,2,AB$2:AB$1000,1)</f>
        <v>4</v>
      </c>
      <c r="AM48" s="1" t="n">
        <v>37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W48" s="1" t="n">
        <f aca="false">$AM48</f>
        <v>37</v>
      </c>
      <c r="BX48" s="1" t="n">
        <f aca="false">MAX(BX47-AN48/AN$9*100,0)</f>
        <v>0</v>
      </c>
      <c r="BY48" s="1" t="n">
        <f aca="false">MAX(BY47-AO48/AO$9*100,0)</f>
        <v>0</v>
      </c>
      <c r="BZ48" s="1" t="n">
        <f aca="false">MAX(BZ47-AQ48/AQ$9*100,0)</f>
        <v>0</v>
      </c>
      <c r="CA48" s="1" t="n">
        <f aca="false">MAX(CA47-AR48/AR$9*100,0)</f>
        <v>0</v>
      </c>
      <c r="CB48" s="1" t="n">
        <f aca="false">CB$7*EXP(-$AM48/CB$8)</f>
        <v>2.82781114926828E-019</v>
      </c>
      <c r="CC48" s="1" t="n">
        <f aca="false">(BZ48-CB48)^2</f>
        <v>7.99651589592599E-038</v>
      </c>
      <c r="CD48" s="1" t="n">
        <f aca="false">MAX(CD47-AT48/AT$9*100,0)</f>
        <v>0</v>
      </c>
      <c r="CE48" s="1" t="n">
        <f aca="false">MAX(CE47-AU48/AU$9*100,0)</f>
        <v>5.32907051820075E-015</v>
      </c>
      <c r="CF48" s="1" t="n">
        <f aca="false">CF$7*EXP(-$AM48/CF$8)</f>
        <v>9.54490954913823E-019</v>
      </c>
      <c r="CG48" s="1" t="n">
        <f aca="false">(CD48-CF48)^2</f>
        <v>9.11052983012302E-037</v>
      </c>
      <c r="CH48" s="1" t="n">
        <f aca="false">$AM48</f>
        <v>37</v>
      </c>
      <c r="CI48" s="1" t="n">
        <f aca="false">MAX(CI47-AW48/AW$9*100,0)</f>
        <v>0</v>
      </c>
      <c r="CJ48" s="1" t="n">
        <f aca="false">MAX(CJ47-AX48/AX$9*100,0)</f>
        <v>0</v>
      </c>
      <c r="CK48" s="1" t="n">
        <f aca="false">CK$7*EXP(-$AM48/CK$8)</f>
        <v>3.28337889243783E-012</v>
      </c>
      <c r="CL48" s="1" t="n">
        <f aca="false">(CI48-CK48)^2</f>
        <v>1.07805769513063E-023</v>
      </c>
      <c r="CM48" s="1" t="n">
        <f aca="false">MAX(CM47-AZ48/AZ$9*100,0)</f>
        <v>0</v>
      </c>
      <c r="CN48" s="1" t="n">
        <f aca="false">MAX(CN47-BA48/BA$9*100,0)</f>
        <v>5.32907051820075E-015</v>
      </c>
      <c r="CO48" s="1" t="n">
        <f aca="false">CO$7*EXP(-$AM48/CO$8)</f>
        <v>2.50277007315421E-006</v>
      </c>
      <c r="CP48" s="1" t="n">
        <f aca="false">(CM48-CO48)^2</f>
        <v>6.26385803907633E-012</v>
      </c>
      <c r="CQ48" s="1" t="n">
        <f aca="false">$AM48</f>
        <v>37</v>
      </c>
      <c r="CR48" s="1" t="n">
        <f aca="false">MAX(CR47-BC48/BC$9*100,0)</f>
        <v>0</v>
      </c>
      <c r="CS48" s="1" t="n">
        <f aca="false">MAX(CS47-BD48/BD$9*100,0)</f>
        <v>0</v>
      </c>
      <c r="CT48" s="1" t="n">
        <f aca="false">CT$7*EXP(-$AM48/CT$8)</f>
        <v>3.2707206470732E-011</v>
      </c>
      <c r="CU48" s="1" t="n">
        <f aca="false">(CR48-CT48)^2</f>
        <v>1.06976135511909E-021</v>
      </c>
      <c r="CV48" s="1" t="n">
        <f aca="false">MAX(CV47-BF48/BF$9*100,0)</f>
        <v>8.88178419700125E-015</v>
      </c>
      <c r="CW48" s="1" t="n">
        <f aca="false">MAX(CW47-BG48/BG$9*100,0)</f>
        <v>5.32907051820075E-015</v>
      </c>
      <c r="CX48" s="1" t="n">
        <f aca="false">CX$7*EXP(-$AM48/CX$8)</f>
        <v>3.08780803408205E-005</v>
      </c>
      <c r="CY48" s="1" t="n">
        <f aca="false">(CV48-CX48)^2</f>
        <v>9.53455844985661E-010</v>
      </c>
      <c r="CZ48" s="1" t="n">
        <f aca="false">$AM48</f>
        <v>37</v>
      </c>
      <c r="DA48" s="1" t="n">
        <f aca="false">MAX(DA47-BI48/BI$9*100,0)</f>
        <v>0</v>
      </c>
      <c r="DB48" s="1" t="n">
        <f aca="false">MAX(DB47-BJ48/BJ$9*100,0)</f>
        <v>9.88098491916389E-015</v>
      </c>
      <c r="DC48" s="1" t="n">
        <f aca="false">DC$7*EXP(-$AM48/DC$8)</f>
        <v>2.98537532244015E-010</v>
      </c>
      <c r="DD48" s="1" t="n">
        <f aca="false">(DA48-DC48)^2</f>
        <v>8.91246581583463E-020</v>
      </c>
      <c r="DE48" s="1" t="n">
        <f aca="false">MAX(DE47-BL48/BL$9*100,0)</f>
        <v>0</v>
      </c>
      <c r="DF48" s="1" t="n">
        <f aca="false">MAX(DF47-BM48/BM$9*100,0)</f>
        <v>1.27388535031846</v>
      </c>
      <c r="DG48" s="1" t="n">
        <f aca="false">DG$7*EXP(-$AM48/DG$8)</f>
        <v>0.0115814540733981</v>
      </c>
      <c r="DH48" s="1" t="n">
        <f aca="false">(DE48-DG48)^2</f>
        <v>0.000134130078454229</v>
      </c>
      <c r="DI48" s="1" t="n">
        <f aca="false">$AM48</f>
        <v>37</v>
      </c>
      <c r="DJ48" s="1" t="n">
        <f aca="false">MAX(DJ47-BO48/BO$9*100,0)</f>
        <v>0</v>
      </c>
      <c r="DK48" s="1" t="n">
        <f aca="false">MAX(DK47-BP48/BP$9*100,0)</f>
        <v>9.99200722162641E-015</v>
      </c>
      <c r="DL48" s="1" t="n">
        <f aca="false">DL$7*EXP(-$AM48/DL$8)</f>
        <v>2.07908841365276E-008</v>
      </c>
      <c r="DM48" s="1" t="n">
        <f aca="false">(DJ48-DL48)^2</f>
        <v>4.32260863178515E-016</v>
      </c>
      <c r="DN48" s="1" t="n">
        <f aca="false">MAX(DN47-BR48/BR$9*100,0)</f>
        <v>0.502512562814072</v>
      </c>
      <c r="DO48" s="1" t="n">
        <f aca="false">MAX(DO47-BS48/BS$9*100,0)</f>
        <v>1.50753768844221</v>
      </c>
      <c r="DP48" s="1" t="n">
        <f aca="false">DP$7*EXP(-$AM48/DP$8)</f>
        <v>0.00342187936286698</v>
      </c>
      <c r="DQ48" s="1" t="n">
        <f aca="false">(DN48-DP48)^2</f>
        <v>0.249091510307791</v>
      </c>
      <c r="DS48" s="1" t="n">
        <f aca="false">$AM48</f>
        <v>37</v>
      </c>
      <c r="DT48" s="1" t="n">
        <f aca="false">CA48</f>
        <v>0</v>
      </c>
      <c r="DU48" s="1" t="n">
        <f aca="false">DU$7*EXP(-DS48/DU$8)</f>
        <v>4.42910130952522E-015</v>
      </c>
      <c r="DV48" s="1" t="n">
        <f aca="false">(DT48-DU48)^2</f>
        <v>1.9616938410038E-029</v>
      </c>
      <c r="DX48" s="1" t="n">
        <f aca="false">$AM48</f>
        <v>37</v>
      </c>
      <c r="DY48" s="1" t="n">
        <f aca="false">CM48</f>
        <v>0</v>
      </c>
      <c r="DZ48" s="1" t="n">
        <f aca="false">DZ$7*EXP(-DX48/DZ$8)</f>
        <v>1.4831583437609E-007</v>
      </c>
      <c r="EA48" s="1" t="n">
        <f aca="false">(DY48-DZ48)^2</f>
        <v>2.19975867266758E-014</v>
      </c>
      <c r="EC48" s="1" t="n">
        <f aca="false">$AM48</f>
        <v>37</v>
      </c>
      <c r="ED48" s="1" t="n">
        <f aca="false">CV48</f>
        <v>8.88178419700125E-015</v>
      </c>
      <c r="EE48" s="1" t="n">
        <f aca="false">EE$7*EXP(-EC48/EE$8)</f>
        <v>1.36553635072906E-005</v>
      </c>
      <c r="EF48" s="1" t="n">
        <f aca="false">(ED48-EE48)^2</f>
        <v>1.86468952273676E-010</v>
      </c>
      <c r="EH48" s="1" t="n">
        <f aca="false">$AM48</f>
        <v>37</v>
      </c>
      <c r="EI48" s="1" t="n">
        <f aca="false">DE48</f>
        <v>0</v>
      </c>
      <c r="EJ48" s="1" t="n">
        <f aca="false">EJ$7*EXP(-EH48/EJ$8)</f>
        <v>0.0115333982473674</v>
      </c>
      <c r="EK48" s="1" t="n">
        <f aca="false">(EI48-EJ48)^2</f>
        <v>0.000133019275132377</v>
      </c>
      <c r="EM48" s="1" t="n">
        <f aca="false">AM48</f>
        <v>37</v>
      </c>
      <c r="EN48" s="1" t="n">
        <f aca="false">DN48</f>
        <v>0.502512562814072</v>
      </c>
      <c r="EO48" s="1" t="n">
        <f aca="false">EO$7*EXP(-EM48/EO$8)</f>
        <v>0.00475055151816757</v>
      </c>
      <c r="EP48" s="1" t="n">
        <f aca="false">(EN48-EO48)^2</f>
        <v>0.247767019889344</v>
      </c>
      <c r="ER48" s="1" t="n">
        <f aca="false">$AM48</f>
        <v>37</v>
      </c>
      <c r="ES48" s="1" t="n">
        <f aca="false">BZ48</f>
        <v>0</v>
      </c>
      <c r="ET48" s="1" t="n">
        <f aca="false">ET$7*EXP(-ER48/ET$8)</f>
        <v>1.35772931916521E-017</v>
      </c>
      <c r="EU48" s="1" t="n">
        <f aca="false">(ES48-ET48)^2</f>
        <v>1.84342890412082E-034</v>
      </c>
      <c r="EW48" s="1" t="n">
        <f aca="false">$AM48</f>
        <v>37</v>
      </c>
      <c r="EX48" s="1" t="n">
        <f aca="false">CI48</f>
        <v>0</v>
      </c>
      <c r="EY48" s="1" t="n">
        <f aca="false">EY$7*EXP(-EW48/EY$8)</f>
        <v>5.38317871603651E-016</v>
      </c>
      <c r="EZ48" s="1" t="n">
        <f aca="false">(EX48-EY48)^2</f>
        <v>2.89786130887885E-031</v>
      </c>
      <c r="FB48" s="1" t="n">
        <f aca="false">$AM48</f>
        <v>37</v>
      </c>
      <c r="FC48" s="1" t="n">
        <f aca="false">CR48</f>
        <v>0</v>
      </c>
      <c r="FD48" s="1" t="n">
        <f aca="false">FD$7*EXP(-FB48/FD$8)</f>
        <v>8.84524135240073E-014</v>
      </c>
      <c r="FE48" s="1" t="n">
        <f aca="false">(FC48-FD48)^2</f>
        <v>7.82382945822199E-027</v>
      </c>
      <c r="FG48" s="1" t="n">
        <f aca="false">$AM48</f>
        <v>37</v>
      </c>
      <c r="FH48" s="1" t="n">
        <f aca="false">DA48</f>
        <v>0</v>
      </c>
      <c r="FI48" s="1" t="n">
        <f aca="false">FI$7*EXP(-FG48/FI$8)</f>
        <v>9.75963881370326E-012</v>
      </c>
      <c r="FJ48" s="1" t="n">
        <f aca="false">(FH48-FI48)^2</f>
        <v>9.52505497739432E-023</v>
      </c>
      <c r="FL48" s="1" t="n">
        <f aca="false">EM48</f>
        <v>37</v>
      </c>
      <c r="FM48" s="1" t="n">
        <f aca="false">DJ48</f>
        <v>0</v>
      </c>
      <c r="FN48" s="1" t="n">
        <f aca="false">FN$7*EXP(-FL48/FN$8)</f>
        <v>3.29497179286312E-009</v>
      </c>
      <c r="FO48" s="1" t="n">
        <f aca="false">(FM48-FN48)^2</f>
        <v>1.08568391157636E-017</v>
      </c>
      <c r="FQ48" s="1" t="n">
        <f aca="false">AM48</f>
        <v>37</v>
      </c>
      <c r="FR48" s="1" t="n">
        <f aca="false">AN48/AN$9*100</f>
        <v>0</v>
      </c>
      <c r="FS48" s="1" t="n">
        <f aca="false">AO48/AO$9*100</f>
        <v>0</v>
      </c>
      <c r="FT48" s="1" t="n">
        <f aca="false">AQ48/AQ$9*100</f>
        <v>0</v>
      </c>
      <c r="FU48" s="1" t="n">
        <f aca="false">AR48/AR$9*100</f>
        <v>0</v>
      </c>
      <c r="FV48" s="1" t="n">
        <f aca="false">AT48/AT$9*100</f>
        <v>0</v>
      </c>
      <c r="FW48" s="1" t="n">
        <f aca="false">AU48/AU$9*100</f>
        <v>0</v>
      </c>
      <c r="FX48" s="1" t="n">
        <f aca="false">AW48/AW$9*100</f>
        <v>0</v>
      </c>
      <c r="FY48" s="1" t="n">
        <f aca="false">AX48/AX$9*100</f>
        <v>0</v>
      </c>
      <c r="FZ48" s="1" t="n">
        <f aca="false">AZ48/AZ$9*100</f>
        <v>0</v>
      </c>
      <c r="GA48" s="1" t="n">
        <f aca="false">BA48/BA$9*100</f>
        <v>0</v>
      </c>
      <c r="GB48" s="1" t="n">
        <f aca="false">BC48/BC$9*100</f>
        <v>0</v>
      </c>
      <c r="GC48" s="1" t="n">
        <f aca="false">BD48/BD$9*100</f>
        <v>0</v>
      </c>
      <c r="GD48" s="1" t="n">
        <f aca="false">BF48/BF$9*100</f>
        <v>0</v>
      </c>
      <c r="GE48" s="1" t="n">
        <f aca="false">BG48/BG$9*100</f>
        <v>0</v>
      </c>
      <c r="GF48" s="1" t="n">
        <f aca="false">BI48/BI$9*100</f>
        <v>0</v>
      </c>
      <c r="GG48" s="1" t="n">
        <f aca="false">BJ48/BJ$9*100</f>
        <v>0</v>
      </c>
      <c r="GH48" s="1" t="n">
        <f aca="false">BL48/BL$9*100</f>
        <v>0</v>
      </c>
      <c r="GI48" s="1" t="n">
        <f aca="false">BM48/BM$9*100</f>
        <v>0</v>
      </c>
      <c r="GJ48" s="1" t="n">
        <f aca="false">BO48/BO$9*100</f>
        <v>0</v>
      </c>
      <c r="GK48" s="1" t="n">
        <f aca="false">BP48/BP$9*100</f>
        <v>0</v>
      </c>
      <c r="GL48" s="1" t="n">
        <f aca="false">BR48/BR$9*100</f>
        <v>0</v>
      </c>
      <c r="GM48" s="1" t="n">
        <f aca="false">BS48/BS$9*100</f>
        <v>0</v>
      </c>
      <c r="GO48" s="1" t="n">
        <f aca="false">$AM48</f>
        <v>37</v>
      </c>
      <c r="GP48" s="1" t="n">
        <f aca="false">FT48</f>
        <v>0</v>
      </c>
      <c r="GQ48" s="1" t="n">
        <f aca="false">GQ$6*(1+GQ$5*(-1)^$FQ48)*EXP(-$FQ48/GQ$4)</f>
        <v>4.71132811029772E-011</v>
      </c>
      <c r="GR48" s="1" t="n">
        <f aca="false">(GP48-GQ48)^2</f>
        <v>2.21966125628815E-021</v>
      </c>
      <c r="GS48" s="1" t="n">
        <f aca="false">EXP($FQ48/$JG$4)*GP48</f>
        <v>0</v>
      </c>
      <c r="GT48" s="1" t="n">
        <f aca="false">EXP($FQ48/$JG$4)*(-1)^$FQ48*GP48</f>
        <v>-0</v>
      </c>
      <c r="GU48" s="1" t="n">
        <f aca="false">(-1)^GO48*GP48</f>
        <v>-0</v>
      </c>
      <c r="GW48" s="1" t="n">
        <f aca="false">$AM48</f>
        <v>37</v>
      </c>
      <c r="GX48" s="1" t="n">
        <f aca="false">FX48</f>
        <v>0</v>
      </c>
      <c r="GY48" s="1" t="n">
        <f aca="false">GY$6*(1+GY$5*(-1)^$FQ48)*EXP(-$FQ48/GY$4)</f>
        <v>4.71132811029772E-011</v>
      </c>
      <c r="GZ48" s="1" t="n">
        <f aca="false">(GX48-GY48)^2</f>
        <v>2.21966125628815E-021</v>
      </c>
      <c r="HA48" s="1" t="n">
        <f aca="false">EXP($FQ48/$JG$4)*GX48</f>
        <v>0</v>
      </c>
      <c r="HB48" s="1" t="n">
        <f aca="false">EXP($FQ48/$JG$4)*(-1)^$FQ48*GX48</f>
        <v>-0</v>
      </c>
      <c r="HC48" s="1" t="n">
        <f aca="false">(-1)^GW48*GX48</f>
        <v>-0</v>
      </c>
      <c r="HE48" s="1" t="n">
        <f aca="false">$AM48</f>
        <v>37</v>
      </c>
      <c r="HF48" s="1" t="n">
        <f aca="false">GB48</f>
        <v>0</v>
      </c>
      <c r="HG48" s="1" t="n">
        <f aca="false">HG$6*(1+HG$5*(-1)^$FQ48)*EXP(-$FQ48/HG$4)</f>
        <v>4.71132811029772E-011</v>
      </c>
      <c r="HH48" s="1" t="n">
        <f aca="false">(HF48-HG48)^2</f>
        <v>2.21966125628815E-021</v>
      </c>
      <c r="HI48" s="1" t="n">
        <f aca="false">EXP($FQ48/$JG$4)*HF48</f>
        <v>0</v>
      </c>
      <c r="HJ48" s="1" t="n">
        <f aca="false">EXP($FQ48/$JG$4)*(-1)^$FQ48*HF48</f>
        <v>-0</v>
      </c>
      <c r="HK48" s="1" t="n">
        <f aca="false">(-1)^HE48*HF48</f>
        <v>-0</v>
      </c>
      <c r="HM48" s="1" t="n">
        <f aca="false">$AM48</f>
        <v>37</v>
      </c>
      <c r="HN48" s="1" t="n">
        <f aca="false">GF48</f>
        <v>0</v>
      </c>
      <c r="HO48" s="1" t="n">
        <f aca="false">HO$6*(1+HO$5*(-1)^$FQ48)*EXP(-$FQ48/HO$4)</f>
        <v>8.65791678528702E-009</v>
      </c>
      <c r="HP48" s="1" t="n">
        <f aca="false">(HN48-HO48)^2</f>
        <v>7.49595230609547E-017</v>
      </c>
      <c r="HQ48" s="1" t="n">
        <f aca="false">EXP($FQ48/$JG$4)*HN48</f>
        <v>0</v>
      </c>
      <c r="HR48" s="1" t="n">
        <f aca="false">EXP($FQ48/$JG$4)*(-1)^$FQ48*HN48</f>
        <v>-0</v>
      </c>
      <c r="HS48" s="1" t="n">
        <f aca="false">(-1)^HM48*HN48</f>
        <v>-0</v>
      </c>
      <c r="HU48" s="1" t="n">
        <f aca="false">$AM48</f>
        <v>37</v>
      </c>
      <c r="HV48" s="1" t="n">
        <f aca="false">GJ48</f>
        <v>0</v>
      </c>
      <c r="HW48" s="1" t="n">
        <f aca="false">HW$6*(1+HW$5*(-1)^$FQ48)*EXP(-$FQ48/HW$4)</f>
        <v>2.4232570215515E-006</v>
      </c>
      <c r="HX48" s="1" t="n">
        <f aca="false">(HV48-HW48)^2</f>
        <v>5.87217459249865E-012</v>
      </c>
      <c r="HY48" s="1" t="n">
        <f aca="false">EXP($FQ48/$JG$4)*HV48</f>
        <v>0</v>
      </c>
      <c r="HZ48" s="1" t="n">
        <f aca="false">EXP($FQ48/$JG$4)*(-1)^$FQ48*HV48</f>
        <v>-0</v>
      </c>
      <c r="IA48" s="1" t="n">
        <f aca="false">(-1)^HU48*HV48</f>
        <v>-0</v>
      </c>
      <c r="IB48" s="1" t="n">
        <v>0</v>
      </c>
      <c r="ID48" s="1" t="n">
        <f aca="false">$AM48</f>
        <v>37</v>
      </c>
      <c r="IE48" s="1" t="n">
        <f aca="false">FZ48</f>
        <v>0</v>
      </c>
      <c r="IF48" s="1" t="n">
        <f aca="false">IF$6*(1+IF$5*(-1)^$FQ48)*EXP(-$FQ48/IF$4)</f>
        <v>0.00012504292908992</v>
      </c>
      <c r="IG48" s="1" t="n">
        <f aca="false">(IE48-IF48)^2</f>
        <v>1.56357341153868E-008</v>
      </c>
      <c r="IH48" s="1" t="n">
        <f aca="false">EXP($FQ48/$JG$4)*IE48</f>
        <v>0</v>
      </c>
      <c r="II48" s="1" t="n">
        <f aca="false">EXP($FQ48/$JG$4)*(-1)^$FQ48*IE48</f>
        <v>-0</v>
      </c>
      <c r="IJ48" s="1" t="n">
        <f aca="false">(-1)^ID48*IE48</f>
        <v>-0</v>
      </c>
      <c r="IK48" s="1" t="n">
        <v>0</v>
      </c>
      <c r="IM48" s="1" t="n">
        <f aca="false">$AM48</f>
        <v>37</v>
      </c>
      <c r="IN48" s="1" t="n">
        <f aca="false">GD48</f>
        <v>0</v>
      </c>
      <c r="IO48" s="1" t="n">
        <f aca="false">IO$6*(1+IO$5*(-1)^$FQ48)*EXP(-$FQ48/IO$4)</f>
        <v>0.000563765726910046</v>
      </c>
      <c r="IP48" s="1" t="n">
        <f aca="false">(IN48-IO48)^2</f>
        <v>3.17831794838413E-007</v>
      </c>
      <c r="IQ48" s="1" t="n">
        <f aca="false">EXP($FQ48/$JG$4)*IN48</f>
        <v>0</v>
      </c>
      <c r="IR48" s="1" t="n">
        <f aca="false">EXP($FQ48/$JG$4)*(-1)^$FQ48*IN48</f>
        <v>-0</v>
      </c>
      <c r="IS48" s="1" t="n">
        <f aca="false">(-1)^IM48*IN48</f>
        <v>-0</v>
      </c>
      <c r="IT48" s="1" t="n">
        <v>0</v>
      </c>
      <c r="IV48" s="1" t="n">
        <f aca="false">$AM48</f>
        <v>37</v>
      </c>
      <c r="IW48" s="1" t="n">
        <f aca="false">GH48</f>
        <v>0</v>
      </c>
      <c r="IX48" s="1" t="n">
        <f aca="false">IX$6*(1+IX$5*(-1)^$FQ48)*EXP(-$FQ48/IX$4)</f>
        <v>0.00748721788612718</v>
      </c>
      <c r="IY48" s="1" t="n">
        <f aca="false">(IW48-IX48)^2</f>
        <v>5.60584316743428E-005</v>
      </c>
      <c r="IZ48" s="1" t="n">
        <f aca="false">EXP($FQ48/$JG$4)*IW48</f>
        <v>0</v>
      </c>
      <c r="JA48" s="1" t="n">
        <f aca="false">EXP($FQ48/$JG$4)*(-1)^$FQ48*IW48</f>
        <v>-0</v>
      </c>
      <c r="JB48" s="1" t="n">
        <f aca="false">(-1)^IV48*IW48</f>
        <v>-0</v>
      </c>
      <c r="JE48" s="1" t="n">
        <f aca="false">$AM48</f>
        <v>37</v>
      </c>
      <c r="JF48" s="1" t="n">
        <f aca="false">GL48</f>
        <v>0</v>
      </c>
      <c r="JG48" s="1" t="n">
        <f aca="false">JG$6*(1+JG$5*(-1)^$FQ48)*EXP(-$FQ48/JG$4)</f>
        <v>0.001342501584833</v>
      </c>
      <c r="JH48" s="1" t="n">
        <f aca="false">(JF48-JG48)^2</f>
        <v>1.80231050527912E-006</v>
      </c>
      <c r="JI48" s="1" t="n">
        <f aca="false">EXP($FQ48/$JG$4)*JF48</f>
        <v>0</v>
      </c>
      <c r="JJ48" s="1" t="n">
        <f aca="false">EXP($FQ48/$JG$4)*(-1)^$FQ48*JF48</f>
        <v>-0</v>
      </c>
      <c r="JK48" s="1" t="n">
        <f aca="false">(-1)^JE48*JF48</f>
        <v>-0</v>
      </c>
      <c r="JO48" s="1" t="n">
        <f aca="false">$AM48</f>
        <v>37</v>
      </c>
      <c r="JP48" s="1" t="n">
        <f aca="false">GM48</f>
        <v>0</v>
      </c>
      <c r="JQ48" s="1" t="n">
        <f aca="false">JQ$6*(1+JQ$5*(-1)^$FQ48)*EXP(-$FQ48/JQ$4)</f>
        <v>0.141966491593013</v>
      </c>
      <c r="JR48" s="1" t="n">
        <f aca="false">(JP48-JQ48)^2</f>
        <v>0.020154484735229</v>
      </c>
      <c r="JS48" s="1" t="n">
        <f aca="false">EXP($FQ48/$JG$4)*JP48</f>
        <v>0</v>
      </c>
      <c r="JT48" s="1" t="n">
        <f aca="false">EXP($FQ48/$JG$4)*(-1)^$FQ48*JP48</f>
        <v>-0</v>
      </c>
      <c r="JU48" s="1" t="n">
        <f aca="false">(-1)^JO48*JP48</f>
        <v>-0</v>
      </c>
    </row>
    <row r="49" customFormat="false" ht="16" hidden="false" customHeight="false" outlineLevel="0" collapsed="false">
      <c r="A49" s="1" t="n">
        <v>2</v>
      </c>
      <c r="B49" s="1" t="n">
        <v>2</v>
      </c>
      <c r="C49" s="1" t="n">
        <f aca="false">B49-A49</f>
        <v>0</v>
      </c>
      <c r="D49" s="1" t="n">
        <v>3</v>
      </c>
      <c r="E49" s="1" t="n">
        <v>3</v>
      </c>
      <c r="F49" s="1" t="n">
        <f aca="false">E49-D49</f>
        <v>0</v>
      </c>
      <c r="G49" s="1" t="n">
        <v>2</v>
      </c>
      <c r="H49" s="1" t="n">
        <v>2</v>
      </c>
      <c r="I49" s="1" t="n">
        <f aca="false">H49-G49</f>
        <v>0</v>
      </c>
      <c r="J49" s="1" t="n">
        <v>4</v>
      </c>
      <c r="K49" s="1" t="n">
        <v>4</v>
      </c>
      <c r="L49" s="1" t="n">
        <f aca="false">K49-J49</f>
        <v>0</v>
      </c>
      <c r="M49" s="1" t="n">
        <v>3</v>
      </c>
      <c r="N49" s="1" t="n">
        <v>3</v>
      </c>
      <c r="O49" s="1" t="n">
        <f aca="false">N49-M49</f>
        <v>0</v>
      </c>
      <c r="P49" s="1" t="n">
        <v>5</v>
      </c>
      <c r="Q49" s="1" t="n">
        <v>6</v>
      </c>
      <c r="R49" s="1" t="n">
        <f aca="false">Q49-P49</f>
        <v>1</v>
      </c>
      <c r="S49" s="1" t="n">
        <v>1</v>
      </c>
      <c r="T49" s="1" t="n">
        <v>1</v>
      </c>
      <c r="U49" s="1" t="n">
        <f aca="false">T49-S49</f>
        <v>0</v>
      </c>
      <c r="V49" s="1" t="n">
        <v>4</v>
      </c>
      <c r="W49" s="1" t="n">
        <v>6</v>
      </c>
      <c r="X49" s="1" t="n">
        <f aca="false">W49-V49</f>
        <v>2</v>
      </c>
      <c r="Y49" s="1" t="n">
        <v>4</v>
      </c>
      <c r="Z49" s="1" t="n">
        <v>8</v>
      </c>
      <c r="AA49" s="1" t="n">
        <f aca="false">Z49-Y49</f>
        <v>4</v>
      </c>
      <c r="AB49" s="1" t="n">
        <v>4</v>
      </c>
      <c r="AC49" s="1" t="n">
        <v>6</v>
      </c>
      <c r="AD49" s="1" t="n">
        <f aca="false">AC49-AB49</f>
        <v>2</v>
      </c>
      <c r="AE49" s="1" t="n">
        <v>4</v>
      </c>
      <c r="AF49" s="1" t="n">
        <v>22</v>
      </c>
      <c r="AG49" s="1" t="n">
        <f aca="false">AF49-AE49</f>
        <v>18</v>
      </c>
      <c r="AI49" s="1" t="s">
        <v>52</v>
      </c>
      <c r="AJ49" s="1" t="n">
        <f aca="false">COUNTIFS(AC$2:AC$1000,2,AB$2:AB$1000,0)</f>
        <v>0</v>
      </c>
      <c r="AM49" s="1" t="n">
        <v>38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1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W49" s="1" t="n">
        <f aca="false">$AM49</f>
        <v>38</v>
      </c>
      <c r="BX49" s="1" t="n">
        <f aca="false">MAX(BX48-AN49/AN$9*100,0)</f>
        <v>0</v>
      </c>
      <c r="BY49" s="1" t="n">
        <f aca="false">MAX(BY48-AO49/AO$9*100,0)</f>
        <v>0</v>
      </c>
      <c r="BZ49" s="1" t="n">
        <f aca="false">MAX(BZ48-AQ49/AQ$9*100,0)</f>
        <v>0</v>
      </c>
      <c r="CA49" s="1" t="n">
        <f aca="false">MAX(CA48-AR49/AR$9*100,0)</f>
        <v>0</v>
      </c>
      <c r="CB49" s="1" t="n">
        <f aca="false">CB$7*EXP(-$AM49/CB$8)</f>
        <v>7.7166996117508E-020</v>
      </c>
      <c r="CC49" s="1" t="n">
        <f aca="false">(BZ49-CB49)^2</f>
        <v>5.95474528979949E-039</v>
      </c>
      <c r="CD49" s="1" t="n">
        <f aca="false">MAX(CD48-AT49/AT$9*100,0)</f>
        <v>0</v>
      </c>
      <c r="CE49" s="1" t="n">
        <f aca="false">MAX(CE48-AU49/AU$9*100,0)</f>
        <v>5.32907051820075E-015</v>
      </c>
      <c r="CF49" s="1" t="n">
        <f aca="false">CF$7*EXP(-$AM49/CF$8)</f>
        <v>2.69173292454283E-019</v>
      </c>
      <c r="CG49" s="1" t="n">
        <f aca="false">(CD49-CF49)^2</f>
        <v>7.2454261370679E-038</v>
      </c>
      <c r="CH49" s="1" t="n">
        <f aca="false">$AM49</f>
        <v>38</v>
      </c>
      <c r="CI49" s="1" t="n">
        <f aca="false">MAX(CI48-AW49/AW$9*100,0)</f>
        <v>0</v>
      </c>
      <c r="CJ49" s="1" t="n">
        <f aca="false">MAX(CJ48-AX49/AX$9*100,0)</f>
        <v>0</v>
      </c>
      <c r="CK49" s="1" t="n">
        <f aca="false">CK$7*EXP(-$AM49/CK$8)</f>
        <v>1.39678363167408E-012</v>
      </c>
      <c r="CL49" s="1" t="n">
        <f aca="false">(CI49-CK49)^2</f>
        <v>1.95100451371263E-024</v>
      </c>
      <c r="CM49" s="1" t="n">
        <f aca="false">MAX(CM48-AZ49/AZ$9*100,0)</f>
        <v>0</v>
      </c>
      <c r="CN49" s="1" t="n">
        <f aca="false">MAX(CN48-BA49/BA$9*100,0)</f>
        <v>5.32907051820075E-015</v>
      </c>
      <c r="CO49" s="1" t="n">
        <f aca="false">CO$7*EXP(-$AM49/CO$8)</f>
        <v>1.54748172626635E-006</v>
      </c>
      <c r="CP49" s="1" t="n">
        <f aca="false">(CM49-CO49)^2</f>
        <v>2.39469969312828E-012</v>
      </c>
      <c r="CQ49" s="1" t="n">
        <f aca="false">$AM49</f>
        <v>38</v>
      </c>
      <c r="CR49" s="1" t="n">
        <f aca="false">MAX(CR48-BC49/BC$9*100,0)</f>
        <v>0</v>
      </c>
      <c r="CS49" s="1" t="n">
        <f aca="false">MAX(CS48-BD49/BD$9*100,0)</f>
        <v>0</v>
      </c>
      <c r="CT49" s="1" t="n">
        <f aca="false">CT$7*EXP(-$AM49/CT$8)</f>
        <v>1.48826165920779E-011</v>
      </c>
      <c r="CU49" s="1" t="n">
        <f aca="false">(CR49-CT49)^2</f>
        <v>2.21492276626792E-022</v>
      </c>
      <c r="CV49" s="1" t="n">
        <f aca="false">MAX(CV48-BF49/BF$9*100,0)</f>
        <v>8.88178419700125E-015</v>
      </c>
      <c r="CW49" s="1" t="n">
        <f aca="false">MAX(CW48-BG49/BG$9*100,0)</f>
        <v>5.32907051820075E-015</v>
      </c>
      <c r="CX49" s="1" t="n">
        <f aca="false">CX$7*EXP(-$AM49/CX$8)</f>
        <v>2.04263026837716E-005</v>
      </c>
      <c r="CY49" s="1" t="n">
        <f aca="false">(CV49-CX49)^2</f>
        <v>4.17233840966211E-010</v>
      </c>
      <c r="CZ49" s="1" t="n">
        <f aca="false">$AM49</f>
        <v>38</v>
      </c>
      <c r="DA49" s="1" t="n">
        <f aca="false">MAX(DA48-BI49/BI$9*100,0)</f>
        <v>0</v>
      </c>
      <c r="DB49" s="1" t="n">
        <f aca="false">MAX(DB48-BJ49/BJ$9*100,0)</f>
        <v>9.88098491916389E-015</v>
      </c>
      <c r="DC49" s="1" t="n">
        <f aca="false">DC$7*EXP(-$AM49/DC$8)</f>
        <v>1.43878422359081E-010</v>
      </c>
      <c r="DD49" s="1" t="n">
        <f aca="false">(DA49-DC49)^2</f>
        <v>2.07010004205381E-020</v>
      </c>
      <c r="DE49" s="1" t="n">
        <f aca="false">MAX(DE48-BL49/BL$9*100,0)</f>
        <v>0</v>
      </c>
      <c r="DF49" s="1" t="n">
        <f aca="false">MAX(DF48-BM49/BM$9*100,0)</f>
        <v>0.636942675159225</v>
      </c>
      <c r="DG49" s="1" t="n">
        <f aca="false">DG$7*EXP(-$AM49/DG$8)</f>
        <v>0.00901964550146792</v>
      </c>
      <c r="DH49" s="1" t="n">
        <f aca="false">(DE49-DG49)^2</f>
        <v>8.13540049721505E-005</v>
      </c>
      <c r="DI49" s="1" t="n">
        <f aca="false">$AM49</f>
        <v>38</v>
      </c>
      <c r="DJ49" s="1" t="n">
        <f aca="false">MAX(DJ48-BO49/BO$9*100,0)</f>
        <v>0</v>
      </c>
      <c r="DK49" s="1" t="n">
        <f aca="false">MAX(DK48-BP49/BP$9*100,0)</f>
        <v>9.99200722162641E-015</v>
      </c>
      <c r="DL49" s="1" t="n">
        <f aca="false">DL$7*EXP(-$AM49/DL$8)</f>
        <v>1.12573100005157E-008</v>
      </c>
      <c r="DM49" s="1" t="n">
        <f aca="false">(DJ49-DL49)^2</f>
        <v>1.26727028447711E-016</v>
      </c>
      <c r="DN49" s="1" t="n">
        <f aca="false">MAX(DN48-BR49/BR$9*100,0)</f>
        <v>0.502512562814072</v>
      </c>
      <c r="DO49" s="1" t="n">
        <f aca="false">MAX(DO48-BS49/BS$9*100,0)</f>
        <v>1.50753768844221</v>
      </c>
      <c r="DP49" s="1" t="n">
        <f aca="false">DP$7*EXP(-$AM49/DP$8)</f>
        <v>0.00257771617254538</v>
      </c>
      <c r="DQ49" s="1" t="n">
        <f aca="false">(DN49-DP49)^2</f>
        <v>0.249934850886487</v>
      </c>
      <c r="DS49" s="1" t="n">
        <f aca="false">$AM49</f>
        <v>38</v>
      </c>
      <c r="DT49" s="1" t="n">
        <f aca="false">CA49</f>
        <v>0</v>
      </c>
      <c r="DU49" s="1" t="n">
        <f aca="false">DU$7*EXP(-DS49/DU$8)</f>
        <v>1.57975356563761E-015</v>
      </c>
      <c r="DV49" s="1" t="n">
        <f aca="false">(DT49-DU49)^2</f>
        <v>2.49562132814474E-030</v>
      </c>
      <c r="DX49" s="1" t="n">
        <f aca="false">$AM49</f>
        <v>38</v>
      </c>
      <c r="DY49" s="1" t="n">
        <f aca="false">CM49</f>
        <v>0</v>
      </c>
      <c r="DZ49" s="1" t="n">
        <f aca="false">DZ$7*EXP(-DX49/DZ$8)</f>
        <v>8.45671812813193E-008</v>
      </c>
      <c r="EA49" s="1" t="n">
        <f aca="false">(DY49-DZ49)^2</f>
        <v>7.15160814986752E-015</v>
      </c>
      <c r="EC49" s="1" t="n">
        <f aca="false">$AM49</f>
        <v>38</v>
      </c>
      <c r="ED49" s="1" t="n">
        <f aca="false">CV49</f>
        <v>8.88178419700125E-015</v>
      </c>
      <c r="EE49" s="1" t="n">
        <f aca="false">EE$7*EXP(-EC49/EE$8)</f>
        <v>8.82378708591E-006</v>
      </c>
      <c r="EF49" s="1" t="n">
        <f aca="false">(ED49-EE49)^2</f>
        <v>7.78592183807301E-011</v>
      </c>
      <c r="EH49" s="1" t="n">
        <f aca="false">$AM49</f>
        <v>38</v>
      </c>
      <c r="EI49" s="1" t="n">
        <f aca="false">DE49</f>
        <v>0</v>
      </c>
      <c r="EJ49" s="1" t="n">
        <f aca="false">EJ$7*EXP(-EH49/EJ$8)</f>
        <v>0.00898221958652407</v>
      </c>
      <c r="EK49" s="1" t="n">
        <f aca="false">(EI49-EJ49)^2</f>
        <v>8.06802687005366E-005</v>
      </c>
      <c r="EM49" s="1" t="n">
        <f aca="false">AM49</f>
        <v>38</v>
      </c>
      <c r="EN49" s="1" t="n">
        <f aca="false">DN49</f>
        <v>0.502512562814072</v>
      </c>
      <c r="EO49" s="1" t="n">
        <f aca="false">EO$7*EXP(-EM49/EO$8)</f>
        <v>0.00361209565461124</v>
      </c>
      <c r="EP49" s="1" t="n">
        <f aca="false">(EN49-EO49)^2</f>
        <v>0.248901676131928</v>
      </c>
      <c r="ER49" s="1" t="n">
        <f aca="false">$AM49</f>
        <v>38</v>
      </c>
      <c r="ES49" s="1" t="n">
        <f aca="false">BZ49</f>
        <v>0</v>
      </c>
      <c r="ET49" s="1" t="n">
        <f aca="false">ET$7*EXP(-ER49/ET$8)</f>
        <v>4.12853486022543E-018</v>
      </c>
      <c r="EU49" s="1" t="n">
        <f aca="false">(ES49-ET49)^2</f>
        <v>1.70448000920966E-035</v>
      </c>
      <c r="EW49" s="1" t="n">
        <f aca="false">$AM49</f>
        <v>38</v>
      </c>
      <c r="EX49" s="1" t="n">
        <f aca="false">CI49</f>
        <v>0</v>
      </c>
      <c r="EY49" s="1" t="n">
        <f aca="false">EY$7*EXP(-EW49/EY$8)</f>
        <v>1.7938747411416E-016</v>
      </c>
      <c r="EZ49" s="1" t="n">
        <f aca="false">(EX49-EY49)^2</f>
        <v>3.21798658690584E-032</v>
      </c>
      <c r="FB49" s="1" t="n">
        <f aca="false">$AM49</f>
        <v>38</v>
      </c>
      <c r="FC49" s="1" t="n">
        <f aca="false">CR49</f>
        <v>0</v>
      </c>
      <c r="FD49" s="1" t="n">
        <f aca="false">FD$7*EXP(-FB49/FD$8)</f>
        <v>3.41268257780225E-014</v>
      </c>
      <c r="FE49" s="1" t="n">
        <f aca="false">(FC49-FD49)^2</f>
        <v>1.1646402376835E-027</v>
      </c>
      <c r="FG49" s="1" t="n">
        <f aca="false">$AM49</f>
        <v>38</v>
      </c>
      <c r="FH49" s="1" t="n">
        <f aca="false">DA49</f>
        <v>0</v>
      </c>
      <c r="FI49" s="1" t="n">
        <f aca="false">FI$7*EXP(-FG49/FI$8)</f>
        <v>4.2708339471601E-012</v>
      </c>
      <c r="FJ49" s="1" t="n">
        <f aca="false">(FH49-FI49)^2</f>
        <v>1.82400226042151E-023</v>
      </c>
      <c r="FL49" s="1" t="n">
        <f aca="false">EM49</f>
        <v>38</v>
      </c>
      <c r="FM49" s="1" t="n">
        <f aca="false">DJ49</f>
        <v>0</v>
      </c>
      <c r="FN49" s="1" t="n">
        <f aca="false">FN$7*EXP(-FL49/FN$8)</f>
        <v>1.69169492518544E-009</v>
      </c>
      <c r="FO49" s="1" t="n">
        <f aca="false">(FM49-FN49)^2</f>
        <v>2.86183171989817E-018</v>
      </c>
      <c r="FQ49" s="1" t="n">
        <f aca="false">AM49</f>
        <v>38</v>
      </c>
      <c r="FR49" s="1" t="n">
        <f aca="false">AN49/AN$9*100</f>
        <v>0</v>
      </c>
      <c r="FS49" s="1" t="n">
        <f aca="false">AO49/AO$9*100</f>
        <v>0</v>
      </c>
      <c r="FT49" s="1" t="n">
        <f aca="false">AQ49/AQ$9*100</f>
        <v>0</v>
      </c>
      <c r="FU49" s="1" t="n">
        <f aca="false">AR49/AR$9*100</f>
        <v>0</v>
      </c>
      <c r="FV49" s="1" t="n">
        <f aca="false">AT49/AT$9*100</f>
        <v>0</v>
      </c>
      <c r="FW49" s="1" t="n">
        <f aca="false">AU49/AU$9*100</f>
        <v>0</v>
      </c>
      <c r="FX49" s="1" t="n">
        <f aca="false">AW49/AW$9*100</f>
        <v>0</v>
      </c>
      <c r="FY49" s="1" t="n">
        <f aca="false">AX49/AX$9*100</f>
        <v>0</v>
      </c>
      <c r="FZ49" s="1" t="n">
        <f aca="false">AZ49/AZ$9*100</f>
        <v>0</v>
      </c>
      <c r="GA49" s="1" t="n">
        <f aca="false">BA49/BA$9*100</f>
        <v>0</v>
      </c>
      <c r="GB49" s="1" t="n">
        <f aca="false">BC49/BC$9*100</f>
        <v>0</v>
      </c>
      <c r="GC49" s="1" t="n">
        <f aca="false">BD49/BD$9*100</f>
        <v>0</v>
      </c>
      <c r="GD49" s="1" t="n">
        <f aca="false">BF49/BF$9*100</f>
        <v>0</v>
      </c>
      <c r="GE49" s="1" t="n">
        <f aca="false">BG49/BG$9*100</f>
        <v>0</v>
      </c>
      <c r="GF49" s="1" t="n">
        <f aca="false">BI49/BI$9*100</f>
        <v>0</v>
      </c>
      <c r="GG49" s="1" t="n">
        <f aca="false">BJ49/BJ$9*100</f>
        <v>0</v>
      </c>
      <c r="GH49" s="1" t="n">
        <f aca="false">BL49/BL$9*100</f>
        <v>0</v>
      </c>
      <c r="GI49" s="1" t="n">
        <f aca="false">BM49/BM$9*100</f>
        <v>0.636942675159236</v>
      </c>
      <c r="GJ49" s="1" t="n">
        <f aca="false">BO49/BO$9*100</f>
        <v>0</v>
      </c>
      <c r="GK49" s="1" t="n">
        <f aca="false">BP49/BP$9*100</f>
        <v>0</v>
      </c>
      <c r="GL49" s="1" t="n">
        <f aca="false">BR49/BR$9*100</f>
        <v>0</v>
      </c>
      <c r="GM49" s="1" t="n">
        <f aca="false">BS49/BS$9*100</f>
        <v>0</v>
      </c>
      <c r="GO49" s="1" t="n">
        <f aca="false">$AM49</f>
        <v>38</v>
      </c>
      <c r="GP49" s="1" t="n">
        <f aca="false">FT49</f>
        <v>0</v>
      </c>
      <c r="GQ49" s="1" t="n">
        <f aca="false">GQ$6*(1+GQ$5*(-1)^$FQ49)*EXP(-$FQ49/GQ$4)</f>
        <v>6.45280397168297E-011</v>
      </c>
      <c r="GR49" s="1" t="n">
        <f aca="false">(GP49-GQ49)^2</f>
        <v>4.16386790969675E-021</v>
      </c>
      <c r="GS49" s="1" t="n">
        <f aca="false">EXP($FQ49/$JG$4)*GP49</f>
        <v>0</v>
      </c>
      <c r="GT49" s="1" t="n">
        <f aca="false">EXP($FQ49/$JG$4)*(-1)^$FQ49*GP49</f>
        <v>0</v>
      </c>
      <c r="GU49" s="1" t="n">
        <f aca="false">(-1)^GO49*GP49</f>
        <v>0</v>
      </c>
      <c r="GW49" s="1" t="n">
        <f aca="false">$AM49</f>
        <v>38</v>
      </c>
      <c r="GX49" s="1" t="n">
        <f aca="false">FX49</f>
        <v>0</v>
      </c>
      <c r="GY49" s="1" t="n">
        <f aca="false">GY$6*(1+GY$5*(-1)^$FQ49)*EXP(-$FQ49/GY$4)</f>
        <v>6.45280397168297E-011</v>
      </c>
      <c r="GZ49" s="1" t="n">
        <f aca="false">(GX49-GY49)^2</f>
        <v>4.16386790969675E-021</v>
      </c>
      <c r="HA49" s="1" t="n">
        <f aca="false">EXP($FQ49/$JG$4)*GX49</f>
        <v>0</v>
      </c>
      <c r="HB49" s="1" t="n">
        <f aca="false">EXP($FQ49/$JG$4)*(-1)^$FQ49*GX49</f>
        <v>0</v>
      </c>
      <c r="HC49" s="1" t="n">
        <f aca="false">(-1)^GW49*GX49</f>
        <v>0</v>
      </c>
      <c r="HE49" s="1" t="n">
        <f aca="false">$AM49</f>
        <v>38</v>
      </c>
      <c r="HF49" s="1" t="n">
        <f aca="false">GB49</f>
        <v>0</v>
      </c>
      <c r="HG49" s="1" t="n">
        <f aca="false">HG$6*(1+HG$5*(-1)^$FQ49)*EXP(-$FQ49/HG$4)</f>
        <v>6.45280397168297E-011</v>
      </c>
      <c r="HH49" s="1" t="n">
        <f aca="false">(HF49-HG49)^2</f>
        <v>4.16386790969675E-021</v>
      </c>
      <c r="HI49" s="1" t="n">
        <f aca="false">EXP($FQ49/$JG$4)*HF49</f>
        <v>0</v>
      </c>
      <c r="HJ49" s="1" t="n">
        <f aca="false">EXP($FQ49/$JG$4)*(-1)^$FQ49*HF49</f>
        <v>0</v>
      </c>
      <c r="HK49" s="1" t="n">
        <f aca="false">(-1)^HE49*HF49</f>
        <v>0</v>
      </c>
      <c r="HM49" s="1" t="n">
        <f aca="false">$AM49</f>
        <v>38</v>
      </c>
      <c r="HN49" s="1" t="n">
        <f aca="false">GF49</f>
        <v>0</v>
      </c>
      <c r="HO49" s="1" t="n">
        <f aca="false">HO$6*(1+HO$5*(-1)^$FQ49)*EXP(-$FQ49/HO$4)</f>
        <v>2.16719594092565E-008</v>
      </c>
      <c r="HP49" s="1" t="n">
        <f aca="false">(HN49-HO49)^2</f>
        <v>4.69673824636461E-016</v>
      </c>
      <c r="HQ49" s="1" t="n">
        <f aca="false">EXP($FQ49/$JG$4)*HN49</f>
        <v>0</v>
      </c>
      <c r="HR49" s="1" t="n">
        <f aca="false">EXP($FQ49/$JG$4)*(-1)^$FQ49*HN49</f>
        <v>0</v>
      </c>
      <c r="HS49" s="1" t="n">
        <f aca="false">(-1)^HM49*HN49</f>
        <v>0</v>
      </c>
      <c r="HU49" s="1" t="n">
        <f aca="false">$AM49</f>
        <v>38</v>
      </c>
      <c r="HV49" s="1" t="n">
        <f aca="false">GJ49</f>
        <v>0</v>
      </c>
      <c r="HW49" s="1" t="n">
        <f aca="false">HW$6*(1+HW$5*(-1)^$FQ49)*EXP(-$FQ49/HW$4)</f>
        <v>4.67041029080234E-006</v>
      </c>
      <c r="HX49" s="1" t="n">
        <f aca="false">(HV49-HW49)^2</f>
        <v>2.18127322844324E-011</v>
      </c>
      <c r="HY49" s="1" t="n">
        <f aca="false">EXP($FQ49/$JG$4)*HV49</f>
        <v>0</v>
      </c>
      <c r="HZ49" s="1" t="n">
        <f aca="false">EXP($FQ49/$JG$4)*(-1)^$FQ49*HV49</f>
        <v>0</v>
      </c>
      <c r="IA49" s="1" t="n">
        <f aca="false">(-1)^HU49*HV49</f>
        <v>0</v>
      </c>
      <c r="IB49" s="1" t="n">
        <v>0</v>
      </c>
      <c r="ID49" s="1" t="n">
        <f aca="false">$AM49</f>
        <v>38</v>
      </c>
      <c r="IE49" s="1" t="n">
        <f aca="false">FZ49</f>
        <v>0</v>
      </c>
      <c r="IF49" s="1" t="n">
        <f aca="false">IF$6*(1+IF$5*(-1)^$FQ49)*EXP(-$FQ49/IF$4)</f>
        <v>0.000173923925725878</v>
      </c>
      <c r="IG49" s="1" t="n">
        <f aca="false">(IE49-IF49)^2</f>
        <v>3.02495319399007E-008</v>
      </c>
      <c r="IH49" s="1" t="n">
        <f aca="false">EXP($FQ49/$JG$4)*IE49</f>
        <v>0</v>
      </c>
      <c r="II49" s="1" t="n">
        <f aca="false">EXP($FQ49/$JG$4)*(-1)^$FQ49*IE49</f>
        <v>0</v>
      </c>
      <c r="IJ49" s="1" t="n">
        <f aca="false">(-1)^ID49*IE49</f>
        <v>0</v>
      </c>
      <c r="IK49" s="1" t="n">
        <v>0</v>
      </c>
      <c r="IM49" s="1" t="n">
        <f aca="false">$AM49</f>
        <v>38</v>
      </c>
      <c r="IN49" s="1" t="n">
        <f aca="false">GD49</f>
        <v>0</v>
      </c>
      <c r="IO49" s="1" t="n">
        <f aca="false">IO$6*(1+IO$5*(-1)^$FQ49)*EXP(-$FQ49/IO$4)</f>
        <v>0.000921286166778041</v>
      </c>
      <c r="IP49" s="1" t="n">
        <f aca="false">(IN49-IO49)^2</f>
        <v>8.48768201096577E-007</v>
      </c>
      <c r="IQ49" s="1" t="n">
        <f aca="false">EXP($FQ49/$JG$4)*IN49</f>
        <v>0</v>
      </c>
      <c r="IR49" s="1" t="n">
        <f aca="false">EXP($FQ49/$JG$4)*(-1)^$FQ49*IN49</f>
        <v>0</v>
      </c>
      <c r="IS49" s="1" t="n">
        <f aca="false">(-1)^IM49*IN49</f>
        <v>0</v>
      </c>
      <c r="IT49" s="1" t="n">
        <v>0</v>
      </c>
      <c r="IV49" s="1" t="n">
        <f aca="false">$AM49</f>
        <v>38</v>
      </c>
      <c r="IW49" s="1" t="n">
        <f aca="false">GH49</f>
        <v>0</v>
      </c>
      <c r="IX49" s="1" t="n">
        <f aca="false">IX$6*(1+IX$5*(-1)^$FQ49)*EXP(-$FQ49/IX$4)</f>
        <v>0.0239560697972989</v>
      </c>
      <c r="IY49" s="1" t="n">
        <f aca="false">(IW49-IX49)^2</f>
        <v>0.000573893280133057</v>
      </c>
      <c r="IZ49" s="1" t="n">
        <f aca="false">EXP($FQ49/$JG$4)*IW49</f>
        <v>0</v>
      </c>
      <c r="JA49" s="1" t="n">
        <f aca="false">EXP($FQ49/$JG$4)*(-1)^$FQ49*IW49</f>
        <v>0</v>
      </c>
      <c r="JB49" s="1" t="n">
        <f aca="false">(-1)^IV49*IW49</f>
        <v>0</v>
      </c>
      <c r="JE49" s="1" t="n">
        <f aca="false">$AM49</f>
        <v>38</v>
      </c>
      <c r="JF49" s="1" t="n">
        <f aca="false">GL49</f>
        <v>0</v>
      </c>
      <c r="JG49" s="1" t="n">
        <f aca="false">JG$6*(1+JG$5*(-1)^$FQ49)*EXP(-$FQ49/JG$4)</f>
        <v>0.00695821331996989</v>
      </c>
      <c r="JH49" s="1" t="n">
        <f aca="false">(JF49-JG49)^2</f>
        <v>4.84167326062064E-005</v>
      </c>
      <c r="JI49" s="1" t="n">
        <f aca="false">EXP($FQ49/$JG$4)*JF49</f>
        <v>0</v>
      </c>
      <c r="JJ49" s="1" t="n">
        <f aca="false">EXP($FQ49/$JG$4)*(-1)^$FQ49*JF49</f>
        <v>0</v>
      </c>
      <c r="JK49" s="1" t="n">
        <f aca="false">(-1)^JE49*JF49</f>
        <v>0</v>
      </c>
      <c r="JO49" s="1" t="n">
        <f aca="false">$AM49</f>
        <v>38</v>
      </c>
      <c r="JP49" s="1" t="n">
        <f aca="false">GM49</f>
        <v>0</v>
      </c>
      <c r="JQ49" s="1" t="n">
        <f aca="false">JQ$6*(1+JQ$5*(-1)^$FQ49)*EXP(-$FQ49/JQ$4)</f>
        <v>0.688020842400523</v>
      </c>
      <c r="JR49" s="1" t="n">
        <f aca="false">(JP49-JQ49)^2</f>
        <v>0.473372679577525</v>
      </c>
      <c r="JS49" s="1" t="n">
        <f aca="false">EXP($FQ49/$JG$4)*JP49</f>
        <v>0</v>
      </c>
      <c r="JT49" s="1" t="n">
        <f aca="false">EXP($FQ49/$JG$4)*(-1)^$FQ49*JP49</f>
        <v>0</v>
      </c>
      <c r="JU49" s="1" t="n">
        <f aca="false">(-1)^JO49*JP49</f>
        <v>0</v>
      </c>
    </row>
    <row r="50" customFormat="false" ht="16" hidden="false" customHeight="false" outlineLevel="0" collapsed="false">
      <c r="A50" s="1" t="n">
        <v>2</v>
      </c>
      <c r="B50" s="1" t="n">
        <v>2</v>
      </c>
      <c r="C50" s="1" t="n">
        <f aca="false">B50-A50</f>
        <v>0</v>
      </c>
      <c r="D50" s="1" t="n">
        <v>1</v>
      </c>
      <c r="E50" s="1" t="n">
        <v>1</v>
      </c>
      <c r="F50" s="1" t="n">
        <f aca="false">E50-D50</f>
        <v>0</v>
      </c>
      <c r="G50" s="1" t="n">
        <v>3</v>
      </c>
      <c r="H50" s="1" t="n">
        <v>3</v>
      </c>
      <c r="I50" s="1" t="n">
        <f aca="false">H50-G50</f>
        <v>0</v>
      </c>
      <c r="J50" s="1" t="n">
        <v>2</v>
      </c>
      <c r="K50" s="1" t="n">
        <v>2</v>
      </c>
      <c r="L50" s="1" t="n">
        <f aca="false">K50-J50</f>
        <v>0</v>
      </c>
      <c r="M50" s="1" t="n">
        <v>2</v>
      </c>
      <c r="N50" s="1" t="n">
        <v>2</v>
      </c>
      <c r="O50" s="1" t="n">
        <f aca="false">N50-M50</f>
        <v>0</v>
      </c>
      <c r="P50" s="1" t="n">
        <v>2</v>
      </c>
      <c r="Q50" s="1" t="n">
        <v>4</v>
      </c>
      <c r="R50" s="1" t="n">
        <f aca="false">Q50-P50</f>
        <v>2</v>
      </c>
      <c r="S50" s="1" t="n">
        <v>7</v>
      </c>
      <c r="T50" s="1" t="n">
        <v>10</v>
      </c>
      <c r="U50" s="1" t="n">
        <f aca="false">T50-S50</f>
        <v>3</v>
      </c>
      <c r="V50" s="1" t="n">
        <v>4</v>
      </c>
      <c r="W50" s="1" t="n">
        <v>4</v>
      </c>
      <c r="X50" s="1" t="n">
        <f aca="false">W50-V50</f>
        <v>0</v>
      </c>
      <c r="Y50" s="1" t="n">
        <v>4</v>
      </c>
      <c r="Z50" s="1" t="n">
        <v>7</v>
      </c>
      <c r="AA50" s="1" t="n">
        <f aca="false">Z50-Y50</f>
        <v>3</v>
      </c>
      <c r="AB50" s="1" t="n">
        <v>2</v>
      </c>
      <c r="AC50" s="1" t="n">
        <v>4</v>
      </c>
      <c r="AD50" s="1" t="n">
        <f aca="false">AC50-AB50</f>
        <v>2</v>
      </c>
      <c r="AE50" s="1" t="n">
        <v>4</v>
      </c>
      <c r="AF50" s="1" t="n">
        <v>6</v>
      </c>
      <c r="AG50" s="1" t="n">
        <f aca="false">AF50-AE50</f>
        <v>2</v>
      </c>
      <c r="AM50" s="1" t="n">
        <v>39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W50" s="1" t="n">
        <f aca="false">$AM50</f>
        <v>39</v>
      </c>
      <c r="BX50" s="1" t="n">
        <f aca="false">MAX(BX49-AN50/AN$9*100,0)</f>
        <v>0</v>
      </c>
      <c r="BY50" s="1" t="n">
        <f aca="false">MAX(BY49-AO50/AO$9*100,0)</f>
        <v>0</v>
      </c>
      <c r="BZ50" s="1" t="n">
        <f aca="false">MAX(BZ49-AQ50/AQ$9*100,0)</f>
        <v>0</v>
      </c>
      <c r="CA50" s="1" t="n">
        <f aca="false">MAX(CA49-AR50/AR$9*100,0)</f>
        <v>0</v>
      </c>
      <c r="CB50" s="1" t="n">
        <f aca="false">CB$7*EXP(-$AM50/CB$8)</f>
        <v>2.10577898433574E-020</v>
      </c>
      <c r="CC50" s="1" t="n">
        <f aca="false">(BZ50-CB50)^2</f>
        <v>4.43430513087006E-040</v>
      </c>
      <c r="CD50" s="1" t="n">
        <f aca="false">MAX(CD49-AT50/AT$9*100,0)</f>
        <v>0</v>
      </c>
      <c r="CE50" s="1" t="n">
        <f aca="false">MAX(CE49-AU50/AU$9*100,0)</f>
        <v>5.32907051820075E-015</v>
      </c>
      <c r="CF50" s="1" t="n">
        <f aca="false">CF$7*EXP(-$AM50/CF$8)</f>
        <v>7.59087982947105E-020</v>
      </c>
      <c r="CG50" s="1" t="n">
        <f aca="false">(CD50-CF50)^2</f>
        <v>5.76214565854704E-039</v>
      </c>
      <c r="CH50" s="1" t="n">
        <f aca="false">$AM50</f>
        <v>39</v>
      </c>
      <c r="CI50" s="1" t="n">
        <f aca="false">MAX(CI49-AW50/AW$9*100,0)</f>
        <v>0</v>
      </c>
      <c r="CJ50" s="1" t="n">
        <f aca="false">MAX(CJ49-AX50/AX$9*100,0)</f>
        <v>0</v>
      </c>
      <c r="CK50" s="1" t="n">
        <f aca="false">CK$7*EXP(-$AM50/CK$8)</f>
        <v>5.9420632757497E-013</v>
      </c>
      <c r="CL50" s="1" t="n">
        <f aca="false">(CI50-CK50)^2</f>
        <v>3.53081159730133E-025</v>
      </c>
      <c r="CM50" s="1" t="n">
        <f aca="false">MAX(CM49-AZ50/AZ$9*100,0)</f>
        <v>0</v>
      </c>
      <c r="CN50" s="1" t="n">
        <f aca="false">MAX(CN49-BA50/BA$9*100,0)</f>
        <v>5.32907051820075E-015</v>
      </c>
      <c r="CO50" s="1" t="n">
        <f aca="false">CO$7*EXP(-$AM50/CO$8)</f>
        <v>9.56819693033276E-007</v>
      </c>
      <c r="CP50" s="1" t="n">
        <f aca="false">(CM50-CO50)^2</f>
        <v>9.15503924976292E-013</v>
      </c>
      <c r="CQ50" s="1" t="n">
        <f aca="false">$AM50</f>
        <v>39</v>
      </c>
      <c r="CR50" s="1" t="n">
        <f aca="false">MAX(CR49-BC50/BC$9*100,0)</f>
        <v>0</v>
      </c>
      <c r="CS50" s="1" t="n">
        <f aca="false">MAX(CS49-BD50/BD$9*100,0)</f>
        <v>0</v>
      </c>
      <c r="CT50" s="1" t="n">
        <f aca="false">CT$7*EXP(-$AM50/CT$8)</f>
        <v>6.77197170064017E-012</v>
      </c>
      <c r="CU50" s="1" t="n">
        <f aca="false">(CR50-CT50)^2</f>
        <v>4.58596007142713E-023</v>
      </c>
      <c r="CV50" s="1" t="n">
        <f aca="false">MAX(CV49-BF50/BF$9*100,0)</f>
        <v>8.88178419700125E-015</v>
      </c>
      <c r="CW50" s="1" t="n">
        <f aca="false">MAX(CW49-BG50/BG$9*100,0)</f>
        <v>5.32907051820075E-015</v>
      </c>
      <c r="CX50" s="1" t="n">
        <f aca="false">CX$7*EXP(-$AM50/CX$8)</f>
        <v>1.35122985860451E-005</v>
      </c>
      <c r="CY50" s="1" t="n">
        <f aca="false">(CV50-CX50)^2</f>
        <v>1.8258221283841E-010</v>
      </c>
      <c r="CZ50" s="1" t="n">
        <f aca="false">$AM50</f>
        <v>39</v>
      </c>
      <c r="DA50" s="1" t="n">
        <f aca="false">MAX(DA49-BI50/BI$9*100,0)</f>
        <v>0</v>
      </c>
      <c r="DB50" s="1" t="n">
        <f aca="false">MAX(DB49-BJ50/BJ$9*100,0)</f>
        <v>9.88098491916389E-015</v>
      </c>
      <c r="DC50" s="1" t="n">
        <f aca="false">DC$7*EXP(-$AM50/DC$8)</f>
        <v>6.93413664437269E-011</v>
      </c>
      <c r="DD50" s="1" t="n">
        <f aca="false">(DA50-DC50)^2</f>
        <v>4.80822510028322E-021</v>
      </c>
      <c r="DE50" s="1" t="n">
        <f aca="false">MAX(DE49-BL50/BL$9*100,0)</f>
        <v>0</v>
      </c>
      <c r="DF50" s="1" t="n">
        <f aca="false">MAX(DF49-BM50/BM$9*100,0)</f>
        <v>0.636942675159225</v>
      </c>
      <c r="DG50" s="1" t="n">
        <f aca="false">DG$7*EXP(-$AM50/DG$8)</f>
        <v>0.00702450697956969</v>
      </c>
      <c r="DH50" s="1" t="n">
        <f aca="false">(DE50-DG50)^2</f>
        <v>4.93436983060233E-005</v>
      </c>
      <c r="DI50" s="1" t="n">
        <f aca="false">$AM50</f>
        <v>39</v>
      </c>
      <c r="DJ50" s="1" t="n">
        <f aca="false">MAX(DJ49-BO50/BO$9*100,0)</f>
        <v>0</v>
      </c>
      <c r="DK50" s="1" t="n">
        <f aca="false">MAX(DK49-BP50/BP$9*100,0)</f>
        <v>9.99200722162641E-015</v>
      </c>
      <c r="DL50" s="1" t="n">
        <f aca="false">DL$7*EXP(-$AM50/DL$8)</f>
        <v>6.09531694830928E-009</v>
      </c>
      <c r="DM50" s="1" t="n">
        <f aca="false">(DJ50-DL50)^2</f>
        <v>3.71528887003464E-017</v>
      </c>
      <c r="DN50" s="1" t="n">
        <f aca="false">MAX(DN49-BR50/BR$9*100,0)</f>
        <v>0.502512562814072</v>
      </c>
      <c r="DO50" s="1" t="n">
        <f aca="false">MAX(DO49-BS50/BS$9*100,0)</f>
        <v>1.50753768844221</v>
      </c>
      <c r="DP50" s="1" t="n">
        <f aca="false">DP$7*EXP(-$AM50/DP$8)</f>
        <v>0.00194180447689275</v>
      </c>
      <c r="DQ50" s="1" t="n">
        <f aca="false">(DN50-DP50)^2</f>
        <v>0.250571084102259</v>
      </c>
      <c r="DS50" s="1" t="n">
        <f aca="false">$AM50</f>
        <v>39</v>
      </c>
      <c r="DT50" s="1" t="n">
        <f aca="false">CA50</f>
        <v>0</v>
      </c>
      <c r="DU50" s="1" t="n">
        <f aca="false">DU$7*EXP(-DS50/DU$8)</f>
        <v>5.63459978388323E-016</v>
      </c>
      <c r="DV50" s="1" t="n">
        <f aca="false">(DT50-DU50)^2</f>
        <v>3.1748714724537E-031</v>
      </c>
      <c r="DX50" s="1" t="n">
        <f aca="false">$AM50</f>
        <v>39</v>
      </c>
      <c r="DY50" s="1" t="n">
        <f aca="false">CM50</f>
        <v>0</v>
      </c>
      <c r="DZ50" s="1" t="n">
        <f aca="false">DZ$7*EXP(-DX50/DZ$8)</f>
        <v>4.8218777043946E-008</v>
      </c>
      <c r="EA50" s="1" t="n">
        <f aca="false">(DY50-DZ50)^2</f>
        <v>2.32505045961377E-015</v>
      </c>
      <c r="EC50" s="1" t="n">
        <f aca="false">$AM50</f>
        <v>39</v>
      </c>
      <c r="ED50" s="1" t="n">
        <f aca="false">CV50</f>
        <v>8.88178419700125E-015</v>
      </c>
      <c r="EE50" s="1" t="n">
        <f aca="false">EE$7*EXP(-EC50/EE$8)</f>
        <v>5.7017316672605E-006</v>
      </c>
      <c r="EF50" s="1" t="n">
        <f aca="false">(ED50-EE50)^2</f>
        <v>3.25097439041581E-011</v>
      </c>
      <c r="EH50" s="1" t="n">
        <f aca="false">$AM50</f>
        <v>39</v>
      </c>
      <c r="EI50" s="1" t="n">
        <f aca="false">DE50</f>
        <v>0</v>
      </c>
      <c r="EJ50" s="1" t="n">
        <f aca="false">EJ$7*EXP(-EH50/EJ$8)</f>
        <v>0.00699535964770426</v>
      </c>
      <c r="EK50" s="1" t="n">
        <f aca="false">(EI50-EJ50)^2</f>
        <v>4.89350566007291E-005</v>
      </c>
      <c r="EM50" s="1" t="n">
        <f aca="false">AM50</f>
        <v>39</v>
      </c>
      <c r="EN50" s="1" t="n">
        <f aca="false">DN50</f>
        <v>0.502512562814072</v>
      </c>
      <c r="EO50" s="1" t="n">
        <f aca="false">EO$7*EXP(-EM50/EO$8)</f>
        <v>0.00274646742976363</v>
      </c>
      <c r="EP50" s="1" t="n">
        <f aca="false">(EN50-EO50)^2</f>
        <v>0.249766150095678</v>
      </c>
      <c r="ER50" s="1" t="n">
        <f aca="false">$AM50</f>
        <v>39</v>
      </c>
      <c r="ES50" s="1" t="n">
        <f aca="false">BZ50</f>
        <v>0</v>
      </c>
      <c r="ET50" s="1" t="n">
        <f aca="false">ET$7*EXP(-ER50/ET$8)</f>
        <v>1.25539014673238E-018</v>
      </c>
      <c r="EU50" s="1" t="n">
        <f aca="false">(ES50-ET50)^2</f>
        <v>1.57600442051275E-036</v>
      </c>
      <c r="EW50" s="1" t="n">
        <f aca="false">$AM50</f>
        <v>39</v>
      </c>
      <c r="EX50" s="1" t="n">
        <f aca="false">CI50</f>
        <v>0</v>
      </c>
      <c r="EY50" s="1" t="n">
        <f aca="false">EY$7*EXP(-EW50/EY$8)</f>
        <v>5.97785575522405E-017</v>
      </c>
      <c r="EZ50" s="1" t="n">
        <f aca="false">(EX50-EY50)^2</f>
        <v>3.57347594302653E-033</v>
      </c>
      <c r="FB50" s="1" t="n">
        <f aca="false">$AM50</f>
        <v>39</v>
      </c>
      <c r="FC50" s="1" t="n">
        <f aca="false">CR50</f>
        <v>0</v>
      </c>
      <c r="FD50" s="1" t="n">
        <f aca="false">FD$7*EXP(-FB50/FD$8)</f>
        <v>1.31668565196065E-014</v>
      </c>
      <c r="FE50" s="1" t="n">
        <f aca="false">(FC50-FD50)^2</f>
        <v>1.73366110607904E-028</v>
      </c>
      <c r="FG50" s="1" t="n">
        <f aca="false">$AM50</f>
        <v>39</v>
      </c>
      <c r="FH50" s="1" t="n">
        <f aca="false">DA50</f>
        <v>0</v>
      </c>
      <c r="FI50" s="1" t="n">
        <f aca="false">FI$7*EXP(-FG50/FI$8)</f>
        <v>1.86892393790278E-012</v>
      </c>
      <c r="FJ50" s="1" t="n">
        <f aca="false">(FH50-FI50)^2</f>
        <v>3.49287668566603E-024</v>
      </c>
      <c r="FL50" s="1" t="n">
        <f aca="false">EM50</f>
        <v>39</v>
      </c>
      <c r="FM50" s="1" t="n">
        <f aca="false">DJ50</f>
        <v>0</v>
      </c>
      <c r="FN50" s="1" t="n">
        <f aca="false">FN$7*EXP(-FL50/FN$8)</f>
        <v>8.68545134770765E-010</v>
      </c>
      <c r="FO50" s="1" t="n">
        <f aca="false">(FM50-FN50)^2</f>
        <v>7.54370651133966E-019</v>
      </c>
      <c r="FQ50" s="1" t="n">
        <f aca="false">AM50</f>
        <v>39</v>
      </c>
      <c r="FR50" s="1" t="n">
        <f aca="false">AN50/AN$9*100</f>
        <v>0</v>
      </c>
      <c r="FS50" s="1" t="n">
        <f aca="false">AO50/AO$9*100</f>
        <v>0</v>
      </c>
      <c r="FT50" s="1" t="n">
        <f aca="false">AQ50/AQ$9*100</f>
        <v>0</v>
      </c>
      <c r="FU50" s="1" t="n">
        <f aca="false">AR50/AR$9*100</f>
        <v>0</v>
      </c>
      <c r="FV50" s="1" t="n">
        <f aca="false">AT50/AT$9*100</f>
        <v>0</v>
      </c>
      <c r="FW50" s="1" t="n">
        <f aca="false">AU50/AU$9*100</f>
        <v>0</v>
      </c>
      <c r="FX50" s="1" t="n">
        <f aca="false">AW50/AW$9*100</f>
        <v>0</v>
      </c>
      <c r="FY50" s="1" t="n">
        <f aca="false">AX50/AX$9*100</f>
        <v>0</v>
      </c>
      <c r="FZ50" s="1" t="n">
        <f aca="false">AZ50/AZ$9*100</f>
        <v>0</v>
      </c>
      <c r="GA50" s="1" t="n">
        <f aca="false">BA50/BA$9*100</f>
        <v>0</v>
      </c>
      <c r="GB50" s="1" t="n">
        <f aca="false">BC50/BC$9*100</f>
        <v>0</v>
      </c>
      <c r="GC50" s="1" t="n">
        <f aca="false">BD50/BD$9*100</f>
        <v>0</v>
      </c>
      <c r="GD50" s="1" t="n">
        <f aca="false">BF50/BF$9*100</f>
        <v>0</v>
      </c>
      <c r="GE50" s="1" t="n">
        <f aca="false">BG50/BG$9*100</f>
        <v>0</v>
      </c>
      <c r="GF50" s="1" t="n">
        <f aca="false">BI50/BI$9*100</f>
        <v>0</v>
      </c>
      <c r="GG50" s="1" t="n">
        <f aca="false">BJ50/BJ$9*100</f>
        <v>0</v>
      </c>
      <c r="GH50" s="1" t="n">
        <f aca="false">BL50/BL$9*100</f>
        <v>0</v>
      </c>
      <c r="GI50" s="1" t="n">
        <f aca="false">BM50/BM$9*100</f>
        <v>0</v>
      </c>
      <c r="GJ50" s="1" t="n">
        <f aca="false">BO50/BO$9*100</f>
        <v>0</v>
      </c>
      <c r="GK50" s="1" t="n">
        <f aca="false">BP50/BP$9*100</f>
        <v>0</v>
      </c>
      <c r="GL50" s="1" t="n">
        <f aca="false">BR50/BR$9*100</f>
        <v>0</v>
      </c>
      <c r="GM50" s="1" t="n">
        <f aca="false">BS50/BS$9*100</f>
        <v>0</v>
      </c>
      <c r="GO50" s="1" t="n">
        <f aca="false">$AM50</f>
        <v>39</v>
      </c>
      <c r="GP50" s="1" t="n">
        <f aca="false">FT50</f>
        <v>0</v>
      </c>
      <c r="GQ50" s="1" t="n">
        <f aca="false">GQ$6*(1+GQ$5*(-1)^$FQ50)*EXP(-$FQ50/GQ$4)</f>
        <v>1.03543158468762E-011</v>
      </c>
      <c r="GR50" s="1" t="n">
        <f aca="false">(GP50-GQ50)^2</f>
        <v>1.07211856656872E-022</v>
      </c>
      <c r="GS50" s="1" t="n">
        <f aca="false">EXP($FQ50/$JG$4)*GP50</f>
        <v>0</v>
      </c>
      <c r="GT50" s="1" t="n">
        <f aca="false">EXP($FQ50/$JG$4)*(-1)^$FQ50*GP50</f>
        <v>-0</v>
      </c>
      <c r="GU50" s="1" t="n">
        <f aca="false">(-1)^GO50*GP50</f>
        <v>-0</v>
      </c>
      <c r="GW50" s="1" t="n">
        <f aca="false">$AM50</f>
        <v>39</v>
      </c>
      <c r="GX50" s="1" t="n">
        <f aca="false">FX50</f>
        <v>0</v>
      </c>
      <c r="GY50" s="1" t="n">
        <f aca="false">GY$6*(1+GY$5*(-1)^$FQ50)*EXP(-$FQ50/GY$4)</f>
        <v>1.03543158468762E-011</v>
      </c>
      <c r="GZ50" s="1" t="n">
        <f aca="false">(GX50-GY50)^2</f>
        <v>1.07211856656872E-022</v>
      </c>
      <c r="HA50" s="1" t="n">
        <f aca="false">EXP($FQ50/$JG$4)*GX50</f>
        <v>0</v>
      </c>
      <c r="HB50" s="1" t="n">
        <f aca="false">EXP($FQ50/$JG$4)*(-1)^$FQ50*GX50</f>
        <v>-0</v>
      </c>
      <c r="HC50" s="1" t="n">
        <f aca="false">(-1)^GW50*GX50</f>
        <v>-0</v>
      </c>
      <c r="HE50" s="1" t="n">
        <f aca="false">$AM50</f>
        <v>39</v>
      </c>
      <c r="HF50" s="1" t="n">
        <f aca="false">GB50</f>
        <v>0</v>
      </c>
      <c r="HG50" s="1" t="n">
        <f aca="false">HG$6*(1+HG$5*(-1)^$FQ50)*EXP(-$FQ50/HG$4)</f>
        <v>1.03543158468762E-011</v>
      </c>
      <c r="HH50" s="1" t="n">
        <f aca="false">(HF50-HG50)^2</f>
        <v>1.07211856656872E-022</v>
      </c>
      <c r="HI50" s="1" t="n">
        <f aca="false">EXP($FQ50/$JG$4)*HF50</f>
        <v>0</v>
      </c>
      <c r="HJ50" s="1" t="n">
        <f aca="false">EXP($FQ50/$JG$4)*(-1)^$FQ50*HF50</f>
        <v>-0</v>
      </c>
      <c r="HK50" s="1" t="n">
        <f aca="false">(-1)^HE50*HF50</f>
        <v>-0</v>
      </c>
      <c r="HM50" s="1" t="n">
        <f aca="false">$AM50</f>
        <v>39</v>
      </c>
      <c r="HN50" s="1" t="n">
        <f aca="false">GF50</f>
        <v>0</v>
      </c>
      <c r="HO50" s="1" t="n">
        <f aca="false">HO$6*(1+HO$5*(-1)^$FQ50)*EXP(-$FQ50/HO$4)</f>
        <v>2.61396793175828E-009</v>
      </c>
      <c r="HP50" s="1" t="n">
        <f aca="false">(HN50-HO50)^2</f>
        <v>6.83282834826066E-018</v>
      </c>
      <c r="HQ50" s="1" t="n">
        <f aca="false">EXP($FQ50/$JG$4)*HN50</f>
        <v>0</v>
      </c>
      <c r="HR50" s="1" t="n">
        <f aca="false">EXP($FQ50/$JG$4)*(-1)^$FQ50*HN50</f>
        <v>-0</v>
      </c>
      <c r="HS50" s="1" t="n">
        <f aca="false">(-1)^HM50*HN50</f>
        <v>-0</v>
      </c>
      <c r="HU50" s="1" t="n">
        <f aca="false">$AM50</f>
        <v>39</v>
      </c>
      <c r="HV50" s="1" t="n">
        <f aca="false">GJ50</f>
        <v>0</v>
      </c>
      <c r="HW50" s="1" t="n">
        <f aca="false">HW$6*(1+HW$5*(-1)^$FQ50)*EXP(-$FQ50/HW$4)</f>
        <v>1.00015677203764E-006</v>
      </c>
      <c r="HX50" s="1" t="n">
        <f aca="false">(HV50-HW50)^2</f>
        <v>1.00031356865275E-012</v>
      </c>
      <c r="HY50" s="1" t="n">
        <f aca="false">EXP($FQ50/$JG$4)*HV50</f>
        <v>0</v>
      </c>
      <c r="HZ50" s="1" t="n">
        <f aca="false">EXP($FQ50/$JG$4)*(-1)^$FQ50*HV50</f>
        <v>-0</v>
      </c>
      <c r="IA50" s="1" t="n">
        <f aca="false">(-1)^HU50*HV50</f>
        <v>-0</v>
      </c>
      <c r="IB50" s="1" t="n">
        <v>0</v>
      </c>
      <c r="ID50" s="1" t="n">
        <f aca="false">$AM50</f>
        <v>39</v>
      </c>
      <c r="IE50" s="1" t="n">
        <f aca="false">FZ50</f>
        <v>0</v>
      </c>
      <c r="IF50" s="1" t="n">
        <f aca="false">IF$6*(1+IF$5*(-1)^$FQ50)*EXP(-$FQ50/IF$4)</f>
        <v>6.41991804087433E-005</v>
      </c>
      <c r="IG50" s="1" t="n">
        <f aca="false">(IE50-IF50)^2</f>
        <v>4.12153476515437E-009</v>
      </c>
      <c r="IH50" s="1" t="n">
        <f aca="false">EXP($FQ50/$JG$4)*IE50</f>
        <v>0</v>
      </c>
      <c r="II50" s="1" t="n">
        <f aca="false">EXP($FQ50/$JG$4)*(-1)^$FQ50*IE50</f>
        <v>-0</v>
      </c>
      <c r="IJ50" s="1" t="n">
        <f aca="false">(-1)^ID50*IE50</f>
        <v>-0</v>
      </c>
      <c r="IK50" s="1" t="n">
        <v>0</v>
      </c>
      <c r="IM50" s="1" t="n">
        <f aca="false">$AM50</f>
        <v>39</v>
      </c>
      <c r="IN50" s="1" t="n">
        <f aca="false">GD50</f>
        <v>0</v>
      </c>
      <c r="IO50" s="1" t="n">
        <f aca="false">IO$6*(1+IO$5*(-1)^$FQ50)*EXP(-$FQ50/IO$4)</f>
        <v>0.000318368722552981</v>
      </c>
      <c r="IP50" s="1" t="n">
        <f aca="false">(IN50-IO50)^2</f>
        <v>1.01358643500017E-007</v>
      </c>
      <c r="IQ50" s="1" t="n">
        <f aca="false">EXP($FQ50/$JG$4)*IN50</f>
        <v>0</v>
      </c>
      <c r="IR50" s="1" t="n">
        <f aca="false">EXP($FQ50/$JG$4)*(-1)^$FQ50*IN50</f>
        <v>-0</v>
      </c>
      <c r="IS50" s="1" t="n">
        <f aca="false">(-1)^IM50*IN50</f>
        <v>-0</v>
      </c>
      <c r="IT50" s="1" t="n">
        <v>0</v>
      </c>
      <c r="IV50" s="1" t="n">
        <f aca="false">$AM50</f>
        <v>39</v>
      </c>
      <c r="IW50" s="1" t="n">
        <f aca="false">GH50</f>
        <v>0</v>
      </c>
      <c r="IX50" s="1" t="n">
        <f aca="false">IX$6*(1+IX$5*(-1)^$FQ50)*EXP(-$FQ50/IX$4)</f>
        <v>0.00509664204403538</v>
      </c>
      <c r="IY50" s="1" t="n">
        <f aca="false">(IW50-IX50)^2</f>
        <v>2.59757601250291E-005</v>
      </c>
      <c r="IZ50" s="1" t="n">
        <f aca="false">EXP($FQ50/$JG$4)*IW50</f>
        <v>0</v>
      </c>
      <c r="JA50" s="1" t="n">
        <f aca="false">EXP($FQ50/$JG$4)*(-1)^$FQ50*IW50</f>
        <v>-0</v>
      </c>
      <c r="JB50" s="1" t="n">
        <f aca="false">(-1)^IV50*IW50</f>
        <v>-0</v>
      </c>
      <c r="JE50" s="1" t="n">
        <f aca="false">$AM50</f>
        <v>39</v>
      </c>
      <c r="JF50" s="1" t="n">
        <f aca="false">GL50</f>
        <v>0</v>
      </c>
      <c r="JG50" s="1" t="n">
        <f aca="false">JG$6*(1+JG$5*(-1)^$FQ50)*EXP(-$FQ50/JG$4)</f>
        <v>0.000841343725775622</v>
      </c>
      <c r="JH50" s="1" t="n">
        <f aca="false">(JF50-JG50)^2</f>
        <v>7.07859264902005E-007</v>
      </c>
      <c r="JI50" s="1" t="n">
        <f aca="false">EXP($FQ50/$JG$4)*JF50</f>
        <v>0</v>
      </c>
      <c r="JJ50" s="1" t="n">
        <f aca="false">EXP($FQ50/$JG$4)*(-1)^$FQ50*JF50</f>
        <v>-0</v>
      </c>
      <c r="JK50" s="1" t="n">
        <f aca="false">(-1)^JE50*JF50</f>
        <v>-0</v>
      </c>
      <c r="JO50" s="1" t="n">
        <f aca="false">$AM50</f>
        <v>39</v>
      </c>
      <c r="JP50" s="1" t="n">
        <f aca="false">GM50</f>
        <v>0</v>
      </c>
      <c r="JQ50" s="1" t="n">
        <f aca="false">JQ$6*(1+JQ$5*(-1)^$FQ50)*EXP(-$FQ50/JQ$4)</f>
        <v>0.12097586405231</v>
      </c>
      <c r="JR50" s="1" t="n">
        <f aca="false">(JP50-JQ50)^2</f>
        <v>0.014635159683203</v>
      </c>
      <c r="JS50" s="1" t="n">
        <f aca="false">EXP($FQ50/$JG$4)*JP50</f>
        <v>0</v>
      </c>
      <c r="JT50" s="1" t="n">
        <f aca="false">EXP($FQ50/$JG$4)*(-1)^$FQ50*JP50</f>
        <v>-0</v>
      </c>
      <c r="JU50" s="1" t="n">
        <f aca="false">(-1)^JO50*JP50</f>
        <v>-0</v>
      </c>
    </row>
    <row r="51" customFormat="false" ht="16" hidden="false" customHeight="false" outlineLevel="0" collapsed="false">
      <c r="A51" s="1" t="n">
        <v>1</v>
      </c>
      <c r="B51" s="1" t="n">
        <v>1</v>
      </c>
      <c r="C51" s="1" t="n">
        <f aca="false">B51-A51</f>
        <v>0</v>
      </c>
      <c r="D51" s="1" t="n">
        <v>2</v>
      </c>
      <c r="E51" s="1" t="n">
        <v>2</v>
      </c>
      <c r="F51" s="1" t="n">
        <f aca="false">E51-D51</f>
        <v>0</v>
      </c>
      <c r="G51" s="1" t="n">
        <v>1</v>
      </c>
      <c r="H51" s="1" t="n">
        <v>1</v>
      </c>
      <c r="I51" s="1" t="n">
        <f aca="false">H51-G51</f>
        <v>0</v>
      </c>
      <c r="J51" s="1" t="n">
        <v>4</v>
      </c>
      <c r="K51" s="1" t="n">
        <v>4</v>
      </c>
      <c r="L51" s="1" t="n">
        <f aca="false">K51-J51</f>
        <v>0</v>
      </c>
      <c r="M51" s="1" t="n">
        <v>2</v>
      </c>
      <c r="N51" s="1" t="n">
        <v>2</v>
      </c>
      <c r="O51" s="1" t="n">
        <f aca="false">N51-M51</f>
        <v>0</v>
      </c>
      <c r="P51" s="1" t="n">
        <v>1</v>
      </c>
      <c r="Q51" s="1" t="n">
        <v>2</v>
      </c>
      <c r="R51" s="1" t="n">
        <f aca="false">Q51-P51</f>
        <v>1</v>
      </c>
      <c r="S51" s="1" t="n">
        <v>3</v>
      </c>
      <c r="T51" s="1" t="n">
        <v>5</v>
      </c>
      <c r="U51" s="1" t="n">
        <f aca="false">T51-S51</f>
        <v>2</v>
      </c>
      <c r="V51" s="1" t="n">
        <v>4</v>
      </c>
      <c r="W51" s="1" t="n">
        <v>7</v>
      </c>
      <c r="X51" s="1" t="n">
        <f aca="false">W51-V51</f>
        <v>3</v>
      </c>
      <c r="Y51" s="1" t="n">
        <v>6</v>
      </c>
      <c r="Z51" s="1" t="n">
        <v>8</v>
      </c>
      <c r="AA51" s="1" t="n">
        <f aca="false">Z51-Y51</f>
        <v>2</v>
      </c>
      <c r="AB51" s="1" t="n">
        <v>2</v>
      </c>
      <c r="AC51" s="1" t="n">
        <v>2</v>
      </c>
      <c r="AD51" s="1" t="n">
        <f aca="false">AC51-AB51</f>
        <v>0</v>
      </c>
      <c r="AE51" s="1" t="n">
        <v>2</v>
      </c>
      <c r="AF51" s="1" t="n">
        <v>12</v>
      </c>
      <c r="AG51" s="1" t="n">
        <f aca="false">AF51-AE51</f>
        <v>10</v>
      </c>
      <c r="AI51" s="1" t="s">
        <v>78</v>
      </c>
      <c r="AM51" s="1" t="n">
        <v>40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1</v>
      </c>
      <c r="BT51" s="1" t="n">
        <v>0</v>
      </c>
      <c r="BW51" s="1" t="n">
        <f aca="false">$AM51</f>
        <v>40</v>
      </c>
      <c r="BX51" s="1" t="n">
        <f aca="false">MAX(BX50-AN51/AN$9*100,0)</f>
        <v>0</v>
      </c>
      <c r="BY51" s="1" t="n">
        <f aca="false">MAX(BY50-AO51/AO$9*100,0)</f>
        <v>0</v>
      </c>
      <c r="BZ51" s="1" t="n">
        <f aca="false">MAX(BZ50-AQ51/AQ$9*100,0)</f>
        <v>0</v>
      </c>
      <c r="CA51" s="1" t="n">
        <f aca="false">MAX(CA50-AR51/AR$9*100,0)</f>
        <v>0</v>
      </c>
      <c r="CB51" s="1" t="n">
        <f aca="false">CB$7*EXP(-$AM51/CB$8)</f>
        <v>5.74637520439133E-021</v>
      </c>
      <c r="CC51" s="1" t="n">
        <f aca="false">(BZ51-CB51)^2</f>
        <v>3.30208279896435E-041</v>
      </c>
      <c r="CD51" s="1" t="n">
        <f aca="false">MAX(CD50-AT51/AT$9*100,0)</f>
        <v>0</v>
      </c>
      <c r="CE51" s="1" t="n">
        <f aca="false">MAX(CE50-AU51/AU$9*100,0)</f>
        <v>5.32907051820075E-015</v>
      </c>
      <c r="CF51" s="1" t="n">
        <f aca="false">CF$7*EXP(-$AM51/CF$8)</f>
        <v>2.1406825342918E-020</v>
      </c>
      <c r="CG51" s="1" t="n">
        <f aca="false">(CD51-CF51)^2</f>
        <v>4.58252171262196E-040</v>
      </c>
      <c r="CH51" s="1" t="n">
        <f aca="false">$AM51</f>
        <v>40</v>
      </c>
      <c r="CI51" s="1" t="n">
        <f aca="false">MAX(CI50-AW51/AW$9*100,0)</f>
        <v>0</v>
      </c>
      <c r="CJ51" s="1" t="n">
        <f aca="false">MAX(CJ50-AX51/AX$9*100,0)</f>
        <v>0</v>
      </c>
      <c r="CK51" s="1" t="n">
        <f aca="false">CK$7*EXP(-$AM51/CK$8)</f>
        <v>2.52781570261498E-013</v>
      </c>
      <c r="CL51" s="1" t="n">
        <f aca="false">(CI51-CK51)^2</f>
        <v>6.38985222638687E-026</v>
      </c>
      <c r="CM51" s="1" t="n">
        <f aca="false">MAX(CM50-AZ51/AZ$9*100,0)</f>
        <v>0</v>
      </c>
      <c r="CN51" s="1" t="n">
        <f aca="false">MAX(CN50-BA51/BA$9*100,0)</f>
        <v>5.32907051820075E-015</v>
      </c>
      <c r="CO51" s="1" t="n">
        <f aca="false">CO$7*EXP(-$AM51/CO$8)</f>
        <v>5.91608876174038E-007</v>
      </c>
      <c r="CP51" s="1" t="n">
        <f aca="false">(CM51-CO51)^2</f>
        <v>3.50001062367908E-013</v>
      </c>
      <c r="CQ51" s="1" t="n">
        <f aca="false">$AM51</f>
        <v>40</v>
      </c>
      <c r="CR51" s="1" t="n">
        <f aca="false">MAX(CR50-BC51/BC$9*100,0)</f>
        <v>0</v>
      </c>
      <c r="CS51" s="1" t="n">
        <f aca="false">MAX(CS50-BD51/BD$9*100,0)</f>
        <v>0</v>
      </c>
      <c r="CT51" s="1" t="n">
        <f aca="false">CT$7*EXP(-$AM51/CT$8)</f>
        <v>3.0814205573691E-012</v>
      </c>
      <c r="CU51" s="1" t="n">
        <f aca="false">(CR51-CT51)^2</f>
        <v>9.49515265137689E-024</v>
      </c>
      <c r="CV51" s="1" t="n">
        <f aca="false">MAX(CV50-BF51/BF$9*100,0)</f>
        <v>8.88178419700125E-015</v>
      </c>
      <c r="CW51" s="1" t="n">
        <f aca="false">MAX(CW50-BG51/BG$9*100,0)</f>
        <v>5.32907051820075E-015</v>
      </c>
      <c r="CX51" s="1" t="n">
        <f aca="false">CX$7*EXP(-$AM51/CX$8)</f>
        <v>8.93858354617911E-006</v>
      </c>
      <c r="CY51" s="1" t="n">
        <f aca="false">(CV51-CX51)^2</f>
        <v>7.98982756532428E-011</v>
      </c>
      <c r="CZ51" s="1" t="n">
        <f aca="false">$AM51</f>
        <v>40</v>
      </c>
      <c r="DA51" s="1" t="n">
        <f aca="false">MAX(DA50-BI51/BI$9*100,0)</f>
        <v>0</v>
      </c>
      <c r="DB51" s="1" t="n">
        <f aca="false">MAX(DB50-BJ51/BJ$9*100,0)</f>
        <v>9.88098491916389E-015</v>
      </c>
      <c r="DC51" s="1" t="n">
        <f aca="false">DC$7*EXP(-$AM51/DC$8)</f>
        <v>3.34186671041138E-011</v>
      </c>
      <c r="DD51" s="1" t="n">
        <f aca="false">(DA51-DC51)^2</f>
        <v>1.11680731101558E-021</v>
      </c>
      <c r="DE51" s="1" t="n">
        <f aca="false">MAX(DE50-BL51/BL$9*100,0)</f>
        <v>0</v>
      </c>
      <c r="DF51" s="1" t="n">
        <f aca="false">MAX(DF50-BM51/BM$9*100,0)</f>
        <v>0.636942675159225</v>
      </c>
      <c r="DG51" s="1" t="n">
        <f aca="false">DG$7*EXP(-$AM51/DG$8)</f>
        <v>0.00547069153637943</v>
      </c>
      <c r="DH51" s="1" t="n">
        <f aca="false">(DE51-DG51)^2</f>
        <v>2.99284658862135E-005</v>
      </c>
      <c r="DI51" s="1" t="n">
        <f aca="false">$AM51</f>
        <v>40</v>
      </c>
      <c r="DJ51" s="1" t="n">
        <f aca="false">MAX(DJ50-BO51/BO$9*100,0)</f>
        <v>0</v>
      </c>
      <c r="DK51" s="1" t="n">
        <f aca="false">MAX(DK50-BP51/BP$9*100,0)</f>
        <v>9.99200722162641E-015</v>
      </c>
      <c r="DL51" s="1" t="n">
        <f aca="false">DL$7*EXP(-$AM51/DL$8)</f>
        <v>3.3003345114103E-009</v>
      </c>
      <c r="DM51" s="1" t="n">
        <f aca="false">(DJ51-DL51)^2</f>
        <v>1.08922078872059E-017</v>
      </c>
      <c r="DN51" s="1" t="n">
        <f aca="false">MAX(DN50-BR51/BR$9*100,0)</f>
        <v>0.502512562814072</v>
      </c>
      <c r="DO51" s="1" t="n">
        <f aca="false">MAX(DO50-BS51/BS$9*100,0)</f>
        <v>1.00502512562814</v>
      </c>
      <c r="DP51" s="1" t="n">
        <f aca="false">DP$7*EXP(-$AM51/DP$8)</f>
        <v>0.00146276951149258</v>
      </c>
      <c r="DQ51" s="1" t="n">
        <f aca="false">(DN51-DP51)^2</f>
        <v>0.251050895368558</v>
      </c>
      <c r="DS51" s="1" t="n">
        <f aca="false">$AM51</f>
        <v>40</v>
      </c>
      <c r="DT51" s="1" t="n">
        <f aca="false">CA51</f>
        <v>0</v>
      </c>
      <c r="DU51" s="1" t="n">
        <f aca="false">DU$7*EXP(-DS51/DU$8)</f>
        <v>2.00972578350993E-016</v>
      </c>
      <c r="DV51" s="1" t="n">
        <f aca="false">(DT51-DU51)^2</f>
        <v>4.0389977249046E-032</v>
      </c>
      <c r="DX51" s="1" t="n">
        <f aca="false">$AM51</f>
        <v>40</v>
      </c>
      <c r="DY51" s="1" t="n">
        <f aca="false">CM51</f>
        <v>0</v>
      </c>
      <c r="DZ51" s="1" t="n">
        <f aca="false">DZ$7*EXP(-DX51/DZ$8)</f>
        <v>2.74935314667674E-008</v>
      </c>
      <c r="EA51" s="1" t="n">
        <f aca="false">(DY51-DZ51)^2</f>
        <v>7.55894272514129E-016</v>
      </c>
      <c r="EC51" s="1" t="n">
        <f aca="false">$AM51</f>
        <v>40</v>
      </c>
      <c r="ED51" s="1" t="n">
        <f aca="false">CV51</f>
        <v>8.88178419700125E-015</v>
      </c>
      <c r="EE51" s="1" t="n">
        <f aca="false">EE$7*EXP(-EC51/EE$8)</f>
        <v>3.6843300602021E-006</v>
      </c>
      <c r="EF51" s="1" t="n">
        <f aca="false">(ED51-EE51)^2</f>
        <v>1.3574287927062E-011</v>
      </c>
      <c r="EH51" s="1" t="n">
        <f aca="false">$AM51</f>
        <v>40</v>
      </c>
      <c r="EI51" s="1" t="n">
        <f aca="false">DE51</f>
        <v>0</v>
      </c>
      <c r="EJ51" s="1" t="n">
        <f aca="false">EJ$7*EXP(-EH51/EJ$8)</f>
        <v>0.00544799157149818</v>
      </c>
      <c r="EK51" s="1" t="n">
        <f aca="false">(EI51-EJ51)^2</f>
        <v>2.96806121631152E-005</v>
      </c>
      <c r="EM51" s="1" t="n">
        <f aca="false">AM51</f>
        <v>40</v>
      </c>
      <c r="EN51" s="1" t="n">
        <f aca="false">DN51</f>
        <v>0.502512562814072</v>
      </c>
      <c r="EO51" s="1" t="n">
        <f aca="false">EO$7*EXP(-EM51/EO$8)</f>
        <v>0.00208828449299865</v>
      </c>
      <c r="EP51" s="1" t="n">
        <f aca="false">(EN51-EO51)^2</f>
        <v>0.250424458333167</v>
      </c>
      <c r="ER51" s="1" t="n">
        <f aca="false">$AM51</f>
        <v>40</v>
      </c>
      <c r="ES51" s="1" t="n">
        <f aca="false">BZ51</f>
        <v>0</v>
      </c>
      <c r="ET51" s="1" t="n">
        <f aca="false">ET$7*EXP(-ER51/ET$8)</f>
        <v>3.81734555688525E-019</v>
      </c>
      <c r="EU51" s="1" t="n">
        <f aca="false">(ES51-ET51)^2</f>
        <v>1.45721271006716E-037</v>
      </c>
      <c r="EW51" s="1" t="n">
        <f aca="false">$AM51</f>
        <v>40</v>
      </c>
      <c r="EX51" s="1" t="n">
        <f aca="false">CI51</f>
        <v>0</v>
      </c>
      <c r="EY51" s="1" t="n">
        <f aca="false">EY$7*EXP(-EW51/EY$8)</f>
        <v>1.99204317953237E-017</v>
      </c>
      <c r="EZ51" s="1" t="n">
        <f aca="false">(EX51-EY51)^2</f>
        <v>3.96823602912143E-034</v>
      </c>
      <c r="FB51" s="1" t="n">
        <f aca="false">$AM51</f>
        <v>40</v>
      </c>
      <c r="FC51" s="1" t="n">
        <f aca="false">CR51</f>
        <v>0</v>
      </c>
      <c r="FD51" s="1" t="n">
        <f aca="false">FD$7*EXP(-FB51/FD$8)</f>
        <v>5.08005378922614E-015</v>
      </c>
      <c r="FE51" s="1" t="n">
        <f aca="false">(FC51-FD51)^2</f>
        <v>2.58069465014309E-029</v>
      </c>
      <c r="FG51" s="1" t="n">
        <f aca="false">$AM51</f>
        <v>40</v>
      </c>
      <c r="FH51" s="1" t="n">
        <f aca="false">DA51</f>
        <v>0</v>
      </c>
      <c r="FI51" s="1" t="n">
        <f aca="false">FI$7*EXP(-FG51/FI$8)</f>
        <v>8.17844179586664E-013</v>
      </c>
      <c r="FJ51" s="1" t="n">
        <f aca="false">(FH51-FI51)^2</f>
        <v>6.68869102083784E-025</v>
      </c>
      <c r="FL51" s="1" t="n">
        <f aca="false">EM51</f>
        <v>40</v>
      </c>
      <c r="FM51" s="1" t="n">
        <f aca="false">DJ51</f>
        <v>0</v>
      </c>
      <c r="FN51" s="1" t="n">
        <f aca="false">FN$7*EXP(-FL51/FN$8)</f>
        <v>4.4592594084378E-010</v>
      </c>
      <c r="FO51" s="1" t="n">
        <f aca="false">(FM51-FN51)^2</f>
        <v>1.9884994471741E-019</v>
      </c>
      <c r="FQ51" s="1" t="n">
        <f aca="false">AM51</f>
        <v>40</v>
      </c>
      <c r="FR51" s="1" t="n">
        <f aca="false">AN51/AN$9*100</f>
        <v>0</v>
      </c>
      <c r="FS51" s="1" t="n">
        <f aca="false">AO51/AO$9*100</f>
        <v>0</v>
      </c>
      <c r="FT51" s="1" t="n">
        <f aca="false">AQ51/AQ$9*100</f>
        <v>0</v>
      </c>
      <c r="FU51" s="1" t="n">
        <f aca="false">AR51/AR$9*100</f>
        <v>0</v>
      </c>
      <c r="FV51" s="1" t="n">
        <f aca="false">AT51/AT$9*100</f>
        <v>0</v>
      </c>
      <c r="FW51" s="1" t="n">
        <f aca="false">AU51/AU$9*100</f>
        <v>0</v>
      </c>
      <c r="FX51" s="1" t="n">
        <f aca="false">AW51/AW$9*100</f>
        <v>0</v>
      </c>
      <c r="FY51" s="1" t="n">
        <f aca="false">AX51/AX$9*100</f>
        <v>0</v>
      </c>
      <c r="FZ51" s="1" t="n">
        <f aca="false">AZ51/AZ$9*100</f>
        <v>0</v>
      </c>
      <c r="GA51" s="1" t="n">
        <f aca="false">BA51/BA$9*100</f>
        <v>0</v>
      </c>
      <c r="GB51" s="1" t="n">
        <f aca="false">BC51/BC$9*100</f>
        <v>0</v>
      </c>
      <c r="GC51" s="1" t="n">
        <f aca="false">BD51/BD$9*100</f>
        <v>0</v>
      </c>
      <c r="GD51" s="1" t="n">
        <f aca="false">BF51/BF$9*100</f>
        <v>0</v>
      </c>
      <c r="GE51" s="1" t="n">
        <f aca="false">BG51/BG$9*100</f>
        <v>0</v>
      </c>
      <c r="GF51" s="1" t="n">
        <f aca="false">BI51/BI$9*100</f>
        <v>0</v>
      </c>
      <c r="GG51" s="1" t="n">
        <f aca="false">BJ51/BJ$9*100</f>
        <v>0</v>
      </c>
      <c r="GH51" s="1" t="n">
        <f aca="false">BL51/BL$9*100</f>
        <v>0</v>
      </c>
      <c r="GI51" s="1" t="n">
        <f aca="false">BM51/BM$9*100</f>
        <v>0</v>
      </c>
      <c r="GJ51" s="1" t="n">
        <f aca="false">BO51/BO$9*100</f>
        <v>0</v>
      </c>
      <c r="GK51" s="1" t="n">
        <f aca="false">BP51/BP$9*100</f>
        <v>0</v>
      </c>
      <c r="GL51" s="1" t="n">
        <f aca="false">BR51/BR$9*100</f>
        <v>0</v>
      </c>
      <c r="GM51" s="1" t="n">
        <f aca="false">BS51/BS$9*100</f>
        <v>0.50251256281407</v>
      </c>
      <c r="GO51" s="1" t="n">
        <f aca="false">$AM51</f>
        <v>40</v>
      </c>
      <c r="GP51" s="1" t="n">
        <f aca="false">FT51</f>
        <v>0</v>
      </c>
      <c r="GQ51" s="1" t="n">
        <f aca="false">GQ$6*(1+GQ$5*(-1)^$FQ51)*EXP(-$FQ51/GQ$4)</f>
        <v>1.41816423854548E-011</v>
      </c>
      <c r="GR51" s="1" t="n">
        <f aca="false">(GP51-GQ51)^2</f>
        <v>2.01118980748928E-022</v>
      </c>
      <c r="GS51" s="1" t="n">
        <f aca="false">EXP($FQ51/$JG$4)*GP51</f>
        <v>0</v>
      </c>
      <c r="GT51" s="1" t="n">
        <f aca="false">EXP($FQ51/$JG$4)*(-1)^$FQ51*GP51</f>
        <v>0</v>
      </c>
      <c r="GU51" s="1" t="n">
        <f aca="false">(-1)^GO51*GP51</f>
        <v>0</v>
      </c>
      <c r="GW51" s="1" t="n">
        <f aca="false">$AM51</f>
        <v>40</v>
      </c>
      <c r="GX51" s="1" t="n">
        <f aca="false">FX51</f>
        <v>0</v>
      </c>
      <c r="GY51" s="1" t="n">
        <f aca="false">GY$6*(1+GY$5*(-1)^$FQ51)*EXP(-$FQ51/GY$4)</f>
        <v>1.41816423854548E-011</v>
      </c>
      <c r="GZ51" s="1" t="n">
        <f aca="false">(GX51-GY51)^2</f>
        <v>2.01118980748928E-022</v>
      </c>
      <c r="HA51" s="1" t="n">
        <f aca="false">EXP($FQ51/$JG$4)*GX51</f>
        <v>0</v>
      </c>
      <c r="HB51" s="1" t="n">
        <f aca="false">EXP($FQ51/$JG$4)*(-1)^$FQ51*GX51</f>
        <v>0</v>
      </c>
      <c r="HC51" s="1" t="n">
        <f aca="false">(-1)^GW51*GX51</f>
        <v>0</v>
      </c>
      <c r="HE51" s="1" t="n">
        <f aca="false">$AM51</f>
        <v>40</v>
      </c>
      <c r="HF51" s="1" t="n">
        <f aca="false">GB51</f>
        <v>0</v>
      </c>
      <c r="HG51" s="1" t="n">
        <f aca="false">HG$6*(1+HG$5*(-1)^$FQ51)*EXP(-$FQ51/HG$4)</f>
        <v>1.41816423854548E-011</v>
      </c>
      <c r="HH51" s="1" t="n">
        <f aca="false">(HF51-HG51)^2</f>
        <v>2.01118980748928E-022</v>
      </c>
      <c r="HI51" s="1" t="n">
        <f aca="false">EXP($FQ51/$JG$4)*HF51</f>
        <v>0</v>
      </c>
      <c r="HJ51" s="1" t="n">
        <f aca="false">EXP($FQ51/$JG$4)*(-1)^$FQ51*HF51</f>
        <v>0</v>
      </c>
      <c r="HK51" s="1" t="n">
        <f aca="false">(-1)^HE51*HF51</f>
        <v>0</v>
      </c>
      <c r="HM51" s="1" t="n">
        <f aca="false">$AM51</f>
        <v>40</v>
      </c>
      <c r="HN51" s="1" t="n">
        <f aca="false">GF51</f>
        <v>0</v>
      </c>
      <c r="HO51" s="1" t="n">
        <f aca="false">HO$6*(1+HO$5*(-1)^$FQ51)*EXP(-$FQ51/HO$4)</f>
        <v>6.54312212961351E-009</v>
      </c>
      <c r="HP51" s="1" t="n">
        <f aca="false">(HN51-HO51)^2</f>
        <v>4.2812447203038E-017</v>
      </c>
      <c r="HQ51" s="1" t="n">
        <f aca="false">EXP($FQ51/$JG$4)*HN51</f>
        <v>0</v>
      </c>
      <c r="HR51" s="1" t="n">
        <f aca="false">EXP($FQ51/$JG$4)*(-1)^$FQ51*HN51</f>
        <v>0</v>
      </c>
      <c r="HS51" s="1" t="n">
        <f aca="false">(-1)^HM51*HN51</f>
        <v>0</v>
      </c>
      <c r="HU51" s="1" t="n">
        <f aca="false">$AM51</f>
        <v>40</v>
      </c>
      <c r="HV51" s="1" t="n">
        <f aca="false">GJ51</f>
        <v>0</v>
      </c>
      <c r="HW51" s="1" t="n">
        <f aca="false">HW$6*(1+HW$5*(-1)^$FQ51)*EXP(-$FQ51/HW$4)</f>
        <v>1.92762981351004E-006</v>
      </c>
      <c r="HX51" s="1" t="n">
        <f aca="false">(HV51-HW51)^2</f>
        <v>3.71575669793275E-012</v>
      </c>
      <c r="HY51" s="1" t="n">
        <f aca="false">EXP($FQ51/$JG$4)*HV51</f>
        <v>0</v>
      </c>
      <c r="HZ51" s="1" t="n">
        <f aca="false">EXP($FQ51/$JG$4)*(-1)^$FQ51*HV51</f>
        <v>0</v>
      </c>
      <c r="IA51" s="1" t="n">
        <f aca="false">(-1)^HU51*HV51</f>
        <v>0</v>
      </c>
      <c r="IB51" s="1" t="n">
        <v>0</v>
      </c>
      <c r="ID51" s="1" t="n">
        <f aca="false">$AM51</f>
        <v>40</v>
      </c>
      <c r="IE51" s="1" t="n">
        <f aca="false">FZ51</f>
        <v>0</v>
      </c>
      <c r="IF51" s="1" t="n">
        <f aca="false">IF$6*(1+IF$5*(-1)^$FQ51)*EXP(-$FQ51/IF$4)</f>
        <v>8.92955208770187E-005</v>
      </c>
      <c r="IG51" s="1" t="n">
        <f aca="false">(IE51-IF51)^2</f>
        <v>7.97369004869808E-009</v>
      </c>
      <c r="IH51" s="1" t="n">
        <f aca="false">EXP($FQ51/$JG$4)*IE51</f>
        <v>0</v>
      </c>
      <c r="II51" s="1" t="n">
        <f aca="false">EXP($FQ51/$JG$4)*(-1)^$FQ51*IE51</f>
        <v>0</v>
      </c>
      <c r="IJ51" s="1" t="n">
        <f aca="false">(-1)^ID51*IE51</f>
        <v>0</v>
      </c>
      <c r="IK51" s="1" t="n">
        <v>0</v>
      </c>
      <c r="IM51" s="1" t="n">
        <f aca="false">$AM51</f>
        <v>40</v>
      </c>
      <c r="IN51" s="1" t="n">
        <f aca="false">GD51</f>
        <v>0</v>
      </c>
      <c r="IO51" s="1" t="n">
        <f aca="false">IO$6*(1+IO$5*(-1)^$FQ51)*EXP(-$FQ51/IO$4)</f>
        <v>0.000520266993934623</v>
      </c>
      <c r="IP51" s="1" t="n">
        <f aca="false">(IN51-IO51)^2</f>
        <v>2.70677744977769E-007</v>
      </c>
      <c r="IQ51" s="1" t="n">
        <f aca="false">EXP($FQ51/$JG$4)*IN51</f>
        <v>0</v>
      </c>
      <c r="IR51" s="1" t="n">
        <f aca="false">EXP($FQ51/$JG$4)*(-1)^$FQ51*IN51</f>
        <v>0</v>
      </c>
      <c r="IS51" s="1" t="n">
        <f aca="false">(-1)^IM51*IN51</f>
        <v>0</v>
      </c>
      <c r="IT51" s="1" t="n">
        <v>0</v>
      </c>
      <c r="IV51" s="1" t="n">
        <f aca="false">$AM51</f>
        <v>40</v>
      </c>
      <c r="IW51" s="1" t="n">
        <f aca="false">GH51</f>
        <v>0</v>
      </c>
      <c r="IX51" s="1" t="n">
        <f aca="false">IX$6*(1+IX$5*(-1)^$FQ51)*EXP(-$FQ51/IX$4)</f>
        <v>0.0163071937261218</v>
      </c>
      <c r="IY51" s="1" t="n">
        <f aca="false">(IW51-IX51)^2</f>
        <v>0.000265924567221266</v>
      </c>
      <c r="IZ51" s="1" t="n">
        <f aca="false">EXP($FQ51/$JG$4)*IW51</f>
        <v>0</v>
      </c>
      <c r="JA51" s="1" t="n">
        <f aca="false">EXP($FQ51/$JG$4)*(-1)^$FQ51*IW51</f>
        <v>0</v>
      </c>
      <c r="JB51" s="1" t="n">
        <f aca="false">(-1)^IV51*IW51</f>
        <v>0</v>
      </c>
      <c r="JE51" s="1" t="n">
        <f aca="false">$AM51</f>
        <v>40</v>
      </c>
      <c r="JF51" s="1" t="n">
        <f aca="false">GL51</f>
        <v>0</v>
      </c>
      <c r="JG51" s="1" t="n">
        <f aca="false">JG$6*(1+JG$5*(-1)^$FQ51)*EXP(-$FQ51/JG$4)</f>
        <v>0.00436070183119616</v>
      </c>
      <c r="JH51" s="1" t="n">
        <f aca="false">(JF51-JG51)^2</f>
        <v>1.90157204605975E-005</v>
      </c>
      <c r="JI51" s="1" t="n">
        <f aca="false">EXP($FQ51/$JG$4)*JF51</f>
        <v>0</v>
      </c>
      <c r="JJ51" s="1" t="n">
        <f aca="false">EXP($FQ51/$JG$4)*(-1)^$FQ51*JF51</f>
        <v>0</v>
      </c>
      <c r="JK51" s="1" t="n">
        <f aca="false">(-1)^JE51*JF51</f>
        <v>0</v>
      </c>
      <c r="JO51" s="1" t="n">
        <f aca="false">$AM51</f>
        <v>40</v>
      </c>
      <c r="JP51" s="1" t="n">
        <f aca="false">GM51</f>
        <v>0.50251256281407</v>
      </c>
      <c r="JQ51" s="1" t="n">
        <f aca="false">JQ$6*(1+JQ$5*(-1)^$FQ51)*EXP(-$FQ51/JQ$4)</f>
        <v>0.586292687530906</v>
      </c>
      <c r="JR51" s="1" t="n">
        <f aca="false">(JP51-JQ51)^2</f>
        <v>0.00701910929756855</v>
      </c>
      <c r="JS51" s="1" t="n">
        <f aca="false">EXP($FQ51/$JG$4)*JP51</f>
        <v>5754.05299271668</v>
      </c>
      <c r="JT51" s="1" t="n">
        <f aca="false">EXP($FQ51/$JG$4)*(-1)^$FQ51*JP51</f>
        <v>5754.05299271668</v>
      </c>
      <c r="JU51" s="1" t="n">
        <f aca="false">(-1)^JO51*JP51</f>
        <v>0.50251256281407</v>
      </c>
    </row>
    <row r="52" customFormat="false" ht="16" hidden="false" customHeight="false" outlineLevel="0" collapsed="false">
      <c r="A52" s="1" t="n">
        <v>2</v>
      </c>
      <c r="B52" s="1" t="n">
        <v>2</v>
      </c>
      <c r="C52" s="1" t="n">
        <f aca="false">B52-A52</f>
        <v>0</v>
      </c>
      <c r="D52" s="1" t="n">
        <v>1</v>
      </c>
      <c r="E52" s="1" t="n">
        <v>1</v>
      </c>
      <c r="F52" s="1" t="n">
        <f aca="false">E52-D52</f>
        <v>0</v>
      </c>
      <c r="G52" s="1" t="n">
        <v>2</v>
      </c>
      <c r="H52" s="1" t="n">
        <v>2</v>
      </c>
      <c r="I52" s="1" t="n">
        <f aca="false">H52-G52</f>
        <v>0</v>
      </c>
      <c r="J52" s="1" t="n">
        <v>5</v>
      </c>
      <c r="K52" s="1" t="n">
        <v>5</v>
      </c>
      <c r="L52" s="1" t="n">
        <f aca="false">K52-J52</f>
        <v>0</v>
      </c>
      <c r="M52" s="1" t="n">
        <v>4</v>
      </c>
      <c r="N52" s="1" t="n">
        <v>4</v>
      </c>
      <c r="O52" s="1" t="n">
        <f aca="false">N52-M52</f>
        <v>0</v>
      </c>
      <c r="P52" s="1" t="n">
        <v>3</v>
      </c>
      <c r="Q52" s="1" t="n">
        <v>3</v>
      </c>
      <c r="R52" s="1" t="n">
        <f aca="false">Q52-P52</f>
        <v>0</v>
      </c>
      <c r="S52" s="1" t="n">
        <v>4</v>
      </c>
      <c r="T52" s="1" t="n">
        <v>4</v>
      </c>
      <c r="U52" s="1" t="n">
        <f aca="false">T52-S52</f>
        <v>0</v>
      </c>
      <c r="V52" s="1" t="n">
        <v>2</v>
      </c>
      <c r="W52" s="1" t="n">
        <v>2</v>
      </c>
      <c r="X52" s="1" t="n">
        <f aca="false">W52-V52</f>
        <v>0</v>
      </c>
      <c r="Y52" s="1" t="n">
        <v>4</v>
      </c>
      <c r="Z52" s="1" t="n">
        <v>8</v>
      </c>
      <c r="AA52" s="1" t="n">
        <f aca="false">Z52-Y52</f>
        <v>4</v>
      </c>
      <c r="AB52" s="1" t="n">
        <v>1</v>
      </c>
      <c r="AC52" s="1" t="n">
        <v>3</v>
      </c>
      <c r="AD52" s="1" t="n">
        <f aca="false">AC52-AB52</f>
        <v>2</v>
      </c>
      <c r="AE52" s="1" t="n">
        <v>9</v>
      </c>
      <c r="AF52" s="1" t="n">
        <v>18</v>
      </c>
      <c r="AG52" s="1" t="n">
        <f aca="false">AF52-AE52</f>
        <v>9</v>
      </c>
      <c r="AI52" s="1" t="s">
        <v>41</v>
      </c>
      <c r="AJ52" s="1" t="n">
        <f aca="false">COUNTIFS(AF$2:AF$1000,2,AE$2:AE$1000,2)</f>
        <v>17</v>
      </c>
      <c r="AM52" s="1" t="n">
        <v>41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W52" s="1" t="n">
        <f aca="false">$AM52</f>
        <v>41</v>
      </c>
      <c r="BX52" s="1" t="n">
        <f aca="false">MAX(BX51-AN52/AN$9*100,0)</f>
        <v>0</v>
      </c>
      <c r="BY52" s="1" t="n">
        <f aca="false">MAX(BY51-AO52/AO$9*100,0)</f>
        <v>0</v>
      </c>
      <c r="BZ52" s="1" t="n">
        <f aca="false">MAX(BZ51-AQ52/AQ$9*100,0)</f>
        <v>0</v>
      </c>
      <c r="CA52" s="1" t="n">
        <f aca="false">MAX(CA51-AR52/AR$9*100,0)</f>
        <v>0</v>
      </c>
      <c r="CB52" s="1" t="n">
        <f aca="false">CB$7*EXP(-$AM52/CB$8)</f>
        <v>1.56810511621949E-021</v>
      </c>
      <c r="CC52" s="1" t="n">
        <f aca="false">(BZ52-CB52)^2</f>
        <v>2.45895365551374E-042</v>
      </c>
      <c r="CD52" s="1" t="n">
        <f aca="false">MAX(CD51-AT52/AT$9*100,0)</f>
        <v>0</v>
      </c>
      <c r="CE52" s="1" t="n">
        <f aca="false">MAX(CE51-AU52/AU$9*100,0)</f>
        <v>5.32907051820075E-015</v>
      </c>
      <c r="CF52" s="1" t="n">
        <f aca="false">CF$7*EXP(-$AM52/CF$8)</f>
        <v>6.036878221719E-021</v>
      </c>
      <c r="CG52" s="1" t="n">
        <f aca="false">(CD52-CF52)^2</f>
        <v>3.64438986638652E-041</v>
      </c>
      <c r="CH52" s="1" t="n">
        <f aca="false">$AM52</f>
        <v>41</v>
      </c>
      <c r="CI52" s="1" t="n">
        <f aca="false">MAX(CI51-AW52/AW$9*100,0)</f>
        <v>0</v>
      </c>
      <c r="CJ52" s="1" t="n">
        <f aca="false">MAX(CJ51-AX52/AX$9*100,0)</f>
        <v>0</v>
      </c>
      <c r="CK52" s="1" t="n">
        <f aca="false">CK$7*EXP(-$AM52/CK$8)</f>
        <v>1.07535916900525E-013</v>
      </c>
      <c r="CL52" s="1" t="n">
        <f aca="false">(CI52-CK52)^2</f>
        <v>1.15639734236366E-026</v>
      </c>
      <c r="CM52" s="1" t="n">
        <f aca="false">MAX(CM51-AZ52/AZ$9*100,0)</f>
        <v>0</v>
      </c>
      <c r="CN52" s="1" t="n">
        <f aca="false">MAX(CN51-BA52/BA$9*100,0)</f>
        <v>5.32907051820075E-015</v>
      </c>
      <c r="CO52" s="1" t="n">
        <f aca="false">CO$7*EXP(-$AM52/CO$8)</f>
        <v>3.65796257033911E-007</v>
      </c>
      <c r="CP52" s="1" t="n">
        <f aca="false">(CM52-CO52)^2</f>
        <v>1.33806901660019E-013</v>
      </c>
      <c r="CQ52" s="1" t="n">
        <f aca="false">$AM52</f>
        <v>41</v>
      </c>
      <c r="CR52" s="1" t="n">
        <f aca="false">MAX(CR51-BC52/BC$9*100,0)</f>
        <v>0</v>
      </c>
      <c r="CS52" s="1" t="n">
        <f aca="false">MAX(CS51-BD52/BD$9*100,0)</f>
        <v>0</v>
      </c>
      <c r="CT52" s="1" t="n">
        <f aca="false">CT$7*EXP(-$AM52/CT$8)</f>
        <v>1.40212527032258E-012</v>
      </c>
      <c r="CU52" s="1" t="n">
        <f aca="false">(CR52-CT52)^2</f>
        <v>1.96595527367717E-024</v>
      </c>
      <c r="CV52" s="1" t="n">
        <f aca="false">MAX(CV51-BF52/BF$9*100,0)</f>
        <v>8.88178419700125E-015</v>
      </c>
      <c r="CW52" s="1" t="n">
        <f aca="false">MAX(CW51-BG52/BG$9*100,0)</f>
        <v>5.32907051820075E-015</v>
      </c>
      <c r="CX52" s="1" t="n">
        <f aca="false">CX$7*EXP(-$AM52/CX$8)</f>
        <v>5.91300401654385E-006</v>
      </c>
      <c r="CY52" s="1" t="n">
        <f aca="false">(CV52-CX52)^2</f>
        <v>3.49636163946277E-011</v>
      </c>
      <c r="CZ52" s="1" t="n">
        <f aca="false">$AM52</f>
        <v>41</v>
      </c>
      <c r="DA52" s="1" t="n">
        <f aca="false">MAX(DA51-BI52/BI$9*100,0)</f>
        <v>0</v>
      </c>
      <c r="DB52" s="1" t="n">
        <f aca="false">MAX(DB51-BJ52/BJ$9*100,0)</f>
        <v>9.88098491916389E-015</v>
      </c>
      <c r="DC52" s="1" t="n">
        <f aca="false">DC$7*EXP(-$AM52/DC$8)</f>
        <v>1.61059316868511E-011</v>
      </c>
      <c r="DD52" s="1" t="n">
        <f aca="false">(DA52-DC52)^2</f>
        <v>2.59401035501514E-022</v>
      </c>
      <c r="DE52" s="1" t="n">
        <f aca="false">MAX(DE51-BL52/BL$9*100,0)</f>
        <v>0</v>
      </c>
      <c r="DF52" s="1" t="n">
        <f aca="false">MAX(DF51-BM52/BM$9*100,0)</f>
        <v>0.636942675159225</v>
      </c>
      <c r="DG52" s="1" t="n">
        <f aca="false">DG$7*EXP(-$AM52/DG$8)</f>
        <v>0.0042605788524744</v>
      </c>
      <c r="DH52" s="1" t="n">
        <f aca="false">(DE52-DG52)^2</f>
        <v>1.81525321581521E-005</v>
      </c>
      <c r="DI52" s="1" t="n">
        <f aca="false">$AM52</f>
        <v>41</v>
      </c>
      <c r="DJ52" s="1" t="n">
        <f aca="false">MAX(DJ51-BO52/BO$9*100,0)</f>
        <v>0</v>
      </c>
      <c r="DK52" s="1" t="n">
        <f aca="false">MAX(DK51-BP52/BP$9*100,0)</f>
        <v>9.99200722162641E-015</v>
      </c>
      <c r="DL52" s="1" t="n">
        <f aca="false">DL$7*EXP(-$AM52/DL$8)</f>
        <v>1.78697973863806E-009</v>
      </c>
      <c r="DM52" s="1" t="n">
        <f aca="false">(DJ52-DL52)^2</f>
        <v>3.19329658630295E-018</v>
      </c>
      <c r="DN52" s="1" t="n">
        <f aca="false">MAX(DN51-BR52/BR$9*100,0)</f>
        <v>0.502512562814072</v>
      </c>
      <c r="DO52" s="1" t="n">
        <f aca="false">MAX(DO51-BS52/BS$9*100,0)</f>
        <v>1.00502512562814</v>
      </c>
      <c r="DP52" s="1" t="n">
        <f aca="false">DP$7*EXP(-$AM52/DP$8)</f>
        <v>0.00110191044938579</v>
      </c>
      <c r="DQ52" s="1" t="n">
        <f aca="false">(DN52-DP52)^2</f>
        <v>0.25141264230478</v>
      </c>
      <c r="DS52" s="1" t="n">
        <f aca="false">$AM52</f>
        <v>41</v>
      </c>
      <c r="DT52" s="1" t="n">
        <f aca="false">CA52</f>
        <v>0</v>
      </c>
      <c r="DU52" s="1" t="n">
        <f aca="false">DU$7*EXP(-DS52/DU$8)</f>
        <v>7.16820693540202E-017</v>
      </c>
      <c r="DV52" s="1" t="n">
        <f aca="false">(DT52-DU52)^2</f>
        <v>5.13831906687456E-033</v>
      </c>
      <c r="DX52" s="1" t="n">
        <f aca="false">$AM52</f>
        <v>41</v>
      </c>
      <c r="DY52" s="1" t="n">
        <f aca="false">CM52</f>
        <v>0</v>
      </c>
      <c r="DZ52" s="1" t="n">
        <f aca="false">DZ$7*EXP(-DX52/DZ$8)</f>
        <v>1.56763468269885E-008</v>
      </c>
      <c r="EA52" s="1" t="n">
        <f aca="false">(DY52-DZ52)^2</f>
        <v>2.45747849840032E-016</v>
      </c>
      <c r="EC52" s="1" t="n">
        <f aca="false">$AM52</f>
        <v>41</v>
      </c>
      <c r="ED52" s="1" t="n">
        <f aca="false">CV52</f>
        <v>8.88178419700125E-015</v>
      </c>
      <c r="EE52" s="1" t="n">
        <f aca="false">EE$7*EXP(-EC52/EE$8)</f>
        <v>2.38073076473464E-006</v>
      </c>
      <c r="EF52" s="1" t="n">
        <f aca="false">(ED52-EE52)^2</f>
        <v>5.66787893186371E-012</v>
      </c>
      <c r="EH52" s="1" t="n">
        <f aca="false">$AM52</f>
        <v>41</v>
      </c>
      <c r="EI52" s="1" t="n">
        <f aca="false">DE52</f>
        <v>0</v>
      </c>
      <c r="EJ52" s="1" t="n">
        <f aca="false">EJ$7*EXP(-EH52/EJ$8)</f>
        <v>0.0042429001020492</v>
      </c>
      <c r="EK52" s="1" t="n">
        <f aca="false">(EI52-EJ52)^2</f>
        <v>1.80022012759691E-005</v>
      </c>
      <c r="EM52" s="1" t="n">
        <f aca="false">AM52</f>
        <v>41</v>
      </c>
      <c r="EN52" s="1" t="n">
        <f aca="false">DN52</f>
        <v>0.502512562814072</v>
      </c>
      <c r="EO52" s="1" t="n">
        <f aca="false">EO$7*EXP(-EM52/EO$8)</f>
        <v>0.00158783318397988</v>
      </c>
      <c r="EP52" s="1" t="n">
        <f aca="false">(EN52-EO52)^2</f>
        <v>0.250925584754981</v>
      </c>
      <c r="ER52" s="1" t="n">
        <f aca="false">$AM52</f>
        <v>41</v>
      </c>
      <c r="ES52" s="1" t="n">
        <f aca="false">BZ52</f>
        <v>0</v>
      </c>
      <c r="ET52" s="1" t="n">
        <f aca="false">ET$7*EXP(-ER52/ET$8)</f>
        <v>1.16076481391868E-019</v>
      </c>
      <c r="EU52" s="1" t="n">
        <f aca="false">(ES52-ET52)^2</f>
        <v>1.34737495323167E-038</v>
      </c>
      <c r="EW52" s="1" t="n">
        <f aca="false">$AM52</f>
        <v>41</v>
      </c>
      <c r="EX52" s="1" t="n">
        <f aca="false">CI52</f>
        <v>0</v>
      </c>
      <c r="EY52" s="1" t="n">
        <f aca="false">EY$7*EXP(-EW52/EY$8)</f>
        <v>6.6382264671636E-018</v>
      </c>
      <c r="EZ52" s="1" t="n">
        <f aca="false">(EX52-EY52)^2</f>
        <v>4.40660506293513E-035</v>
      </c>
      <c r="FB52" s="1" t="n">
        <f aca="false">$AM52</f>
        <v>41</v>
      </c>
      <c r="FC52" s="1" t="n">
        <f aca="false">CR52</f>
        <v>0</v>
      </c>
      <c r="FD52" s="1" t="n">
        <f aca="false">FD$7*EXP(-FB52/FD$8)</f>
        <v>1.95999299172148E-015</v>
      </c>
      <c r="FE52" s="1" t="n">
        <f aca="false">(FC52-FD52)^2</f>
        <v>3.84157252759732E-030</v>
      </c>
      <c r="FG52" s="1" t="n">
        <f aca="false">$AM52</f>
        <v>41</v>
      </c>
      <c r="FH52" s="1" t="n">
        <f aca="false">DA52</f>
        <v>0</v>
      </c>
      <c r="FI52" s="1" t="n">
        <f aca="false">FI$7*EXP(-FG52/FI$8)</f>
        <v>3.57889953956265E-013</v>
      </c>
      <c r="FJ52" s="1" t="n">
        <f aca="false">(FH52-FI52)^2</f>
        <v>1.28085219142817E-025</v>
      </c>
      <c r="FL52" s="1" t="n">
        <f aca="false">EM52</f>
        <v>41</v>
      </c>
      <c r="FM52" s="1" t="n">
        <f aca="false">DJ52</f>
        <v>0</v>
      </c>
      <c r="FN52" s="1" t="n">
        <f aca="false">FN$7*EXP(-FL52/FN$8)</f>
        <v>2.28946011849912E-010</v>
      </c>
      <c r="FO52" s="1" t="n">
        <f aca="false">(FM52-FN52)^2</f>
        <v>5.24162763419801E-020</v>
      </c>
      <c r="FQ52" s="1" t="n">
        <f aca="false">AM52</f>
        <v>41</v>
      </c>
      <c r="FR52" s="1" t="n">
        <f aca="false">AN52/AN$9*100</f>
        <v>0</v>
      </c>
      <c r="FS52" s="1" t="n">
        <f aca="false">AO52/AO$9*100</f>
        <v>0</v>
      </c>
      <c r="FT52" s="1" t="n">
        <f aca="false">AQ52/AQ$9*100</f>
        <v>0</v>
      </c>
      <c r="FU52" s="1" t="n">
        <f aca="false">AR52/AR$9*100</f>
        <v>0</v>
      </c>
      <c r="FV52" s="1" t="n">
        <f aca="false">AT52/AT$9*100</f>
        <v>0</v>
      </c>
      <c r="FW52" s="1" t="n">
        <f aca="false">AU52/AU$9*100</f>
        <v>0</v>
      </c>
      <c r="FX52" s="1" t="n">
        <f aca="false">AW52/AW$9*100</f>
        <v>0</v>
      </c>
      <c r="FY52" s="1" t="n">
        <f aca="false">AX52/AX$9*100</f>
        <v>0</v>
      </c>
      <c r="FZ52" s="1" t="n">
        <f aca="false">AZ52/AZ$9*100</f>
        <v>0</v>
      </c>
      <c r="GA52" s="1" t="n">
        <f aca="false">BA52/BA$9*100</f>
        <v>0</v>
      </c>
      <c r="GB52" s="1" t="n">
        <f aca="false">BC52/BC$9*100</f>
        <v>0</v>
      </c>
      <c r="GC52" s="1" t="n">
        <f aca="false">BD52/BD$9*100</f>
        <v>0</v>
      </c>
      <c r="GD52" s="1" t="n">
        <f aca="false">BF52/BF$9*100</f>
        <v>0</v>
      </c>
      <c r="GE52" s="1" t="n">
        <f aca="false">BG52/BG$9*100</f>
        <v>0</v>
      </c>
      <c r="GF52" s="1" t="n">
        <f aca="false">BI52/BI$9*100</f>
        <v>0</v>
      </c>
      <c r="GG52" s="1" t="n">
        <f aca="false">BJ52/BJ$9*100</f>
        <v>0</v>
      </c>
      <c r="GH52" s="1" t="n">
        <f aca="false">BL52/BL$9*100</f>
        <v>0</v>
      </c>
      <c r="GI52" s="1" t="n">
        <f aca="false">BM52/BM$9*100</f>
        <v>0</v>
      </c>
      <c r="GJ52" s="1" t="n">
        <f aca="false">BO52/BO$9*100</f>
        <v>0</v>
      </c>
      <c r="GK52" s="1" t="n">
        <f aca="false">BP52/BP$9*100</f>
        <v>0</v>
      </c>
      <c r="GL52" s="1" t="n">
        <f aca="false">BR52/BR$9*100</f>
        <v>0</v>
      </c>
      <c r="GM52" s="1" t="n">
        <f aca="false">BS52/BS$9*100</f>
        <v>0</v>
      </c>
      <c r="GO52" s="1" t="n">
        <f aca="false">$AM52</f>
        <v>41</v>
      </c>
      <c r="GP52" s="1" t="n">
        <f aca="false">FT52</f>
        <v>0</v>
      </c>
      <c r="GQ52" s="1" t="n">
        <f aca="false">GQ$6*(1+GQ$5*(-1)^$FQ52)*EXP(-$FQ52/GQ$4)</f>
        <v>2.27561855483032E-012</v>
      </c>
      <c r="GR52" s="1" t="n">
        <f aca="false">(GP52-GQ52)^2</f>
        <v>5.17843980708803E-024</v>
      </c>
      <c r="GS52" s="1" t="n">
        <f aca="false">EXP($FQ52/$JG$4)*GP52</f>
        <v>0</v>
      </c>
      <c r="GT52" s="1" t="n">
        <f aca="false">EXP($FQ52/$JG$4)*(-1)^$FQ52*GP52</f>
        <v>-0</v>
      </c>
      <c r="GU52" s="1" t="n">
        <f aca="false">(-1)^GO52*GP52</f>
        <v>-0</v>
      </c>
      <c r="GW52" s="1" t="n">
        <f aca="false">$AM52</f>
        <v>41</v>
      </c>
      <c r="GX52" s="1" t="n">
        <f aca="false">FX52</f>
        <v>0</v>
      </c>
      <c r="GY52" s="1" t="n">
        <f aca="false">GY$6*(1+GY$5*(-1)^$FQ52)*EXP(-$FQ52/GY$4)</f>
        <v>2.27561855483032E-012</v>
      </c>
      <c r="GZ52" s="1" t="n">
        <f aca="false">(GX52-GY52)^2</f>
        <v>5.17843980708803E-024</v>
      </c>
      <c r="HA52" s="1" t="n">
        <f aca="false">EXP($FQ52/$JG$4)*GX52</f>
        <v>0</v>
      </c>
      <c r="HB52" s="1" t="n">
        <f aca="false">EXP($FQ52/$JG$4)*(-1)^$FQ52*GX52</f>
        <v>-0</v>
      </c>
      <c r="HC52" s="1" t="n">
        <f aca="false">(-1)^GW52*GX52</f>
        <v>-0</v>
      </c>
      <c r="HE52" s="1" t="n">
        <f aca="false">$AM52</f>
        <v>41</v>
      </c>
      <c r="HF52" s="1" t="n">
        <f aca="false">GB52</f>
        <v>0</v>
      </c>
      <c r="HG52" s="1" t="n">
        <f aca="false">HG$6*(1+HG$5*(-1)^$FQ52)*EXP(-$FQ52/HG$4)</f>
        <v>2.27561855483032E-012</v>
      </c>
      <c r="HH52" s="1" t="n">
        <f aca="false">(HF52-HG52)^2</f>
        <v>5.17843980708803E-024</v>
      </c>
      <c r="HI52" s="1" t="n">
        <f aca="false">EXP($FQ52/$JG$4)*HF52</f>
        <v>0</v>
      </c>
      <c r="HJ52" s="1" t="n">
        <f aca="false">EXP($FQ52/$JG$4)*(-1)^$FQ52*HF52</f>
        <v>-0</v>
      </c>
      <c r="HK52" s="1" t="n">
        <f aca="false">(-1)^HE52*HF52</f>
        <v>-0</v>
      </c>
      <c r="HM52" s="1" t="n">
        <f aca="false">$AM52</f>
        <v>41</v>
      </c>
      <c r="HN52" s="1" t="n">
        <f aca="false">GF52</f>
        <v>0</v>
      </c>
      <c r="HO52" s="1" t="n">
        <f aca="false">HO$6*(1+HO$5*(-1)^$FQ52)*EXP(-$FQ52/HO$4)</f>
        <v>7.89200048662068E-010</v>
      </c>
      <c r="HP52" s="1" t="n">
        <f aca="false">(HN52-HO52)^2</f>
        <v>6.2283671680821E-019</v>
      </c>
      <c r="HQ52" s="1" t="n">
        <f aca="false">EXP($FQ52/$JG$4)*HN52</f>
        <v>0</v>
      </c>
      <c r="HR52" s="1" t="n">
        <f aca="false">EXP($FQ52/$JG$4)*(-1)^$FQ52*HN52</f>
        <v>-0</v>
      </c>
      <c r="HS52" s="1" t="n">
        <f aca="false">(-1)^HM52*HN52</f>
        <v>-0</v>
      </c>
      <c r="HU52" s="1" t="n">
        <f aca="false">$AM52</f>
        <v>41</v>
      </c>
      <c r="HV52" s="1" t="n">
        <f aca="false">GJ52</f>
        <v>0</v>
      </c>
      <c r="HW52" s="1" t="n">
        <f aca="false">HW$6*(1+HW$5*(-1)^$FQ52)*EXP(-$FQ52/HW$4)</f>
        <v>4.12797140277051E-007</v>
      </c>
      <c r="HX52" s="1" t="n">
        <f aca="false">(HV52-HW52)^2</f>
        <v>1.70401479020911E-013</v>
      </c>
      <c r="HY52" s="1" t="n">
        <f aca="false">EXP($FQ52/$JG$4)*HV52</f>
        <v>0</v>
      </c>
      <c r="HZ52" s="1" t="n">
        <f aca="false">EXP($FQ52/$JG$4)*(-1)^$FQ52*HV52</f>
        <v>-0</v>
      </c>
      <c r="IA52" s="1" t="n">
        <f aca="false">(-1)^HU52*HV52</f>
        <v>-0</v>
      </c>
      <c r="IB52" s="1" t="n">
        <v>0</v>
      </c>
      <c r="ID52" s="1" t="n">
        <f aca="false">$AM52</f>
        <v>41</v>
      </c>
      <c r="IE52" s="1" t="n">
        <f aca="false">FZ52</f>
        <v>0</v>
      </c>
      <c r="IF52" s="1" t="n">
        <f aca="false">IF$6*(1+IF$5*(-1)^$FQ52)*EXP(-$FQ52/IF$4)</f>
        <v>3.29609582497106E-005</v>
      </c>
      <c r="IG52" s="1" t="n">
        <f aca="false">(IE52-IF52)^2</f>
        <v>1.08642476873917E-009</v>
      </c>
      <c r="IH52" s="1" t="n">
        <f aca="false">EXP($FQ52/$JG$4)*IE52</f>
        <v>0</v>
      </c>
      <c r="II52" s="1" t="n">
        <f aca="false">EXP($FQ52/$JG$4)*(-1)^$FQ52*IE52</f>
        <v>-0</v>
      </c>
      <c r="IJ52" s="1" t="n">
        <f aca="false">(-1)^ID52*IE52</f>
        <v>-0</v>
      </c>
      <c r="IK52" s="1" t="n">
        <v>0</v>
      </c>
      <c r="IM52" s="1" t="n">
        <f aca="false">$AM52</f>
        <v>41</v>
      </c>
      <c r="IN52" s="1" t="n">
        <f aca="false">GD52</f>
        <v>0</v>
      </c>
      <c r="IO52" s="1" t="n">
        <f aca="false">IO$6*(1+IO$5*(-1)^$FQ52)*EXP(-$FQ52/IO$4)</f>
        <v>0.000179788587106129</v>
      </c>
      <c r="IP52" s="1" t="n">
        <f aca="false">(IN52-IO52)^2</f>
        <v>3.23239360536181E-008</v>
      </c>
      <c r="IQ52" s="1" t="n">
        <f aca="false">EXP($FQ52/$JG$4)*IN52</f>
        <v>0</v>
      </c>
      <c r="IR52" s="1" t="n">
        <f aca="false">EXP($FQ52/$JG$4)*(-1)^$FQ52*IN52</f>
        <v>-0</v>
      </c>
      <c r="IS52" s="1" t="n">
        <f aca="false">(-1)^IM52*IN52</f>
        <v>-0</v>
      </c>
      <c r="IT52" s="1" t="n">
        <v>0</v>
      </c>
      <c r="IV52" s="1" t="n">
        <f aca="false">$AM52</f>
        <v>41</v>
      </c>
      <c r="IW52" s="1" t="n">
        <f aca="false">GH52</f>
        <v>0</v>
      </c>
      <c r="IX52" s="1" t="n">
        <f aca="false">IX$6*(1+IX$5*(-1)^$FQ52)*EXP(-$FQ52/IX$4)</f>
        <v>0.00346934742919113</v>
      </c>
      <c r="IY52" s="1" t="n">
        <f aca="false">(IW52-IX52)^2</f>
        <v>1.20363715844351E-005</v>
      </c>
      <c r="IZ52" s="1" t="n">
        <f aca="false">EXP($FQ52/$JG$4)*IW52</f>
        <v>0</v>
      </c>
      <c r="JA52" s="1" t="n">
        <f aca="false">EXP($FQ52/$JG$4)*(-1)^$FQ52*IW52</f>
        <v>-0</v>
      </c>
      <c r="JB52" s="1" t="n">
        <f aca="false">(-1)^IV52*IW52</f>
        <v>-0</v>
      </c>
      <c r="JE52" s="1" t="n">
        <f aca="false">$AM52</f>
        <v>41</v>
      </c>
      <c r="JF52" s="1" t="n">
        <f aca="false">GL52</f>
        <v>0</v>
      </c>
      <c r="JG52" s="1" t="n">
        <f aca="false">JG$6*(1+JG$5*(-1)^$FQ52)*EXP(-$FQ52/JG$4)</f>
        <v>0.000527268848617455</v>
      </c>
      <c r="JH52" s="1" t="n">
        <f aca="false">(JF52-JG52)^2</f>
        <v>2.78012438722377E-007</v>
      </c>
      <c r="JI52" s="1" t="n">
        <f aca="false">EXP($FQ52/$JG$4)*JF52</f>
        <v>0</v>
      </c>
      <c r="JJ52" s="1" t="n">
        <f aca="false">EXP($FQ52/$JG$4)*(-1)^$FQ52*JF52</f>
        <v>-0</v>
      </c>
      <c r="JK52" s="1" t="n">
        <f aca="false">(-1)^JE52*JF52</f>
        <v>-0</v>
      </c>
      <c r="JO52" s="1" t="n">
        <f aca="false">$AM52</f>
        <v>41</v>
      </c>
      <c r="JP52" s="1" t="n">
        <f aca="false">GM52</f>
        <v>0</v>
      </c>
      <c r="JQ52" s="1" t="n">
        <f aca="false">JQ$6*(1+JQ$5*(-1)^$FQ52)*EXP(-$FQ52/JQ$4)</f>
        <v>0.103088831166996</v>
      </c>
      <c r="JR52" s="1" t="n">
        <f aca="false">(JP52-JQ52)^2</f>
        <v>0.0106273071113774</v>
      </c>
      <c r="JS52" s="1" t="n">
        <f aca="false">EXP($FQ52/$JG$4)*JP52</f>
        <v>0</v>
      </c>
      <c r="JT52" s="1" t="n">
        <f aca="false">EXP($FQ52/$JG$4)*(-1)^$FQ52*JP52</f>
        <v>-0</v>
      </c>
      <c r="JU52" s="1" t="n">
        <f aca="false">(-1)^JO52*JP52</f>
        <v>-0</v>
      </c>
    </row>
    <row r="53" customFormat="false" ht="16" hidden="false" customHeight="false" outlineLevel="0" collapsed="false">
      <c r="A53" s="1" t="n">
        <v>2</v>
      </c>
      <c r="B53" s="1" t="n">
        <v>2</v>
      </c>
      <c r="C53" s="1" t="n">
        <f aca="false">B53-A53</f>
        <v>0</v>
      </c>
      <c r="D53" s="1" t="n">
        <v>2</v>
      </c>
      <c r="E53" s="1" t="n">
        <v>2</v>
      </c>
      <c r="F53" s="1" t="n">
        <f aca="false">E53-D53</f>
        <v>0</v>
      </c>
      <c r="G53" s="1" t="n">
        <v>2</v>
      </c>
      <c r="H53" s="1" t="n">
        <v>2</v>
      </c>
      <c r="I53" s="1" t="n">
        <f aca="false">H53-G53</f>
        <v>0</v>
      </c>
      <c r="J53" s="1" t="n">
        <v>1</v>
      </c>
      <c r="K53" s="1" t="n">
        <v>1</v>
      </c>
      <c r="L53" s="1" t="n">
        <f aca="false">K53-J53</f>
        <v>0</v>
      </c>
      <c r="M53" s="1" t="n">
        <v>2</v>
      </c>
      <c r="N53" s="1" t="n">
        <v>2</v>
      </c>
      <c r="O53" s="1" t="n">
        <f aca="false">N53-M53</f>
        <v>0</v>
      </c>
      <c r="P53" s="1" t="n">
        <v>3</v>
      </c>
      <c r="Q53" s="1" t="n">
        <v>3</v>
      </c>
      <c r="R53" s="1" t="n">
        <f aca="false">Q53-P53</f>
        <v>0</v>
      </c>
      <c r="S53" s="1" t="n">
        <v>3</v>
      </c>
      <c r="T53" s="1" t="n">
        <v>3</v>
      </c>
      <c r="U53" s="1" t="n">
        <f aca="false">T53-S53</f>
        <v>0</v>
      </c>
      <c r="V53" s="1" t="n">
        <v>1</v>
      </c>
      <c r="W53" s="1" t="n">
        <v>1</v>
      </c>
      <c r="X53" s="1" t="n">
        <f aca="false">W53-V53</f>
        <v>0</v>
      </c>
      <c r="Y53" s="1" t="n">
        <v>6</v>
      </c>
      <c r="Z53" s="1" t="n">
        <v>9</v>
      </c>
      <c r="AA53" s="1" t="n">
        <f aca="false">Z53-Y53</f>
        <v>3</v>
      </c>
      <c r="AB53" s="1" t="n">
        <v>2</v>
      </c>
      <c r="AC53" s="1" t="n">
        <v>5</v>
      </c>
      <c r="AD53" s="1" t="n">
        <f aca="false">AC53-AB53</f>
        <v>3</v>
      </c>
      <c r="AE53" s="1" t="n">
        <v>2</v>
      </c>
      <c r="AF53" s="1" t="n">
        <v>7</v>
      </c>
      <c r="AG53" s="1" t="n">
        <f aca="false">AF53-AE53</f>
        <v>5</v>
      </c>
      <c r="AI53" s="1" t="s">
        <v>48</v>
      </c>
      <c r="AJ53" s="1" t="n">
        <f aca="false">COUNTIFS(AF$2:AF$1000,2,AE$2:AE$1000,1)</f>
        <v>0</v>
      </c>
      <c r="AM53" s="1" t="n">
        <v>42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1</v>
      </c>
      <c r="BT53" s="1" t="n">
        <v>0</v>
      </c>
      <c r="BW53" s="1" t="n">
        <f aca="false">$AM53</f>
        <v>42</v>
      </c>
      <c r="BX53" s="1" t="n">
        <f aca="false">MAX(BX52-AN53/AN$9*100,0)</f>
        <v>0</v>
      </c>
      <c r="BY53" s="1" t="n">
        <f aca="false">MAX(BY52-AO53/AO$9*100,0)</f>
        <v>0</v>
      </c>
      <c r="BZ53" s="1" t="n">
        <f aca="false">MAX(BZ52-AQ53/AQ$9*100,0)</f>
        <v>0</v>
      </c>
      <c r="CA53" s="1" t="n">
        <f aca="false">MAX(CA52-AR53/AR$9*100,0)</f>
        <v>0</v>
      </c>
      <c r="CB53" s="1" t="n">
        <f aca="false">CB$7*EXP(-$AM53/CB$8)</f>
        <v>4.27913870579596E-022</v>
      </c>
      <c r="CC53" s="1" t="n">
        <f aca="false">(BZ53-CB53)^2</f>
        <v>1.83110280634411E-043</v>
      </c>
      <c r="CD53" s="1" t="n">
        <f aca="false">MAX(CD52-AT53/AT$9*100,0)</f>
        <v>0</v>
      </c>
      <c r="CE53" s="1" t="n">
        <f aca="false">MAX(CE52-AU53/AU$9*100,0)</f>
        <v>5.32907051820075E-015</v>
      </c>
      <c r="CF53" s="1" t="n">
        <f aca="false">CF$7*EXP(-$AM53/CF$8)</f>
        <v>1.70244293957963E-021</v>
      </c>
      <c r="CG53" s="1" t="n">
        <f aca="false">(CD53-CF53)^2</f>
        <v>2.89831196252453E-042</v>
      </c>
      <c r="CH53" s="1" t="n">
        <f aca="false">$AM53</f>
        <v>42</v>
      </c>
      <c r="CI53" s="1" t="n">
        <f aca="false">MAX(CI52-AW53/AW$9*100,0)</f>
        <v>0</v>
      </c>
      <c r="CJ53" s="1" t="n">
        <f aca="false">MAX(CJ52-AX53/AX$9*100,0)</f>
        <v>0</v>
      </c>
      <c r="CK53" s="1" t="n">
        <f aca="false">CK$7*EXP(-$AM53/CK$8)</f>
        <v>4.5746900819051E-014</v>
      </c>
      <c r="CL53" s="1" t="n">
        <f aca="false">(CI53-CK53)^2</f>
        <v>2.09277893454809E-027</v>
      </c>
      <c r="CM53" s="1" t="n">
        <f aca="false">MAX(CM52-AZ53/AZ$9*100,0)</f>
        <v>0</v>
      </c>
      <c r="CN53" s="1" t="n">
        <f aca="false">MAX(CN52-BA53/BA$9*100,0)</f>
        <v>5.32907051820075E-015</v>
      </c>
      <c r="CO53" s="1" t="n">
        <f aca="false">CO$7*EXP(-$AM53/CO$8)</f>
        <v>2.26174601242217E-007</v>
      </c>
      <c r="CP53" s="1" t="n">
        <f aca="false">(CM53-CO53)^2</f>
        <v>5.11549502470759E-014</v>
      </c>
      <c r="CQ53" s="1" t="n">
        <f aca="false">$AM53</f>
        <v>42</v>
      </c>
      <c r="CR53" s="1" t="n">
        <f aca="false">MAX(CR52-BC53/BC$9*100,0)</f>
        <v>0</v>
      </c>
      <c r="CS53" s="1" t="n">
        <f aca="false">MAX(CS52-BD53/BD$9*100,0)</f>
        <v>0</v>
      </c>
      <c r="CT53" s="1" t="n">
        <f aca="false">CT$7*EXP(-$AM53/CT$8)</f>
        <v>6.38002907125303E-013</v>
      </c>
      <c r="CU53" s="1" t="n">
        <f aca="false">(CR53-CT53)^2</f>
        <v>4.07047709500338E-025</v>
      </c>
      <c r="CV53" s="1" t="n">
        <f aca="false">MAX(CV52-BF53/BF$9*100,0)</f>
        <v>8.88178419700125E-015</v>
      </c>
      <c r="CW53" s="1" t="n">
        <f aca="false">MAX(CW52-BG53/BG$9*100,0)</f>
        <v>5.32907051820075E-015</v>
      </c>
      <c r="CX53" s="1" t="n">
        <f aca="false">CX$7*EXP(-$AM53/CX$8)</f>
        <v>3.91153881585737E-006</v>
      </c>
      <c r="CY53" s="1" t="n">
        <f aca="false">(CV53-CX53)^2</f>
        <v>1.5300135838476E-011</v>
      </c>
      <c r="CZ53" s="1" t="n">
        <f aca="false">$AM53</f>
        <v>42</v>
      </c>
      <c r="DA53" s="1" t="n">
        <f aca="false">MAX(DA52-BI53/BI$9*100,0)</f>
        <v>0</v>
      </c>
      <c r="DB53" s="1" t="n">
        <f aca="false">MAX(DB52-BJ53/BJ$9*100,0)</f>
        <v>9.88098491916389E-015</v>
      </c>
      <c r="DC53" s="1" t="n">
        <f aca="false">DC$7*EXP(-$AM53/DC$8)</f>
        <v>7.76215983400436E-012</v>
      </c>
      <c r="DD53" s="1" t="n">
        <f aca="false">(DA53-DC53)^2</f>
        <v>6.02511252886306E-023</v>
      </c>
      <c r="DE53" s="1" t="n">
        <f aca="false">MAX(DE52-BL53/BL$9*100,0)</f>
        <v>0</v>
      </c>
      <c r="DF53" s="1" t="n">
        <f aca="false">MAX(DF52-BM53/BM$9*100,0)</f>
        <v>0.636942675159225</v>
      </c>
      <c r="DG53" s="1" t="n">
        <f aca="false">DG$7*EXP(-$AM53/DG$8)</f>
        <v>0.00331814214664453</v>
      </c>
      <c r="DH53" s="1" t="n">
        <f aca="false">(DE53-DG53)^2</f>
        <v>1.10100673053388E-005</v>
      </c>
      <c r="DI53" s="1" t="n">
        <f aca="false">$AM53</f>
        <v>42</v>
      </c>
      <c r="DJ53" s="1" t="n">
        <f aca="false">MAX(DJ52-BO53/BO$9*100,0)</f>
        <v>0</v>
      </c>
      <c r="DK53" s="1" t="n">
        <f aca="false">MAX(DK52-BP53/BP$9*100,0)</f>
        <v>9.99200722162641E-015</v>
      </c>
      <c r="DL53" s="1" t="n">
        <f aca="false">DL$7*EXP(-$AM53/DL$8)</f>
        <v>9.67567552701922E-010</v>
      </c>
      <c r="DM53" s="1" t="n">
        <f aca="false">(DJ53-DL53)^2</f>
        <v>9.36186969041587E-019</v>
      </c>
      <c r="DN53" s="1" t="n">
        <f aca="false">MAX(DN52-BR53/BR$9*100,0)</f>
        <v>0.502512562814072</v>
      </c>
      <c r="DO53" s="1" t="n">
        <f aca="false">MAX(DO52-BS53/BS$9*100,0)</f>
        <v>0.502512562814067</v>
      </c>
      <c r="DP53" s="1" t="n">
        <f aca="false">DP$7*EXP(-$AM53/DP$8)</f>
        <v>0.000830073794214271</v>
      </c>
      <c r="DQ53" s="1" t="n">
        <f aca="false">(DN53-DP53)^2</f>
        <v>0.25168531978916</v>
      </c>
      <c r="DS53" s="1" t="n">
        <f aca="false">$AM53</f>
        <v>42</v>
      </c>
      <c r="DT53" s="1" t="n">
        <f aca="false">CA53</f>
        <v>0</v>
      </c>
      <c r="DU53" s="1" t="n">
        <f aca="false">DU$7*EXP(-DS53/DU$8)</f>
        <v>2.55672644946645E-017</v>
      </c>
      <c r="DV53" s="1" t="n">
        <f aca="false">(DT53-DU53)^2</f>
        <v>6.53685013740132E-034</v>
      </c>
      <c r="DX53" s="1" t="n">
        <f aca="false">$AM53</f>
        <v>42</v>
      </c>
      <c r="DY53" s="1" t="n">
        <f aca="false">CM53</f>
        <v>0</v>
      </c>
      <c r="DZ53" s="1" t="n">
        <f aca="false">DZ$7*EXP(-DX53/DZ$8)</f>
        <v>8.93838793088761E-009</v>
      </c>
      <c r="EA53" s="1" t="n">
        <f aca="false">(DY53-DZ53)^2</f>
        <v>7.98947788030373E-017</v>
      </c>
      <c r="EC53" s="1" t="n">
        <f aca="false">$AM53</f>
        <v>42</v>
      </c>
      <c r="ED53" s="1" t="n">
        <f aca="false">CV53</f>
        <v>8.88178419700125E-015</v>
      </c>
      <c r="EE53" s="1" t="n">
        <f aca="false">EE$7*EXP(-EC53/EE$8)</f>
        <v>1.53837438056325E-006</v>
      </c>
      <c r="EF53" s="1" t="n">
        <f aca="false">(ED53-EE53)^2</f>
        <v>2.36659570744635E-012</v>
      </c>
      <c r="EH53" s="1" t="n">
        <f aca="false">$AM53</f>
        <v>42</v>
      </c>
      <c r="EI53" s="1" t="n">
        <f aca="false">DE53</f>
        <v>0</v>
      </c>
      <c r="EJ53" s="1" t="n">
        <f aca="false">EJ$7*EXP(-EH53/EJ$8)</f>
        <v>0.00330437392196966</v>
      </c>
      <c r="EK53" s="1" t="n">
        <f aca="false">(EI53-EJ53)^2</f>
        <v>1.09188870161932E-005</v>
      </c>
      <c r="EM53" s="1" t="n">
        <f aca="false">AM53</f>
        <v>42</v>
      </c>
      <c r="EN53" s="1" t="n">
        <f aca="false">DN53</f>
        <v>0.502512562814072</v>
      </c>
      <c r="EO53" s="1" t="n">
        <f aca="false">EO$7*EXP(-EM53/EO$8)</f>
        <v>0.0012073135765747</v>
      </c>
      <c r="EP53" s="1" t="n">
        <f aca="false">(EN53-EO53)^2</f>
        <v>0.251306952913069</v>
      </c>
      <c r="ER53" s="1" t="n">
        <f aca="false">$AM53</f>
        <v>42</v>
      </c>
      <c r="ES53" s="1" t="n">
        <f aca="false">BZ53</f>
        <v>0</v>
      </c>
      <c r="ET53" s="1" t="n">
        <f aca="false">ET$7*EXP(-ER53/ET$8)</f>
        <v>3.52961222177397E-020</v>
      </c>
      <c r="EU53" s="1" t="n">
        <f aca="false">(ES53-ET53)^2</f>
        <v>1.24581624360962E-039</v>
      </c>
      <c r="EW53" s="1" t="n">
        <f aca="false">$AM53</f>
        <v>42</v>
      </c>
      <c r="EX53" s="1" t="n">
        <f aca="false">CI53</f>
        <v>0</v>
      </c>
      <c r="EY53" s="1" t="n">
        <f aca="false">EY$7*EXP(-EW53/EY$8)</f>
        <v>2.21210318541868E-018</v>
      </c>
      <c r="EZ53" s="1" t="n">
        <f aca="false">(EX53-EY53)^2</f>
        <v>4.89340050293947E-036</v>
      </c>
      <c r="FB53" s="1" t="n">
        <f aca="false">$AM53</f>
        <v>42</v>
      </c>
      <c r="FC53" s="1" t="n">
        <f aca="false">CR53</f>
        <v>0</v>
      </c>
      <c r="FD53" s="1" t="n">
        <f aca="false">FD$7*EXP(-FB53/FD$8)</f>
        <v>7.56207057441903E-016</v>
      </c>
      <c r="FE53" s="1" t="n">
        <f aca="false">(FC53-FD53)^2</f>
        <v>5.71849113724942E-031</v>
      </c>
      <c r="FG53" s="1" t="n">
        <f aca="false">$AM53</f>
        <v>42</v>
      </c>
      <c r="FH53" s="1" t="n">
        <f aca="false">DA53</f>
        <v>0</v>
      </c>
      <c r="FI53" s="1" t="n">
        <f aca="false">FI$7*EXP(-FG53/FI$8)</f>
        <v>1.56613230661555E-013</v>
      </c>
      <c r="FJ53" s="1" t="n">
        <f aca="false">(FH53-FI53)^2</f>
        <v>2.45277040182494E-026</v>
      </c>
      <c r="FL53" s="1" t="n">
        <f aca="false">EM53</f>
        <v>42</v>
      </c>
      <c r="FM53" s="1" t="n">
        <f aca="false">DJ53</f>
        <v>0</v>
      </c>
      <c r="FN53" s="1" t="n">
        <f aca="false">FN$7*EXP(-FL53/FN$8)</f>
        <v>1.17544801817983E-010</v>
      </c>
      <c r="FO53" s="1" t="n">
        <f aca="false">(FM53-FN53)^2</f>
        <v>1.38167804344289E-020</v>
      </c>
      <c r="FQ53" s="1" t="n">
        <f aca="false">AM53</f>
        <v>42</v>
      </c>
      <c r="FR53" s="1" t="n">
        <f aca="false">AN53/AN$9*100</f>
        <v>0</v>
      </c>
      <c r="FS53" s="1" t="n">
        <f aca="false">AO53/AO$9*100</f>
        <v>0</v>
      </c>
      <c r="FT53" s="1" t="n">
        <f aca="false">AQ53/AQ$9*100</f>
        <v>0</v>
      </c>
      <c r="FU53" s="1" t="n">
        <f aca="false">AR53/AR$9*100</f>
        <v>0</v>
      </c>
      <c r="FV53" s="1" t="n">
        <f aca="false">AT53/AT$9*100</f>
        <v>0</v>
      </c>
      <c r="FW53" s="1" t="n">
        <f aca="false">AU53/AU$9*100</f>
        <v>0</v>
      </c>
      <c r="FX53" s="1" t="n">
        <f aca="false">AW53/AW$9*100</f>
        <v>0</v>
      </c>
      <c r="FY53" s="1" t="n">
        <f aca="false">AX53/AX$9*100</f>
        <v>0</v>
      </c>
      <c r="FZ53" s="1" t="n">
        <f aca="false">AZ53/AZ$9*100</f>
        <v>0</v>
      </c>
      <c r="GA53" s="1" t="n">
        <f aca="false">BA53/BA$9*100</f>
        <v>0</v>
      </c>
      <c r="GB53" s="1" t="n">
        <f aca="false">BC53/BC$9*100</f>
        <v>0</v>
      </c>
      <c r="GC53" s="1" t="n">
        <f aca="false">BD53/BD$9*100</f>
        <v>0</v>
      </c>
      <c r="GD53" s="1" t="n">
        <f aca="false">BF53/BF$9*100</f>
        <v>0</v>
      </c>
      <c r="GE53" s="1" t="n">
        <f aca="false">BG53/BG$9*100</f>
        <v>0</v>
      </c>
      <c r="GF53" s="1" t="n">
        <f aca="false">BI53/BI$9*100</f>
        <v>0</v>
      </c>
      <c r="GG53" s="1" t="n">
        <f aca="false">BJ53/BJ$9*100</f>
        <v>0</v>
      </c>
      <c r="GH53" s="1" t="n">
        <f aca="false">BL53/BL$9*100</f>
        <v>0</v>
      </c>
      <c r="GI53" s="1" t="n">
        <f aca="false">BM53/BM$9*100</f>
        <v>0</v>
      </c>
      <c r="GJ53" s="1" t="n">
        <f aca="false">BO53/BO$9*100</f>
        <v>0</v>
      </c>
      <c r="GK53" s="1" t="n">
        <f aca="false">BP53/BP$9*100</f>
        <v>0</v>
      </c>
      <c r="GL53" s="1" t="n">
        <f aca="false">BR53/BR$9*100</f>
        <v>0</v>
      </c>
      <c r="GM53" s="1" t="n">
        <f aca="false">BS53/BS$9*100</f>
        <v>0.50251256281407</v>
      </c>
      <c r="GO53" s="1" t="n">
        <f aca="false">$AM53</f>
        <v>42</v>
      </c>
      <c r="GP53" s="1" t="n">
        <f aca="false">FT53</f>
        <v>0</v>
      </c>
      <c r="GQ53" s="1" t="n">
        <f aca="false">GQ$6*(1+GQ$5*(-1)^$FQ53)*EXP(-$FQ53/GQ$4)</f>
        <v>3.11676879743292E-012</v>
      </c>
      <c r="GR53" s="1" t="n">
        <f aca="false">(GP53-GQ53)^2</f>
        <v>9.71424773665145E-024</v>
      </c>
      <c r="GS53" s="1" t="n">
        <f aca="false">EXP($FQ53/$JG$4)*GP53</f>
        <v>0</v>
      </c>
      <c r="GT53" s="1" t="n">
        <f aca="false">EXP($FQ53/$JG$4)*(-1)^$FQ53*GP53</f>
        <v>0</v>
      </c>
      <c r="GU53" s="1" t="n">
        <f aca="false">(-1)^GO53*GP53</f>
        <v>0</v>
      </c>
      <c r="GW53" s="1" t="n">
        <f aca="false">$AM53</f>
        <v>42</v>
      </c>
      <c r="GX53" s="1" t="n">
        <f aca="false">FX53</f>
        <v>0</v>
      </c>
      <c r="GY53" s="1" t="n">
        <f aca="false">GY$6*(1+GY$5*(-1)^$FQ53)*EXP(-$FQ53/GY$4)</f>
        <v>3.11676879743292E-012</v>
      </c>
      <c r="GZ53" s="1" t="n">
        <f aca="false">(GX53-GY53)^2</f>
        <v>9.71424773665145E-024</v>
      </c>
      <c r="HA53" s="1" t="n">
        <f aca="false">EXP($FQ53/$JG$4)*GX53</f>
        <v>0</v>
      </c>
      <c r="HB53" s="1" t="n">
        <f aca="false">EXP($FQ53/$JG$4)*(-1)^$FQ53*GX53</f>
        <v>0</v>
      </c>
      <c r="HC53" s="1" t="n">
        <f aca="false">(-1)^GW53*GX53</f>
        <v>0</v>
      </c>
      <c r="HE53" s="1" t="n">
        <f aca="false">$AM53</f>
        <v>42</v>
      </c>
      <c r="HF53" s="1" t="n">
        <f aca="false">GB53</f>
        <v>0</v>
      </c>
      <c r="HG53" s="1" t="n">
        <f aca="false">HG$6*(1+HG$5*(-1)^$FQ53)*EXP(-$FQ53/HG$4)</f>
        <v>3.11676879743292E-012</v>
      </c>
      <c r="HH53" s="1" t="n">
        <f aca="false">(HF53-HG53)^2</f>
        <v>9.71424773665145E-024</v>
      </c>
      <c r="HI53" s="1" t="n">
        <f aca="false">EXP($FQ53/$JG$4)*HF53</f>
        <v>0</v>
      </c>
      <c r="HJ53" s="1" t="n">
        <f aca="false">EXP($FQ53/$JG$4)*(-1)^$FQ53*HF53</f>
        <v>0</v>
      </c>
      <c r="HK53" s="1" t="n">
        <f aca="false">(-1)^HE53*HF53</f>
        <v>0</v>
      </c>
      <c r="HM53" s="1" t="n">
        <f aca="false">$AM53</f>
        <v>42</v>
      </c>
      <c r="HN53" s="1" t="n">
        <f aca="false">GF53</f>
        <v>0</v>
      </c>
      <c r="HO53" s="1" t="n">
        <f aca="false">HO$6*(1+HO$5*(-1)^$FQ53)*EXP(-$FQ53/HO$4)</f>
        <v>1.9754765314276E-009</v>
      </c>
      <c r="HP53" s="1" t="n">
        <f aca="false">(HN53-HO53)^2</f>
        <v>3.90250752622122E-018</v>
      </c>
      <c r="HQ53" s="1" t="n">
        <f aca="false">EXP($FQ53/$JG$4)*HN53</f>
        <v>0</v>
      </c>
      <c r="HR53" s="1" t="n">
        <f aca="false">EXP($FQ53/$JG$4)*(-1)^$FQ53*HN53</f>
        <v>0</v>
      </c>
      <c r="HS53" s="1" t="n">
        <f aca="false">(-1)^HM53*HN53</f>
        <v>0</v>
      </c>
      <c r="HU53" s="1" t="n">
        <f aca="false">$AM53</f>
        <v>42</v>
      </c>
      <c r="HV53" s="1" t="n">
        <f aca="false">GJ53</f>
        <v>0</v>
      </c>
      <c r="HW53" s="1" t="n">
        <f aca="false">HW$6*(1+HW$5*(-1)^$FQ53)*EXP(-$FQ53/HW$4)</f>
        <v>7.95595347425978E-007</v>
      </c>
      <c r="HX53" s="1" t="n">
        <f aca="false">(HV53-HW53)^2</f>
        <v>6.32971956845863E-013</v>
      </c>
      <c r="HY53" s="1" t="n">
        <f aca="false">EXP($FQ53/$JG$4)*HV53</f>
        <v>0</v>
      </c>
      <c r="HZ53" s="1" t="n">
        <f aca="false">EXP($FQ53/$JG$4)*(-1)^$FQ53*HV53</f>
        <v>0</v>
      </c>
      <c r="IA53" s="1" t="n">
        <f aca="false">(-1)^HU53*HV53</f>
        <v>0</v>
      </c>
      <c r="IB53" s="1" t="n">
        <v>0</v>
      </c>
      <c r="ID53" s="1" t="n">
        <f aca="false">$AM53</f>
        <v>42</v>
      </c>
      <c r="IE53" s="1" t="n">
        <f aca="false">FZ53</f>
        <v>0</v>
      </c>
      <c r="IF53" s="1" t="n">
        <f aca="false">IF$6*(1+IF$5*(-1)^$FQ53)*EXP(-$FQ53/IF$4)</f>
        <v>4.58458490711937E-005</v>
      </c>
      <c r="IG53" s="1" t="n">
        <f aca="false">(IE53-IF53)^2</f>
        <v>2.10184187705867E-009</v>
      </c>
      <c r="IH53" s="1" t="n">
        <f aca="false">EXP($FQ53/$JG$4)*IE53</f>
        <v>0</v>
      </c>
      <c r="II53" s="1" t="n">
        <f aca="false">EXP($FQ53/$JG$4)*(-1)^$FQ53*IE53</f>
        <v>0</v>
      </c>
      <c r="IJ53" s="1" t="n">
        <f aca="false">(-1)^ID53*IE53</f>
        <v>0</v>
      </c>
      <c r="IK53" s="1" t="n">
        <v>0</v>
      </c>
      <c r="IM53" s="1" t="n">
        <f aca="false">$AM53</f>
        <v>42</v>
      </c>
      <c r="IN53" s="1" t="n">
        <f aca="false">GD53</f>
        <v>0</v>
      </c>
      <c r="IO53" s="1" t="n">
        <f aca="false">IO$6*(1+IO$5*(-1)^$FQ53)*EXP(-$FQ53/IO$4)</f>
        <v>0.000293804199757382</v>
      </c>
      <c r="IP53" s="1" t="n">
        <f aca="false">(IN53-IO53)^2</f>
        <v>8.63209077950756E-008</v>
      </c>
      <c r="IQ53" s="1" t="n">
        <f aca="false">EXP($FQ53/$JG$4)*IN53</f>
        <v>0</v>
      </c>
      <c r="IR53" s="1" t="n">
        <f aca="false">EXP($FQ53/$JG$4)*(-1)^$FQ53*IN53</f>
        <v>0</v>
      </c>
      <c r="IS53" s="1" t="n">
        <f aca="false">(-1)^IM53*IN53</f>
        <v>0</v>
      </c>
      <c r="IT53" s="1" t="n">
        <v>0</v>
      </c>
      <c r="IV53" s="1" t="n">
        <f aca="false">$AM53</f>
        <v>42</v>
      </c>
      <c r="IW53" s="1" t="n">
        <f aca="false">GH53</f>
        <v>0</v>
      </c>
      <c r="IX53" s="1" t="n">
        <f aca="false">IX$6*(1+IX$5*(-1)^$FQ53)*EXP(-$FQ53/IX$4)</f>
        <v>0.0111005089512324</v>
      </c>
      <c r="IY53" s="1" t="n">
        <f aca="false">(IW53-IX53)^2</f>
        <v>0.000123221298976391</v>
      </c>
      <c r="IZ53" s="1" t="n">
        <f aca="false">EXP($FQ53/$JG$4)*IW53</f>
        <v>0</v>
      </c>
      <c r="JA53" s="1" t="n">
        <f aca="false">EXP($FQ53/$JG$4)*(-1)^$FQ53*IW53</f>
        <v>0</v>
      </c>
      <c r="JB53" s="1" t="n">
        <f aca="false">(-1)^IV53*IW53</f>
        <v>0</v>
      </c>
      <c r="JE53" s="1" t="n">
        <f aca="false">$AM53</f>
        <v>42</v>
      </c>
      <c r="JF53" s="1" t="n">
        <f aca="false">GL53</f>
        <v>0</v>
      </c>
      <c r="JG53" s="1" t="n">
        <f aca="false">JG$6*(1+JG$5*(-1)^$FQ53)*EXP(-$FQ53/JG$4)</f>
        <v>0.00273284528458232</v>
      </c>
      <c r="JH53" s="1" t="n">
        <f aca="false">(JF53-JG53)^2</f>
        <v>7.46844334946382E-006</v>
      </c>
      <c r="JI53" s="1" t="n">
        <f aca="false">EXP($FQ53/$JG$4)*JF53</f>
        <v>0</v>
      </c>
      <c r="JJ53" s="1" t="n">
        <f aca="false">EXP($FQ53/$JG$4)*(-1)^$FQ53*JF53</f>
        <v>0</v>
      </c>
      <c r="JK53" s="1" t="n">
        <f aca="false">(-1)^JE53*JF53</f>
        <v>0</v>
      </c>
      <c r="JO53" s="1" t="n">
        <f aca="false">$AM53</f>
        <v>42</v>
      </c>
      <c r="JP53" s="1" t="n">
        <f aca="false">GM53</f>
        <v>0.50251256281407</v>
      </c>
      <c r="JQ53" s="1" t="n">
        <f aca="false">JQ$6*(1+JQ$5*(-1)^$FQ53)*EXP(-$FQ53/JQ$4)</f>
        <v>0.499605672195769</v>
      </c>
      <c r="JR53" s="1" t="n">
        <f aca="false">(JP53-JQ53)^2</f>
        <v>8.45001306676808E-006</v>
      </c>
      <c r="JS53" s="1" t="n">
        <f aca="false">EXP($FQ53/$JG$4)*JP53</f>
        <v>9181.5330943531</v>
      </c>
      <c r="JT53" s="1" t="n">
        <f aca="false">EXP($FQ53/$JG$4)*(-1)^$FQ53*JP53</f>
        <v>9181.5330943531</v>
      </c>
      <c r="JU53" s="1" t="n">
        <f aca="false">(-1)^JO53*JP53</f>
        <v>0.50251256281407</v>
      </c>
    </row>
    <row r="54" customFormat="false" ht="16" hidden="false" customHeight="false" outlineLevel="0" collapsed="false">
      <c r="A54" s="1" t="n">
        <v>1</v>
      </c>
      <c r="B54" s="1" t="n">
        <v>1</v>
      </c>
      <c r="C54" s="1" t="n">
        <f aca="false">B54-A54</f>
        <v>0</v>
      </c>
      <c r="D54" s="1" t="n">
        <v>3</v>
      </c>
      <c r="E54" s="1" t="n">
        <v>3</v>
      </c>
      <c r="F54" s="1" t="n">
        <f aca="false">E54-D54</f>
        <v>0</v>
      </c>
      <c r="G54" s="1" t="n">
        <v>2</v>
      </c>
      <c r="H54" s="1" t="n">
        <v>2</v>
      </c>
      <c r="I54" s="1" t="n">
        <f aca="false">H54-G54</f>
        <v>0</v>
      </c>
      <c r="J54" s="1" t="n">
        <v>2</v>
      </c>
      <c r="K54" s="1" t="n">
        <v>2</v>
      </c>
      <c r="L54" s="1" t="n">
        <f aca="false">K54-J54</f>
        <v>0</v>
      </c>
      <c r="M54" s="1" t="n">
        <v>1</v>
      </c>
      <c r="N54" s="1" t="n">
        <v>1</v>
      </c>
      <c r="O54" s="1" t="n">
        <f aca="false">N54-M54</f>
        <v>0</v>
      </c>
      <c r="P54" s="1" t="n">
        <v>4</v>
      </c>
      <c r="Q54" s="1" t="n">
        <v>6</v>
      </c>
      <c r="R54" s="1" t="n">
        <f aca="false">Q54-P54</f>
        <v>2</v>
      </c>
      <c r="S54" s="1" t="n">
        <v>2</v>
      </c>
      <c r="T54" s="1" t="n">
        <v>2</v>
      </c>
      <c r="U54" s="1" t="n">
        <f aca="false">T54-S54</f>
        <v>0</v>
      </c>
      <c r="V54" s="1" t="n">
        <v>2</v>
      </c>
      <c r="W54" s="1" t="n">
        <v>4</v>
      </c>
      <c r="X54" s="1" t="n">
        <f aca="false">W54-V54</f>
        <v>2</v>
      </c>
      <c r="Y54" s="1" t="n">
        <v>4</v>
      </c>
      <c r="Z54" s="1" t="n">
        <v>8</v>
      </c>
      <c r="AA54" s="1" t="n">
        <f aca="false">Z54-Y54</f>
        <v>4</v>
      </c>
      <c r="AB54" s="1" t="n">
        <v>8</v>
      </c>
      <c r="AC54" s="1" t="n">
        <v>11</v>
      </c>
      <c r="AD54" s="1" t="n">
        <f aca="false">AC54-AB54</f>
        <v>3</v>
      </c>
      <c r="AE54" s="1" t="n">
        <v>2</v>
      </c>
      <c r="AF54" s="1" t="n">
        <v>5</v>
      </c>
      <c r="AG54" s="1" t="n">
        <f aca="false">AF54-AE54</f>
        <v>3</v>
      </c>
      <c r="AI54" s="1" t="s">
        <v>52</v>
      </c>
      <c r="AJ54" s="1" t="n">
        <f aca="false">COUNTIFS(AF$2:AF$1000,2,AE$2:AE$1000,0)</f>
        <v>0</v>
      </c>
      <c r="AM54" s="1" t="n">
        <v>43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W54" s="1" t="n">
        <f aca="false">$AM54</f>
        <v>43</v>
      </c>
      <c r="BX54" s="1" t="n">
        <f aca="false">MAX(BX53-AN54/AN$9*100,0)</f>
        <v>0</v>
      </c>
      <c r="BY54" s="1" t="n">
        <f aca="false">MAX(BY53-AO54/AO$9*100,0)</f>
        <v>0</v>
      </c>
      <c r="BZ54" s="1" t="n">
        <f aca="false">MAX(BZ53-AQ54/AQ$9*100,0)</f>
        <v>0</v>
      </c>
      <c r="CA54" s="1" t="n">
        <f aca="false">MAX(CA53-AR54/AR$9*100,0)</f>
        <v>0</v>
      </c>
      <c r="CB54" s="1" t="n">
        <f aca="false">CB$7*EXP(-$AM54/CB$8)</f>
        <v>1.16771687523008E-022</v>
      </c>
      <c r="CC54" s="1" t="n">
        <f aca="false">(BZ54-CB54)^2</f>
        <v>1.3635627006971E-044</v>
      </c>
      <c r="CD54" s="1" t="n">
        <f aca="false">MAX(CD53-AT54/AT$9*100,0)</f>
        <v>0</v>
      </c>
      <c r="CE54" s="1" t="n">
        <f aca="false">MAX(CE53-AU54/AU$9*100,0)</f>
        <v>5.32907051820075E-015</v>
      </c>
      <c r="CF54" s="1" t="n">
        <f aca="false">CF$7*EXP(-$AM54/CF$8)</f>
        <v>4.80101114529233E-022</v>
      </c>
      <c r="CG54" s="1" t="n">
        <f aca="false">(CD54-CF54)^2</f>
        <v>2.30497080172212E-043</v>
      </c>
      <c r="CH54" s="1" t="n">
        <f aca="false">$AM54</f>
        <v>43</v>
      </c>
      <c r="CI54" s="1" t="n">
        <f aca="false">MAX(CI53-AW54/AW$9*100,0)</f>
        <v>0</v>
      </c>
      <c r="CJ54" s="1" t="n">
        <f aca="false">MAX(CJ53-AX54/AX$9*100,0)</f>
        <v>0</v>
      </c>
      <c r="CK54" s="1" t="n">
        <f aca="false">CK$7*EXP(-$AM54/CK$8)</f>
        <v>1.94612088209001E-014</v>
      </c>
      <c r="CL54" s="1" t="n">
        <f aca="false">(CI54-CK54)^2</f>
        <v>3.7873864877068E-028</v>
      </c>
      <c r="CM54" s="1" t="n">
        <f aca="false">MAX(CM53-AZ54/AZ$9*100,0)</f>
        <v>0</v>
      </c>
      <c r="CN54" s="1" t="n">
        <f aca="false">MAX(CN53-BA54/BA$9*100,0)</f>
        <v>5.32907051820075E-015</v>
      </c>
      <c r="CO54" s="1" t="n">
        <f aca="false">CO$7*EXP(-$AM54/CO$8)</f>
        <v>1.39845472071994E-007</v>
      </c>
      <c r="CP54" s="1" t="n">
        <f aca="false">(CM54-CO54)^2</f>
        <v>1.95567560590389E-014</v>
      </c>
      <c r="CQ54" s="1" t="n">
        <f aca="false">$AM54</f>
        <v>43</v>
      </c>
      <c r="CR54" s="1" t="n">
        <f aca="false">MAX(CR53-BC54/BC$9*100,0)</f>
        <v>0</v>
      </c>
      <c r="CS54" s="1" t="n">
        <f aca="false">MAX(CS53-BD54/BD$9*100,0)</f>
        <v>0</v>
      </c>
      <c r="CT54" s="1" t="n">
        <f aca="false">CT$7*EXP(-$AM54/CT$8)</f>
        <v>2.90307662315145E-013</v>
      </c>
      <c r="CU54" s="1" t="n">
        <f aca="false">(CR54-CT54)^2</f>
        <v>8.42785387988843E-026</v>
      </c>
      <c r="CV54" s="1" t="n">
        <f aca="false">MAX(CV53-BF54/BF$9*100,0)</f>
        <v>8.88178419700125E-015</v>
      </c>
      <c r="CW54" s="1" t="n">
        <f aca="false">MAX(CW53-BG54/BG$9*100,0)</f>
        <v>5.32907051820075E-015</v>
      </c>
      <c r="CX54" s="1" t="n">
        <f aca="false">CX$7*EXP(-$AM54/CX$8)</f>
        <v>2.58754025283105E-006</v>
      </c>
      <c r="CY54" s="1" t="n">
        <f aca="false">(CV54-CX54)^2</f>
        <v>6.69536451405703E-012</v>
      </c>
      <c r="CZ54" s="1" t="n">
        <f aca="false">$AM54</f>
        <v>43</v>
      </c>
      <c r="DA54" s="1" t="n">
        <f aca="false">MAX(DA53-BI54/BI$9*100,0)</f>
        <v>0</v>
      </c>
      <c r="DB54" s="1" t="n">
        <f aca="false">MAX(DB53-BJ54/BJ$9*100,0)</f>
        <v>9.88098491916389E-015</v>
      </c>
      <c r="DC54" s="1" t="n">
        <f aca="false">DC$7*EXP(-$AM54/DC$8)</f>
        <v>3.74092765697122E-012</v>
      </c>
      <c r="DD54" s="1" t="n">
        <f aca="false">(DA54-DC54)^2</f>
        <v>1.39945397346922E-023</v>
      </c>
      <c r="DE54" s="1" t="n">
        <f aca="false">MAX(DE53-BL54/BL$9*100,0)</f>
        <v>0</v>
      </c>
      <c r="DF54" s="1" t="n">
        <f aca="false">MAX(DF53-BM54/BM$9*100,0)</f>
        <v>0.636942675159225</v>
      </c>
      <c r="DG54" s="1" t="n">
        <f aca="false">DG$7*EXP(-$AM54/DG$8)</f>
        <v>0.00258417170214899</v>
      </c>
      <c r="DH54" s="1" t="n">
        <f aca="false">(DE54-DG54)^2</f>
        <v>6.67794338618761E-006</v>
      </c>
      <c r="DI54" s="1" t="n">
        <f aca="false">$AM54</f>
        <v>43</v>
      </c>
      <c r="DJ54" s="1" t="n">
        <f aca="false">MAX(DJ53-BO54/BO$9*100,0)</f>
        <v>0</v>
      </c>
      <c r="DK54" s="1" t="n">
        <f aca="false">MAX(DK53-BP54/BP$9*100,0)</f>
        <v>9.99200722162641E-015</v>
      </c>
      <c r="DL54" s="1" t="n">
        <f aca="false">DL$7*EXP(-$AM54/DL$8)</f>
        <v>5.23893443668866E-010</v>
      </c>
      <c r="DM54" s="1" t="n">
        <f aca="false">(DJ54-DL54)^2</f>
        <v>2.74464340319223E-019</v>
      </c>
      <c r="DN54" s="1" t="n">
        <f aca="false">MAX(DN53-BR54/BR$9*100,0)</f>
        <v>0.502512562814072</v>
      </c>
      <c r="DO54" s="1" t="n">
        <f aca="false">MAX(DO53-BS54/BS$9*100,0)</f>
        <v>0.502512562814067</v>
      </c>
      <c r="DP54" s="1" t="n">
        <f aca="false">DP$7*EXP(-$AM54/DP$8)</f>
        <v>0.000625298094074104</v>
      </c>
      <c r="DQ54" s="1" t="n">
        <f aca="false">(DN54-DP54)^2</f>
        <v>0.251890826488121</v>
      </c>
      <c r="DS54" s="1" t="n">
        <f aca="false">$AM54</f>
        <v>43</v>
      </c>
      <c r="DT54" s="1" t="n">
        <f aca="false">CA54</f>
        <v>0</v>
      </c>
      <c r="DU54" s="1" t="n">
        <f aca="false">DU$7*EXP(-DS54/DU$8)</f>
        <v>9.11922632299781E-018</v>
      </c>
      <c r="DV54" s="1" t="n">
        <f aca="false">(DT54-DU54)^2</f>
        <v>8.31602887300562E-035</v>
      </c>
      <c r="DX54" s="1" t="n">
        <f aca="false">$AM54</f>
        <v>43</v>
      </c>
      <c r="DY54" s="1" t="n">
        <f aca="false">CM54</f>
        <v>0</v>
      </c>
      <c r="DZ54" s="1" t="n">
        <f aca="false">DZ$7*EXP(-DX54/DZ$8)</f>
        <v>5.09651768264593E-009</v>
      </c>
      <c r="EA54" s="1" t="n">
        <f aca="false">(DY54-DZ54)^2</f>
        <v>2.59744924895226E-017</v>
      </c>
      <c r="EC54" s="1" t="n">
        <f aca="false">$AM54</f>
        <v>43</v>
      </c>
      <c r="ED54" s="1" t="n">
        <f aca="false">CV54</f>
        <v>8.88178419700125E-015</v>
      </c>
      <c r="EE54" s="1" t="n">
        <f aca="false">EE$7*EXP(-EC54/EE$8)</f>
        <v>9.94062734782674E-007</v>
      </c>
      <c r="EF54" s="1" t="n">
        <f aca="false">(ED54-EE54)^2</f>
        <v>9.88160703025508E-013</v>
      </c>
      <c r="EH54" s="1" t="n">
        <f aca="false">$AM54</f>
        <v>43</v>
      </c>
      <c r="EI54" s="1" t="n">
        <f aca="false">DE54</f>
        <v>0</v>
      </c>
      <c r="EJ54" s="1" t="n">
        <f aca="false">EJ$7*EXP(-EH54/EJ$8)</f>
        <v>0.0025734489979907</v>
      </c>
      <c r="EK54" s="1" t="n">
        <f aca="false">(EI54-EJ54)^2</f>
        <v>6.62263974525934E-006</v>
      </c>
      <c r="EM54" s="1" t="n">
        <f aca="false">AM54</f>
        <v>43</v>
      </c>
      <c r="EN54" s="1" t="n">
        <f aca="false">DN54</f>
        <v>0.502512562814072</v>
      </c>
      <c r="EO54" s="1" t="n">
        <f aca="false">EO$7*EXP(-EM54/EO$8)</f>
        <v>0.000917984387080336</v>
      </c>
      <c r="EP54" s="1" t="n">
        <f aca="false">(EN54-EO54)^2</f>
        <v>0.251597121107352</v>
      </c>
      <c r="ER54" s="1" t="n">
        <f aca="false">$AM54</f>
        <v>43</v>
      </c>
      <c r="ES54" s="1" t="n">
        <f aca="false">BZ54</f>
        <v>0</v>
      </c>
      <c r="ET54" s="1" t="n">
        <f aca="false">ET$7*EXP(-ER54/ET$8)</f>
        <v>1.07327188821636E-020</v>
      </c>
      <c r="EU54" s="1" t="n">
        <f aca="false">(ES54-ET54)^2</f>
        <v>1.15191254603551E-040</v>
      </c>
      <c r="EW54" s="1" t="n">
        <f aca="false">$AM54</f>
        <v>43</v>
      </c>
      <c r="EX54" s="1" t="n">
        <f aca="false">CI54</f>
        <v>0</v>
      </c>
      <c r="EY54" s="1" t="n">
        <f aca="false">EY$7*EXP(-EW54/EY$8)</f>
        <v>7.37154799876894E-019</v>
      </c>
      <c r="EZ54" s="1" t="n">
        <f aca="false">(EX54-EY54)^2</f>
        <v>5.43397198981544E-037</v>
      </c>
      <c r="FB54" s="1" t="n">
        <f aca="false">$AM54</f>
        <v>43</v>
      </c>
      <c r="FC54" s="1" t="n">
        <f aca="false">CR54</f>
        <v>0</v>
      </c>
      <c r="FD54" s="1" t="n">
        <f aca="false">FD$7*EXP(-FB54/FD$8)</f>
        <v>2.91760795135642E-016</v>
      </c>
      <c r="FE54" s="1" t="n">
        <f aca="false">(FC54-FD54)^2</f>
        <v>8.51243615781821E-032</v>
      </c>
      <c r="FG54" s="1" t="n">
        <f aca="false">$AM54</f>
        <v>43</v>
      </c>
      <c r="FH54" s="1" t="n">
        <f aca="false">DA54</f>
        <v>0</v>
      </c>
      <c r="FI54" s="1" t="n">
        <f aca="false">FI$7*EXP(-FG54/FI$8)</f>
        <v>6.85342065266438E-014</v>
      </c>
      <c r="FJ54" s="1" t="n">
        <f aca="false">(FH54-FI54)^2</f>
        <v>4.69693746423667E-027</v>
      </c>
      <c r="FL54" s="1" t="n">
        <f aca="false">EM54</f>
        <v>43</v>
      </c>
      <c r="FM54" s="1" t="n">
        <f aca="false">DJ54</f>
        <v>0</v>
      </c>
      <c r="FN54" s="1" t="n">
        <f aca="false">FN$7*EXP(-FL54/FN$8)</f>
        <v>6.0349513506646E-011</v>
      </c>
      <c r="FO54" s="1" t="n">
        <f aca="false">(FM54-FN54)^2</f>
        <v>3.64206378048885E-021</v>
      </c>
      <c r="FQ54" s="1" t="n">
        <f aca="false">AM54</f>
        <v>43</v>
      </c>
      <c r="FR54" s="1" t="n">
        <f aca="false">AN54/AN$9*100</f>
        <v>0</v>
      </c>
      <c r="FS54" s="1" t="n">
        <f aca="false">AO54/AO$9*100</f>
        <v>0</v>
      </c>
      <c r="FT54" s="1" t="n">
        <f aca="false">AQ54/AQ$9*100</f>
        <v>0</v>
      </c>
      <c r="FU54" s="1" t="n">
        <f aca="false">AR54/AR$9*100</f>
        <v>0</v>
      </c>
      <c r="FV54" s="1" t="n">
        <f aca="false">AT54/AT$9*100</f>
        <v>0</v>
      </c>
      <c r="FW54" s="1" t="n">
        <f aca="false">AU54/AU$9*100</f>
        <v>0</v>
      </c>
      <c r="FX54" s="1" t="n">
        <f aca="false">AW54/AW$9*100</f>
        <v>0</v>
      </c>
      <c r="FY54" s="1" t="n">
        <f aca="false">AX54/AX$9*100</f>
        <v>0</v>
      </c>
      <c r="FZ54" s="1" t="n">
        <f aca="false">AZ54/AZ$9*100</f>
        <v>0</v>
      </c>
      <c r="GA54" s="1" t="n">
        <f aca="false">BA54/BA$9*100</f>
        <v>0</v>
      </c>
      <c r="GB54" s="1" t="n">
        <f aca="false">BC54/BC$9*100</f>
        <v>0</v>
      </c>
      <c r="GC54" s="1" t="n">
        <f aca="false">BD54/BD$9*100</f>
        <v>0</v>
      </c>
      <c r="GD54" s="1" t="n">
        <f aca="false">BF54/BF$9*100</f>
        <v>0</v>
      </c>
      <c r="GE54" s="1" t="n">
        <f aca="false">BG54/BG$9*100</f>
        <v>0</v>
      </c>
      <c r="GF54" s="1" t="n">
        <f aca="false">BI54/BI$9*100</f>
        <v>0</v>
      </c>
      <c r="GG54" s="1" t="n">
        <f aca="false">BJ54/BJ$9*100</f>
        <v>0</v>
      </c>
      <c r="GH54" s="1" t="n">
        <f aca="false">BL54/BL$9*100</f>
        <v>0</v>
      </c>
      <c r="GI54" s="1" t="n">
        <f aca="false">BM54/BM$9*100</f>
        <v>0</v>
      </c>
      <c r="GJ54" s="1" t="n">
        <f aca="false">BO54/BO$9*100</f>
        <v>0</v>
      </c>
      <c r="GK54" s="1" t="n">
        <f aca="false">BP54/BP$9*100</f>
        <v>0</v>
      </c>
      <c r="GL54" s="1" t="n">
        <f aca="false">BR54/BR$9*100</f>
        <v>0</v>
      </c>
      <c r="GM54" s="1" t="n">
        <f aca="false">BS54/BS$9*100</f>
        <v>0</v>
      </c>
      <c r="GO54" s="1" t="n">
        <f aca="false">$AM54</f>
        <v>43</v>
      </c>
      <c r="GP54" s="1" t="n">
        <f aca="false">FT54</f>
        <v>0</v>
      </c>
      <c r="GQ54" s="1" t="n">
        <f aca="false">GQ$6*(1+GQ$5*(-1)^$FQ54)*EXP(-$FQ54/GQ$4)</f>
        <v>5.00123801868602E-013</v>
      </c>
      <c r="GR54" s="1" t="n">
        <f aca="false">(GP54-GQ54)^2</f>
        <v>2.50123817195505E-025</v>
      </c>
      <c r="GS54" s="1" t="n">
        <f aca="false">EXP($FQ54/$JG$4)*GP54</f>
        <v>0</v>
      </c>
      <c r="GT54" s="1" t="n">
        <f aca="false">EXP($FQ54/$JG$4)*(-1)^$FQ54*GP54</f>
        <v>-0</v>
      </c>
      <c r="GU54" s="1" t="n">
        <f aca="false">(-1)^GO54*GP54</f>
        <v>-0</v>
      </c>
      <c r="GW54" s="1" t="n">
        <f aca="false">$AM54</f>
        <v>43</v>
      </c>
      <c r="GX54" s="1" t="n">
        <f aca="false">FX54</f>
        <v>0</v>
      </c>
      <c r="GY54" s="1" t="n">
        <f aca="false">GY$6*(1+GY$5*(-1)^$FQ54)*EXP(-$FQ54/GY$4)</f>
        <v>5.00123801868602E-013</v>
      </c>
      <c r="GZ54" s="1" t="n">
        <f aca="false">(GX54-GY54)^2</f>
        <v>2.50123817195505E-025</v>
      </c>
      <c r="HA54" s="1" t="n">
        <f aca="false">EXP($FQ54/$JG$4)*GX54</f>
        <v>0</v>
      </c>
      <c r="HB54" s="1" t="n">
        <f aca="false">EXP($FQ54/$JG$4)*(-1)^$FQ54*GX54</f>
        <v>-0</v>
      </c>
      <c r="HC54" s="1" t="n">
        <f aca="false">(-1)^GW54*GX54</f>
        <v>-0</v>
      </c>
      <c r="HE54" s="1" t="n">
        <f aca="false">$AM54</f>
        <v>43</v>
      </c>
      <c r="HF54" s="1" t="n">
        <f aca="false">GB54</f>
        <v>0</v>
      </c>
      <c r="HG54" s="1" t="n">
        <f aca="false">HG$6*(1+HG$5*(-1)^$FQ54)*EXP(-$FQ54/HG$4)</f>
        <v>5.00123801868602E-013</v>
      </c>
      <c r="HH54" s="1" t="n">
        <f aca="false">(HF54-HG54)^2</f>
        <v>2.50123817195505E-025</v>
      </c>
      <c r="HI54" s="1" t="n">
        <f aca="false">EXP($FQ54/$JG$4)*HF54</f>
        <v>0</v>
      </c>
      <c r="HJ54" s="1" t="n">
        <f aca="false">EXP($FQ54/$JG$4)*(-1)^$FQ54*HF54</f>
        <v>-0</v>
      </c>
      <c r="HK54" s="1" t="n">
        <f aca="false">(-1)^HE54*HF54</f>
        <v>-0</v>
      </c>
      <c r="HM54" s="1" t="n">
        <f aca="false">$AM54</f>
        <v>43</v>
      </c>
      <c r="HN54" s="1" t="n">
        <f aca="false">GF54</f>
        <v>0</v>
      </c>
      <c r="HO54" s="1" t="n">
        <f aca="false">HO$6*(1+HO$5*(-1)^$FQ54)*EXP(-$FQ54/HO$4)</f>
        <v>2.38272516369113E-010</v>
      </c>
      <c r="HP54" s="1" t="n">
        <f aca="false">(HN54-HO54)^2</f>
        <v>5.67737920568692E-020</v>
      </c>
      <c r="HQ54" s="1" t="n">
        <f aca="false">EXP($FQ54/$JG$4)*HN54</f>
        <v>0</v>
      </c>
      <c r="HR54" s="1" t="n">
        <f aca="false">EXP($FQ54/$JG$4)*(-1)^$FQ54*HN54</f>
        <v>-0</v>
      </c>
      <c r="HS54" s="1" t="n">
        <f aca="false">(-1)^HM54*HN54</f>
        <v>-0</v>
      </c>
      <c r="HU54" s="1" t="n">
        <f aca="false">$AM54</f>
        <v>43</v>
      </c>
      <c r="HV54" s="1" t="n">
        <f aca="false">GJ54</f>
        <v>0</v>
      </c>
      <c r="HW54" s="1" t="n">
        <f aca="false">HW$6*(1+HW$5*(-1)^$FQ54)*EXP(-$FQ54/HW$4)</f>
        <v>1.70374769021209E-007</v>
      </c>
      <c r="HX54" s="1" t="n">
        <f aca="false">(HV54-HW54)^2</f>
        <v>2.90275619190303E-014</v>
      </c>
      <c r="HY54" s="1" t="n">
        <f aca="false">EXP($FQ54/$JG$4)*HV54</f>
        <v>0</v>
      </c>
      <c r="HZ54" s="1" t="n">
        <f aca="false">EXP($FQ54/$JG$4)*(-1)^$FQ54*HV54</f>
        <v>-0</v>
      </c>
      <c r="IA54" s="1" t="n">
        <f aca="false">(-1)^HU54*HV54</f>
        <v>-0</v>
      </c>
      <c r="IB54" s="1" t="n">
        <v>0</v>
      </c>
      <c r="ID54" s="1" t="n">
        <f aca="false">$AM54</f>
        <v>43</v>
      </c>
      <c r="IE54" s="1" t="n">
        <f aca="false">FZ54</f>
        <v>0</v>
      </c>
      <c r="IF54" s="1" t="n">
        <f aca="false">IF$6*(1+IF$5*(-1)^$FQ54)*EXP(-$FQ54/IF$4)</f>
        <v>1.692272022512E-005</v>
      </c>
      <c r="IG54" s="1" t="n">
        <f aca="false">(IE54-IF54)^2</f>
        <v>2.86378459817686E-010</v>
      </c>
      <c r="IH54" s="1" t="n">
        <f aca="false">EXP($FQ54/$JG$4)*IE54</f>
        <v>0</v>
      </c>
      <c r="II54" s="1" t="n">
        <f aca="false">EXP($FQ54/$JG$4)*(-1)^$FQ54*IE54</f>
        <v>-0</v>
      </c>
      <c r="IJ54" s="1" t="n">
        <f aca="false">(-1)^ID54*IE54</f>
        <v>-0</v>
      </c>
      <c r="IK54" s="1" t="n">
        <v>0</v>
      </c>
      <c r="IM54" s="1" t="n">
        <f aca="false">$AM54</f>
        <v>43</v>
      </c>
      <c r="IN54" s="1" t="n">
        <f aca="false">GD54</f>
        <v>0</v>
      </c>
      <c r="IO54" s="1" t="n">
        <f aca="false">IO$6*(1+IO$5*(-1)^$FQ54)*EXP(-$FQ54/IO$4)</f>
        <v>0.000101529873269001</v>
      </c>
      <c r="IP54" s="1" t="n">
        <f aca="false">(IN54-IO54)^2</f>
        <v>1.03083151660194E-008</v>
      </c>
      <c r="IQ54" s="1" t="n">
        <f aca="false">EXP($FQ54/$JG$4)*IN54</f>
        <v>0</v>
      </c>
      <c r="IR54" s="1" t="n">
        <f aca="false">EXP($FQ54/$JG$4)*(-1)^$FQ54*IN54</f>
        <v>-0</v>
      </c>
      <c r="IS54" s="1" t="n">
        <f aca="false">(-1)^IM54*IN54</f>
        <v>-0</v>
      </c>
      <c r="IT54" s="1" t="n">
        <v>0</v>
      </c>
      <c r="IV54" s="1" t="n">
        <f aca="false">$AM54</f>
        <v>43</v>
      </c>
      <c r="IW54" s="1" t="n">
        <f aca="false">GH54</f>
        <v>0</v>
      </c>
      <c r="IX54" s="1" t="n">
        <f aca="false">IX$6*(1+IX$5*(-1)^$FQ54)*EXP(-$FQ54/IX$4)</f>
        <v>0.00236162780914176</v>
      </c>
      <c r="IY54" s="1" t="n">
        <f aca="false">(IW54-IX54)^2</f>
        <v>5.57728590891171E-006</v>
      </c>
      <c r="IZ54" s="1" t="n">
        <f aca="false">EXP($FQ54/$JG$4)*IW54</f>
        <v>0</v>
      </c>
      <c r="JA54" s="1" t="n">
        <f aca="false">EXP($FQ54/$JG$4)*(-1)^$FQ54*IW54</f>
        <v>-0</v>
      </c>
      <c r="JB54" s="1" t="n">
        <f aca="false">(-1)^IV54*IW54</f>
        <v>-0</v>
      </c>
      <c r="JE54" s="1" t="n">
        <f aca="false">$AM54</f>
        <v>43</v>
      </c>
      <c r="JF54" s="1" t="n">
        <f aca="false">GL54</f>
        <v>0</v>
      </c>
      <c r="JG54" s="1" t="n">
        <f aca="false">JG$6*(1+JG$5*(-1)^$FQ54)*EXP(-$FQ54/JG$4)</f>
        <v>0.000330438595077275</v>
      </c>
      <c r="JH54" s="1" t="n">
        <f aca="false">(JF54-JG54)^2</f>
        <v>1.09189665116643E-007</v>
      </c>
      <c r="JI54" s="1" t="n">
        <f aca="false">EXP($FQ54/$JG$4)*JF54</f>
        <v>0</v>
      </c>
      <c r="JJ54" s="1" t="n">
        <f aca="false">EXP($FQ54/$JG$4)*(-1)^$FQ54*JF54</f>
        <v>-0</v>
      </c>
      <c r="JK54" s="1" t="n">
        <f aca="false">(-1)^JE54*JF54</f>
        <v>-0</v>
      </c>
      <c r="JO54" s="1" t="n">
        <f aca="false">$AM54</f>
        <v>43</v>
      </c>
      <c r="JP54" s="1" t="n">
        <f aca="false">GM54</f>
        <v>0</v>
      </c>
      <c r="JQ54" s="1" t="n">
        <f aca="false">JQ$6*(1+JQ$5*(-1)^$FQ54)*EXP(-$FQ54/JQ$4)</f>
        <v>0.0878465071907424</v>
      </c>
      <c r="JR54" s="1" t="n">
        <f aca="false">(JP54-JQ54)^2</f>
        <v>0.00771700882561316</v>
      </c>
      <c r="JS54" s="1" t="n">
        <f aca="false">EXP($FQ54/$JG$4)*JP54</f>
        <v>0</v>
      </c>
      <c r="JT54" s="1" t="n">
        <f aca="false">EXP($FQ54/$JG$4)*(-1)^$FQ54*JP54</f>
        <v>-0</v>
      </c>
      <c r="JU54" s="1" t="n">
        <f aca="false">(-1)^JO54*JP54</f>
        <v>-0</v>
      </c>
    </row>
    <row r="55" customFormat="false" ht="16" hidden="false" customHeight="false" outlineLevel="0" collapsed="false">
      <c r="A55" s="1" t="n">
        <v>1</v>
      </c>
      <c r="B55" s="1" t="n">
        <v>1</v>
      </c>
      <c r="C55" s="1" t="n">
        <f aca="false">B55-A55</f>
        <v>0</v>
      </c>
      <c r="D55" s="1" t="n">
        <v>2</v>
      </c>
      <c r="E55" s="1" t="n">
        <v>2</v>
      </c>
      <c r="F55" s="1" t="n">
        <f aca="false">E55-D55</f>
        <v>0</v>
      </c>
      <c r="G55" s="1" t="n">
        <v>2</v>
      </c>
      <c r="H55" s="1" t="n">
        <v>2</v>
      </c>
      <c r="I55" s="1" t="n">
        <f aca="false">H55-G55</f>
        <v>0</v>
      </c>
      <c r="J55" s="1" t="n">
        <v>2</v>
      </c>
      <c r="K55" s="1" t="n">
        <v>4</v>
      </c>
      <c r="L55" s="1" t="n">
        <f aca="false">K55-J55</f>
        <v>2</v>
      </c>
      <c r="M55" s="1" t="n">
        <v>1</v>
      </c>
      <c r="N55" s="1" t="n">
        <v>1</v>
      </c>
      <c r="O55" s="1" t="n">
        <f aca="false">N55-M55</f>
        <v>0</v>
      </c>
      <c r="P55" s="1" t="n">
        <v>8</v>
      </c>
      <c r="Q55" s="1" t="n">
        <v>12</v>
      </c>
      <c r="R55" s="1" t="n">
        <f aca="false">Q55-P55</f>
        <v>4</v>
      </c>
      <c r="S55" s="1" t="n">
        <v>3</v>
      </c>
      <c r="T55" s="1" t="n">
        <v>5</v>
      </c>
      <c r="U55" s="1" t="n">
        <f aca="false">T55-S55</f>
        <v>2</v>
      </c>
      <c r="V55" s="1" t="n">
        <v>2</v>
      </c>
      <c r="W55" s="1" t="n">
        <v>2</v>
      </c>
      <c r="X55" s="1" t="n">
        <f aca="false">W55-V55</f>
        <v>0</v>
      </c>
      <c r="Y55" s="1" t="n">
        <v>6</v>
      </c>
      <c r="Z55" s="1" t="n">
        <v>8</v>
      </c>
      <c r="AA55" s="1" t="n">
        <f aca="false">Z55-Y55</f>
        <v>2</v>
      </c>
      <c r="AB55" s="1" t="n">
        <v>3</v>
      </c>
      <c r="AC55" s="1" t="n">
        <v>7</v>
      </c>
      <c r="AD55" s="1" t="n">
        <f aca="false">AC55-AB55</f>
        <v>4</v>
      </c>
      <c r="AE55" s="1" t="n">
        <v>6</v>
      </c>
      <c r="AF55" s="1" t="n">
        <v>12</v>
      </c>
      <c r="AG55" s="1" t="n">
        <f aca="false">AF55-AE55</f>
        <v>6</v>
      </c>
      <c r="AM55" s="1" t="n">
        <v>44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1</v>
      </c>
      <c r="BS55" s="1" t="n">
        <v>0</v>
      </c>
      <c r="BT55" s="1" t="n">
        <v>0</v>
      </c>
      <c r="BW55" s="1" t="n">
        <f aca="false">$AM55</f>
        <v>44</v>
      </c>
      <c r="BX55" s="1" t="n">
        <f aca="false">MAX(BX54-AN55/AN$9*100,0)</f>
        <v>0</v>
      </c>
      <c r="BY55" s="1" t="n">
        <f aca="false">MAX(BY54-AO55/AO$9*100,0)</f>
        <v>0</v>
      </c>
      <c r="BZ55" s="1" t="n">
        <f aca="false">MAX(BZ54-AQ55/AQ$9*100,0)</f>
        <v>0</v>
      </c>
      <c r="CA55" s="1" t="n">
        <f aca="false">MAX(CA54-AR55/AR$9*100,0)</f>
        <v>0</v>
      </c>
      <c r="CB55" s="1" t="n">
        <f aca="false">CB$7*EXP(-$AM55/CB$8)</f>
        <v>3.18653540921729E-023</v>
      </c>
      <c r="CC55" s="1" t="n">
        <f aca="false">(BZ55-CB55)^2</f>
        <v>1.01540079141956E-045</v>
      </c>
      <c r="CD55" s="1" t="n">
        <f aca="false">MAX(CD54-AT55/AT$9*100,0)</f>
        <v>0</v>
      </c>
      <c r="CE55" s="1" t="n">
        <f aca="false">MAX(CE54-AU55/AU$9*100,0)</f>
        <v>5.32907051820075E-015</v>
      </c>
      <c r="CF55" s="1" t="n">
        <f aca="false">CF$7*EXP(-$AM55/CF$8)</f>
        <v>1.35391956354864E-022</v>
      </c>
      <c r="CG55" s="1" t="n">
        <f aca="false">(CD55-CF55)^2</f>
        <v>1.83309818455974E-044</v>
      </c>
      <c r="CH55" s="1" t="n">
        <f aca="false">$AM55</f>
        <v>44</v>
      </c>
      <c r="CI55" s="1" t="n">
        <f aca="false">MAX(CI54-AW55/AW$9*100,0)</f>
        <v>0</v>
      </c>
      <c r="CJ55" s="1" t="n">
        <f aca="false">MAX(CJ54-AX55/AX$9*100,0)</f>
        <v>0</v>
      </c>
      <c r="CK55" s="1" t="n">
        <f aca="false">CK$7*EXP(-$AM55/CK$8)</f>
        <v>8.27900124357621E-015</v>
      </c>
      <c r="CL55" s="1" t="n">
        <f aca="false">(CI55-CK55)^2</f>
        <v>6.85418615911364E-029</v>
      </c>
      <c r="CM55" s="1" t="n">
        <f aca="false">MAX(CM54-AZ55/AZ$9*100,0)</f>
        <v>0</v>
      </c>
      <c r="CN55" s="1" t="n">
        <f aca="false">MAX(CN54-BA55/BA$9*100,0)</f>
        <v>5.32907051820075E-015</v>
      </c>
      <c r="CO55" s="1" t="n">
        <f aca="false">CO$7*EXP(-$AM55/CO$8)</f>
        <v>8.64675164745619E-008</v>
      </c>
      <c r="CP55" s="1" t="n">
        <f aca="false">(CM55-CO55)^2</f>
        <v>7.47663140527863E-015</v>
      </c>
      <c r="CQ55" s="1" t="n">
        <f aca="false">$AM55</f>
        <v>44</v>
      </c>
      <c r="CR55" s="1" t="n">
        <f aca="false">MAX(CR54-BC55/BC$9*100,0)</f>
        <v>0</v>
      </c>
      <c r="CS55" s="1" t="n">
        <f aca="false">MAX(CS54-BD55/BD$9*100,0)</f>
        <v>0</v>
      </c>
      <c r="CT55" s="1" t="n">
        <f aca="false">CT$7*EXP(-$AM55/CT$8)</f>
        <v>1.3209742127763E-013</v>
      </c>
      <c r="CU55" s="1" t="n">
        <f aca="false">(CR55-CT55)^2</f>
        <v>1.74497287081997E-026</v>
      </c>
      <c r="CV55" s="1" t="n">
        <f aca="false">MAX(CV54-BF55/BF$9*100,0)</f>
        <v>8.88178419700125E-015</v>
      </c>
      <c r="CW55" s="1" t="n">
        <f aca="false">MAX(CW54-BG55/BG$9*100,0)</f>
        <v>5.32907051820075E-015</v>
      </c>
      <c r="CX55" s="1" t="n">
        <f aca="false">CX$7*EXP(-$AM55/CX$8)</f>
        <v>1.71169579933043E-006</v>
      </c>
      <c r="CY55" s="1" t="n">
        <f aca="false">(CV55-CX55)^2</f>
        <v>2.92990247903961E-012</v>
      </c>
      <c r="CZ55" s="1" t="n">
        <f aca="false">$AM55</f>
        <v>44</v>
      </c>
      <c r="DA55" s="1" t="n">
        <f aca="false">MAX(DA54-BI55/BI$9*100,0)</f>
        <v>0</v>
      </c>
      <c r="DB55" s="1" t="n">
        <f aca="false">MAX(DB54-BJ55/BJ$9*100,0)</f>
        <v>9.88098491916389E-015</v>
      </c>
      <c r="DC55" s="1" t="n">
        <f aca="false">DC$7*EXP(-$AM55/DC$8)</f>
        <v>1.80291826424201E-012</v>
      </c>
      <c r="DD55" s="1" t="n">
        <f aca="false">(DA55-DC55)^2</f>
        <v>3.25051426753742E-024</v>
      </c>
      <c r="DE55" s="1" t="n">
        <f aca="false">MAX(DE54-BL55/BL$9*100,0)</f>
        <v>0</v>
      </c>
      <c r="DF55" s="1" t="n">
        <f aca="false">MAX(DF54-BM55/BM$9*100,0)</f>
        <v>0.636942675159225</v>
      </c>
      <c r="DG55" s="1" t="n">
        <f aca="false">DG$7*EXP(-$AM55/DG$8)</f>
        <v>0.0020125549452246</v>
      </c>
      <c r="DH55" s="1" t="n">
        <f aca="false">(DE55-DG55)^2</f>
        <v>4.05037740754799E-006</v>
      </c>
      <c r="DI55" s="1" t="n">
        <f aca="false">$AM55</f>
        <v>44</v>
      </c>
      <c r="DJ55" s="1" t="n">
        <f aca="false">MAX(DJ54-BO55/BO$9*100,0)</f>
        <v>0</v>
      </c>
      <c r="DK55" s="1" t="n">
        <f aca="false">MAX(DK54-BP55/BP$9*100,0)</f>
        <v>9.99200722162641E-015</v>
      </c>
      <c r="DL55" s="1" t="n">
        <f aca="false">DL$7*EXP(-$AM55/DL$8)</f>
        <v>2.83664266699297E-010</v>
      </c>
      <c r="DM55" s="1" t="n">
        <f aca="false">(DJ55-DL55)^2</f>
        <v>8.04654162020499E-020</v>
      </c>
      <c r="DN55" s="1" t="n">
        <f aca="false">MAX(DN54-BR55/BR$9*100,0)</f>
        <v>0</v>
      </c>
      <c r="DO55" s="1" t="n">
        <f aca="false">MAX(DO54-BS55/BS$9*100,0)</f>
        <v>0.502512562814067</v>
      </c>
      <c r="DP55" s="1" t="n">
        <f aca="false">DP$7*EXP(-$AM55/DP$8)</f>
        <v>0.000471039694516337</v>
      </c>
      <c r="DQ55" s="1" t="n">
        <f aca="false">(DN55-DP55)^2</f>
        <v>2.21878393810044E-007</v>
      </c>
      <c r="DS55" s="1" t="n">
        <f aca="false">$AM55</f>
        <v>44</v>
      </c>
      <c r="DT55" s="1" t="n">
        <f aca="false">CA55</f>
        <v>0</v>
      </c>
      <c r="DU55" s="1" t="n">
        <f aca="false">DU$7*EXP(-DS55/DU$8)</f>
        <v>3.25260798813302E-018</v>
      </c>
      <c r="DV55" s="1" t="n">
        <f aca="false">(DT55-DU55)^2</f>
        <v>1.05794587244667E-035</v>
      </c>
      <c r="DX55" s="1" t="n">
        <f aca="false">$AM55</f>
        <v>44</v>
      </c>
      <c r="DY55" s="1" t="n">
        <f aca="false">CM55</f>
        <v>0</v>
      </c>
      <c r="DZ55" s="1" t="n">
        <f aca="false">DZ$7*EXP(-DX55/DZ$8)</f>
        <v>2.90594821911509E-009</v>
      </c>
      <c r="EA55" s="1" t="n">
        <f aca="false">(DY55-DZ55)^2</f>
        <v>8.44453505217816E-018</v>
      </c>
      <c r="EC55" s="1" t="n">
        <f aca="false">$AM55</f>
        <v>44</v>
      </c>
      <c r="ED55" s="1" t="n">
        <f aca="false">CV55</f>
        <v>8.88178419700125E-015</v>
      </c>
      <c r="EE55" s="1" t="n">
        <f aca="false">EE$7*EXP(-EC55/EE$8)</f>
        <v>6.42340858745848E-007</v>
      </c>
      <c r="EF55" s="1" t="n">
        <f aca="false">(ED55-EE55)^2</f>
        <v>4.12601767404088E-013</v>
      </c>
      <c r="EH55" s="1" t="n">
        <f aca="false">$AM55</f>
        <v>44</v>
      </c>
      <c r="EI55" s="1" t="n">
        <f aca="false">DE55</f>
        <v>0</v>
      </c>
      <c r="EJ55" s="1" t="n">
        <f aca="false">EJ$7*EXP(-EH55/EJ$8)</f>
        <v>0.00200420409482948</v>
      </c>
      <c r="EK55" s="1" t="n">
        <f aca="false">(EI55-EJ55)^2</f>
        <v>4.01683405373126E-006</v>
      </c>
      <c r="EM55" s="1" t="n">
        <f aca="false">AM55</f>
        <v>44</v>
      </c>
      <c r="EN55" s="1" t="n">
        <f aca="false">DN55</f>
        <v>0</v>
      </c>
      <c r="EO55" s="1" t="n">
        <f aca="false">EO$7*EXP(-EM55/EO$8)</f>
        <v>0.000697992096895071</v>
      </c>
      <c r="EP55" s="1" t="n">
        <f aca="false">(EN55-EO55)^2</f>
        <v>4.87192967327978E-007</v>
      </c>
      <c r="ER55" s="1" t="n">
        <f aca="false">$AM55</f>
        <v>44</v>
      </c>
      <c r="ES55" s="1" t="n">
        <f aca="false">BZ55</f>
        <v>0</v>
      </c>
      <c r="ET55" s="1" t="n">
        <f aca="false">ET$7*EXP(-ER55/ET$8)</f>
        <v>3.26356685567166E-021</v>
      </c>
      <c r="EU55" s="1" t="n">
        <f aca="false">(ES55-ET55)^2</f>
        <v>1.06508686214386E-041</v>
      </c>
      <c r="EW55" s="1" t="n">
        <f aca="false">$AM55</f>
        <v>44</v>
      </c>
      <c r="EX55" s="1" t="n">
        <f aca="false">CI55</f>
        <v>0</v>
      </c>
      <c r="EY55" s="1" t="n">
        <f aca="false">EY$7*EXP(-EW55/EY$8)</f>
        <v>2.45647310922657E-019</v>
      </c>
      <c r="EZ55" s="1" t="n">
        <f aca="false">(EX55-EY55)^2</f>
        <v>6.03426013635325E-038</v>
      </c>
      <c r="FB55" s="1" t="n">
        <f aca="false">$AM55</f>
        <v>44</v>
      </c>
      <c r="FC55" s="1" t="n">
        <f aca="false">CR55</f>
        <v>0</v>
      </c>
      <c r="FD55" s="1" t="n">
        <f aca="false">FD$7*EXP(-FB55/FD$8)</f>
        <v>1.12567531260738E-016</v>
      </c>
      <c r="FE55" s="1" t="n">
        <f aca="false">(FC55-FD55)^2</f>
        <v>1.26714490941372E-032</v>
      </c>
      <c r="FG55" s="1" t="n">
        <f aca="false">$AM55</f>
        <v>44</v>
      </c>
      <c r="FH55" s="1" t="n">
        <f aca="false">DA55</f>
        <v>0</v>
      </c>
      <c r="FI55" s="1" t="n">
        <f aca="false">FI$7*EXP(-FG55/FI$8)</f>
        <v>2.99906811474109E-014</v>
      </c>
      <c r="FJ55" s="1" t="n">
        <f aca="false">(FH55-FI55)^2</f>
        <v>8.99440955685668E-028</v>
      </c>
      <c r="FL55" s="1" t="n">
        <f aca="false">EM55</f>
        <v>44</v>
      </c>
      <c r="FM55" s="1" t="n">
        <f aca="false">DJ55</f>
        <v>0</v>
      </c>
      <c r="FN55" s="1" t="n">
        <f aca="false">FN$7*EXP(-FL55/FN$8)</f>
        <v>3.09844733596008E-011</v>
      </c>
      <c r="FO55" s="1" t="n">
        <f aca="false">(FM55-FN55)^2</f>
        <v>9.60037589371812E-022</v>
      </c>
      <c r="FQ55" s="1" t="n">
        <f aca="false">AM55</f>
        <v>44</v>
      </c>
      <c r="FR55" s="1" t="n">
        <f aca="false">AN55/AN$9*100</f>
        <v>0</v>
      </c>
      <c r="FS55" s="1" t="n">
        <f aca="false">AO55/AO$9*100</f>
        <v>0</v>
      </c>
      <c r="FT55" s="1" t="n">
        <f aca="false">AQ55/AQ$9*100</f>
        <v>0</v>
      </c>
      <c r="FU55" s="1" t="n">
        <f aca="false">AR55/AR$9*100</f>
        <v>0</v>
      </c>
      <c r="FV55" s="1" t="n">
        <f aca="false">AT55/AT$9*100</f>
        <v>0</v>
      </c>
      <c r="FW55" s="1" t="n">
        <f aca="false">AU55/AU$9*100</f>
        <v>0</v>
      </c>
      <c r="FX55" s="1" t="n">
        <f aca="false">AW55/AW$9*100</f>
        <v>0</v>
      </c>
      <c r="FY55" s="1" t="n">
        <f aca="false">AX55/AX$9*100</f>
        <v>0</v>
      </c>
      <c r="FZ55" s="1" t="n">
        <f aca="false">AZ55/AZ$9*100</f>
        <v>0</v>
      </c>
      <c r="GA55" s="1" t="n">
        <f aca="false">BA55/BA$9*100</f>
        <v>0</v>
      </c>
      <c r="GB55" s="1" t="n">
        <f aca="false">BC55/BC$9*100</f>
        <v>0</v>
      </c>
      <c r="GC55" s="1" t="n">
        <f aca="false">BD55/BD$9*100</f>
        <v>0</v>
      </c>
      <c r="GD55" s="1" t="n">
        <f aca="false">BF55/BF$9*100</f>
        <v>0</v>
      </c>
      <c r="GE55" s="1" t="n">
        <f aca="false">BG55/BG$9*100</f>
        <v>0</v>
      </c>
      <c r="GF55" s="1" t="n">
        <f aca="false">BI55/BI$9*100</f>
        <v>0</v>
      </c>
      <c r="GG55" s="1" t="n">
        <f aca="false">BJ55/BJ$9*100</f>
        <v>0</v>
      </c>
      <c r="GH55" s="1" t="n">
        <f aca="false">BL55/BL$9*100</f>
        <v>0</v>
      </c>
      <c r="GI55" s="1" t="n">
        <f aca="false">BM55/BM$9*100</f>
        <v>0</v>
      </c>
      <c r="GJ55" s="1" t="n">
        <f aca="false">BO55/BO$9*100</f>
        <v>0</v>
      </c>
      <c r="GK55" s="1" t="n">
        <f aca="false">BP55/BP$9*100</f>
        <v>0</v>
      </c>
      <c r="GL55" s="1" t="n">
        <f aca="false">BR55/BR$9*100</f>
        <v>0.50251256281407</v>
      </c>
      <c r="GM55" s="1" t="n">
        <f aca="false">BS55/BS$9*100</f>
        <v>0</v>
      </c>
      <c r="GO55" s="1" t="n">
        <f aca="false">$AM55</f>
        <v>44</v>
      </c>
      <c r="GP55" s="1" t="n">
        <f aca="false">FT55</f>
        <v>0</v>
      </c>
      <c r="GQ55" s="1" t="n">
        <f aca="false">GQ$6*(1+GQ$5*(-1)^$FQ55)*EXP(-$FQ55/GQ$4)</f>
        <v>6.8498749810634E-013</v>
      </c>
      <c r="GR55" s="1" t="n">
        <f aca="false">(GP55-GQ55)^2</f>
        <v>4.69207872561983E-025</v>
      </c>
      <c r="GS55" s="1" t="n">
        <f aca="false">EXP($FQ55/$JG$4)*GP55</f>
        <v>0</v>
      </c>
      <c r="GT55" s="1" t="n">
        <f aca="false">EXP($FQ55/$JG$4)*(-1)^$FQ55*GP55</f>
        <v>0</v>
      </c>
      <c r="GU55" s="1" t="n">
        <f aca="false">(-1)^GO55*GP55</f>
        <v>0</v>
      </c>
      <c r="GW55" s="1" t="n">
        <f aca="false">$AM55</f>
        <v>44</v>
      </c>
      <c r="GX55" s="1" t="n">
        <f aca="false">FX55</f>
        <v>0</v>
      </c>
      <c r="GY55" s="1" t="n">
        <f aca="false">GY$6*(1+GY$5*(-1)^$FQ55)*EXP(-$FQ55/GY$4)</f>
        <v>6.8498749810634E-013</v>
      </c>
      <c r="GZ55" s="1" t="n">
        <f aca="false">(GX55-GY55)^2</f>
        <v>4.69207872561983E-025</v>
      </c>
      <c r="HA55" s="1" t="n">
        <f aca="false">EXP($FQ55/$JG$4)*GX55</f>
        <v>0</v>
      </c>
      <c r="HB55" s="1" t="n">
        <f aca="false">EXP($FQ55/$JG$4)*(-1)^$FQ55*GX55</f>
        <v>0</v>
      </c>
      <c r="HC55" s="1" t="n">
        <f aca="false">(-1)^GW55*GX55</f>
        <v>0</v>
      </c>
      <c r="HE55" s="1" t="n">
        <f aca="false">$AM55</f>
        <v>44</v>
      </c>
      <c r="HF55" s="1" t="n">
        <f aca="false">GB55</f>
        <v>0</v>
      </c>
      <c r="HG55" s="1" t="n">
        <f aca="false">HG$6*(1+HG$5*(-1)^$FQ55)*EXP(-$FQ55/HG$4)</f>
        <v>6.8498749810634E-013</v>
      </c>
      <c r="HH55" s="1" t="n">
        <f aca="false">(HF55-HG55)^2</f>
        <v>4.69207872561983E-025</v>
      </c>
      <c r="HI55" s="1" t="n">
        <f aca="false">EXP($FQ55/$JG$4)*HF55</f>
        <v>0</v>
      </c>
      <c r="HJ55" s="1" t="n">
        <f aca="false">EXP($FQ55/$JG$4)*(-1)^$FQ55*HF55</f>
        <v>0</v>
      </c>
      <c r="HK55" s="1" t="n">
        <f aca="false">(-1)^HE55*HF55</f>
        <v>0</v>
      </c>
      <c r="HM55" s="1" t="n">
        <f aca="false">$AM55</f>
        <v>44</v>
      </c>
      <c r="HN55" s="1" t="n">
        <f aca="false">GF55</f>
        <v>0</v>
      </c>
      <c r="HO55" s="1" t="n">
        <f aca="false">HO$6*(1+HO$5*(-1)^$FQ55)*EXP(-$FQ55/HO$4)</f>
        <v>5.96428959893457E-010</v>
      </c>
      <c r="HP55" s="1" t="n">
        <f aca="false">(HN55-HO55)^2</f>
        <v>3.55727504199591E-019</v>
      </c>
      <c r="HQ55" s="1" t="n">
        <f aca="false">EXP($FQ55/$JG$4)*HN55</f>
        <v>0</v>
      </c>
      <c r="HR55" s="1" t="n">
        <f aca="false">EXP($FQ55/$JG$4)*(-1)^$FQ55*HN55</f>
        <v>0</v>
      </c>
      <c r="HS55" s="1" t="n">
        <f aca="false">(-1)^HM55*HN55</f>
        <v>0</v>
      </c>
      <c r="HU55" s="1" t="n">
        <f aca="false">$AM55</f>
        <v>44</v>
      </c>
      <c r="HV55" s="1" t="n">
        <f aca="false">GJ55</f>
        <v>0</v>
      </c>
      <c r="HW55" s="1" t="n">
        <f aca="false">HW$6*(1+HW$5*(-1)^$FQ55)*EXP(-$FQ55/HW$4)</f>
        <v>3.28368005313883E-007</v>
      </c>
      <c r="HX55" s="1" t="n">
        <f aca="false">(HV55-HW55)^2</f>
        <v>1.07825546913818E-013</v>
      </c>
      <c r="HY55" s="1" t="n">
        <f aca="false">EXP($FQ55/$JG$4)*HV55</f>
        <v>0</v>
      </c>
      <c r="HZ55" s="1" t="n">
        <f aca="false">EXP($FQ55/$JG$4)*(-1)^$FQ55*HV55</f>
        <v>0</v>
      </c>
      <c r="IA55" s="1" t="n">
        <f aca="false">(-1)^HU55*HV55</f>
        <v>0</v>
      </c>
      <c r="IB55" s="1" t="n">
        <v>0</v>
      </c>
      <c r="ID55" s="1" t="n">
        <f aca="false">$AM55</f>
        <v>44</v>
      </c>
      <c r="IE55" s="1" t="n">
        <f aca="false">FZ55</f>
        <v>0</v>
      </c>
      <c r="IF55" s="1" t="n">
        <f aca="false">IF$6*(1+IF$5*(-1)^$FQ55)*EXP(-$FQ55/IF$4)</f>
        <v>2.35380437497353E-005</v>
      </c>
      <c r="IG55" s="1" t="n">
        <f aca="false">(IE55-IF55)^2</f>
        <v>5.54039503564453E-010</v>
      </c>
      <c r="IH55" s="1" t="n">
        <f aca="false">EXP($FQ55/$JG$4)*IE55</f>
        <v>0</v>
      </c>
      <c r="II55" s="1" t="n">
        <f aca="false">EXP($FQ55/$JG$4)*(-1)^$FQ55*IE55</f>
        <v>0</v>
      </c>
      <c r="IJ55" s="1" t="n">
        <f aca="false">(-1)^ID55*IE55</f>
        <v>0</v>
      </c>
      <c r="IK55" s="1" t="n">
        <v>0</v>
      </c>
      <c r="IM55" s="1" t="n">
        <f aca="false">$AM55</f>
        <v>44</v>
      </c>
      <c r="IN55" s="1" t="n">
        <f aca="false">GD55</f>
        <v>0</v>
      </c>
      <c r="IO55" s="1" t="n">
        <f aca="false">IO$6*(1+IO$5*(-1)^$FQ55)*EXP(-$FQ55/IO$4)</f>
        <v>0.000165916555924982</v>
      </c>
      <c r="IP55" s="1" t="n">
        <f aca="false">(IN55-IO55)^2</f>
        <v>2.75283035300077E-008</v>
      </c>
      <c r="IQ55" s="1" t="n">
        <f aca="false">EXP($FQ55/$JG$4)*IN55</f>
        <v>0</v>
      </c>
      <c r="IR55" s="1" t="n">
        <f aca="false">EXP($FQ55/$JG$4)*(-1)^$FQ55*IN55</f>
        <v>0</v>
      </c>
      <c r="IS55" s="1" t="n">
        <f aca="false">(-1)^IM55*IN55</f>
        <v>0</v>
      </c>
      <c r="IT55" s="1" t="n">
        <v>0</v>
      </c>
      <c r="IV55" s="1" t="n">
        <f aca="false">$AM55</f>
        <v>44</v>
      </c>
      <c r="IW55" s="1" t="n">
        <f aca="false">GH55</f>
        <v>0</v>
      </c>
      <c r="IX55" s="1" t="n">
        <f aca="false">IX$6*(1+IX$5*(-1)^$FQ55)*EXP(-$FQ55/IX$4)</f>
        <v>0.00755625407080362</v>
      </c>
      <c r="IY55" s="1" t="n">
        <f aca="false">(IW55-IX55)^2</f>
        <v>5.70969755825363E-005</v>
      </c>
      <c r="IZ55" s="1" t="n">
        <f aca="false">EXP($FQ55/$JG$4)*IW55</f>
        <v>0</v>
      </c>
      <c r="JA55" s="1" t="n">
        <f aca="false">EXP($FQ55/$JG$4)*(-1)^$FQ55*IW55</f>
        <v>0</v>
      </c>
      <c r="JB55" s="1" t="n">
        <f aca="false">(-1)^IV55*IW55</f>
        <v>0</v>
      </c>
      <c r="JE55" s="1" t="n">
        <f aca="false">$AM55</f>
        <v>44</v>
      </c>
      <c r="JF55" s="1" t="n">
        <f aca="false">GL55</f>
        <v>0.50251256281407</v>
      </c>
      <c r="JG55" s="1" t="n">
        <f aca="false">JG$6*(1+JG$5*(-1)^$FQ55)*EXP(-$FQ55/JG$4)</f>
        <v>0.00171267003307474</v>
      </c>
      <c r="JH55" s="1" t="n">
        <f aca="false">(JF55-JG55)^2</f>
        <v>0.250800532609457</v>
      </c>
      <c r="JI55" s="1" t="n">
        <f aca="false">EXP($FQ55/$JG$4)*JF55</f>
        <v>14650.6384403144</v>
      </c>
      <c r="JJ55" s="1" t="n">
        <f aca="false">EXP($FQ55/$JG$4)*(-1)^$FQ55*JF55</f>
        <v>14650.6384403144</v>
      </c>
      <c r="JK55" s="1" t="n">
        <f aca="false">(-1)^JE55*JF55</f>
        <v>0.50251256281407</v>
      </c>
      <c r="JO55" s="1" t="n">
        <f aca="false">$AM55</f>
        <v>44</v>
      </c>
      <c r="JP55" s="1" t="n">
        <f aca="false">GM55</f>
        <v>0</v>
      </c>
      <c r="JQ55" s="1" t="n">
        <f aca="false">JQ$6*(1+JQ$5*(-1)^$FQ55)*EXP(-$FQ55/JQ$4)</f>
        <v>0.425735870493914</v>
      </c>
      <c r="JR55" s="1" t="n">
        <f aca="false">(JP55-JQ55)^2</f>
        <v>0.181251031425211</v>
      </c>
      <c r="JS55" s="1" t="n">
        <f aca="false">EXP($FQ55/$JG$4)*JP55</f>
        <v>0</v>
      </c>
      <c r="JT55" s="1" t="n">
        <f aca="false">EXP($FQ55/$JG$4)*(-1)^$FQ55*JP55</f>
        <v>0</v>
      </c>
      <c r="JU55" s="1" t="n">
        <f aca="false">(-1)^JO55*JP55</f>
        <v>0</v>
      </c>
    </row>
    <row r="56" customFormat="false" ht="16" hidden="false" customHeight="false" outlineLevel="0" collapsed="false">
      <c r="A56" s="1" t="n">
        <v>1</v>
      </c>
      <c r="B56" s="1" t="n">
        <v>1</v>
      </c>
      <c r="C56" s="1" t="n">
        <f aca="false">B56-A56</f>
        <v>0</v>
      </c>
      <c r="D56" s="1" t="n">
        <v>1</v>
      </c>
      <c r="E56" s="1" t="n">
        <v>3</v>
      </c>
      <c r="F56" s="1" t="n">
        <f aca="false">E56-D56</f>
        <v>2</v>
      </c>
      <c r="G56" s="1" t="n">
        <v>3</v>
      </c>
      <c r="H56" s="1" t="n">
        <v>3</v>
      </c>
      <c r="I56" s="1" t="n">
        <f aca="false">H56-G56</f>
        <v>0</v>
      </c>
      <c r="J56" s="1" t="n">
        <v>4</v>
      </c>
      <c r="K56" s="1" t="n">
        <v>4</v>
      </c>
      <c r="L56" s="1" t="n">
        <f aca="false">K56-J56</f>
        <v>0</v>
      </c>
      <c r="M56" s="1" t="n">
        <v>1</v>
      </c>
      <c r="N56" s="1" t="n">
        <v>1</v>
      </c>
      <c r="O56" s="1" t="n">
        <f aca="false">N56-M56</f>
        <v>0</v>
      </c>
      <c r="P56" s="1" t="n">
        <v>4</v>
      </c>
      <c r="Q56" s="1" t="n">
        <v>6</v>
      </c>
      <c r="R56" s="1" t="n">
        <f aca="false">Q56-P56</f>
        <v>2</v>
      </c>
      <c r="S56" s="1" t="n">
        <v>5</v>
      </c>
      <c r="T56" s="1" t="n">
        <v>9</v>
      </c>
      <c r="U56" s="1" t="n">
        <f aca="false">T56-S56</f>
        <v>4</v>
      </c>
      <c r="V56" s="1" t="n">
        <v>4</v>
      </c>
      <c r="W56" s="1" t="n">
        <v>5</v>
      </c>
      <c r="X56" s="1" t="n">
        <f aca="false">W56-V56</f>
        <v>1</v>
      </c>
      <c r="Y56" s="1" t="n">
        <v>4</v>
      </c>
      <c r="Z56" s="1" t="n">
        <v>4</v>
      </c>
      <c r="AA56" s="1" t="n">
        <f aca="false">Z56-Y56</f>
        <v>0</v>
      </c>
      <c r="AB56" s="1" t="n">
        <v>2</v>
      </c>
      <c r="AC56" s="1" t="n">
        <v>6</v>
      </c>
      <c r="AD56" s="1" t="n">
        <f aca="false">AC56-AB56</f>
        <v>4</v>
      </c>
      <c r="AE56" s="1" t="n">
        <v>4</v>
      </c>
      <c r="AF56" s="1" t="n">
        <v>12</v>
      </c>
      <c r="AG56" s="1" t="n">
        <f aca="false">AF56-AE56</f>
        <v>8</v>
      </c>
      <c r="AM56" s="1" t="n">
        <v>45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W56" s="1" t="n">
        <f aca="false">$AM56</f>
        <v>45</v>
      </c>
      <c r="BX56" s="1" t="n">
        <f aca="false">MAX(BX55-AN56/AN$9*100,0)</f>
        <v>0</v>
      </c>
      <c r="BY56" s="1" t="n">
        <f aca="false">MAX(BY55-AO56/AO$9*100,0)</f>
        <v>0</v>
      </c>
      <c r="BZ56" s="1" t="n">
        <f aca="false">MAX(BZ55-AQ56/AQ$9*100,0)</f>
        <v>0</v>
      </c>
      <c r="CA56" s="1" t="n">
        <f aca="false">MAX(CA55-AR56/AR$9*100,0)</f>
        <v>0</v>
      </c>
      <c r="CB56" s="1" t="n">
        <f aca="false">CB$7*EXP(-$AM56/CB$8)</f>
        <v>8.69560775354458E-024</v>
      </c>
      <c r="CC56" s="1" t="n">
        <f aca="false">(BZ56-CB56)^2</f>
        <v>7.56135942035046E-047</v>
      </c>
      <c r="CD56" s="1" t="n">
        <f aca="false">MAX(CD55-AT56/AT$9*100,0)</f>
        <v>0</v>
      </c>
      <c r="CE56" s="1" t="n">
        <f aca="false">MAX(CE55-AU56/AU$9*100,0)</f>
        <v>5.32907051820075E-015</v>
      </c>
      <c r="CF56" s="1" t="n">
        <f aca="false">CF$7*EXP(-$AM56/CF$8)</f>
        <v>3.8181502376998E-023</v>
      </c>
      <c r="CG56" s="1" t="n">
        <f aca="false">(CD56-CF56)^2</f>
        <v>1.4578271237647E-045</v>
      </c>
      <c r="CH56" s="1" t="n">
        <f aca="false">$AM56</f>
        <v>45</v>
      </c>
      <c r="CI56" s="1" t="n">
        <f aca="false">MAX(CI55-AW56/AW$9*100,0)</f>
        <v>0</v>
      </c>
      <c r="CJ56" s="1" t="n">
        <f aca="false">MAX(CJ55-AX56/AX$9*100,0)</f>
        <v>0</v>
      </c>
      <c r="CK56" s="1" t="n">
        <f aca="false">CK$7*EXP(-$AM56/CK$8)</f>
        <v>3.52197349208475E-015</v>
      </c>
      <c r="CL56" s="1" t="n">
        <f aca="false">(CI56-CK56)^2</f>
        <v>1.24042972789476E-029</v>
      </c>
      <c r="CM56" s="1" t="n">
        <f aca="false">MAX(CM55-AZ56/AZ$9*100,0)</f>
        <v>0</v>
      </c>
      <c r="CN56" s="1" t="n">
        <f aca="false">MAX(CN55-BA56/BA$9*100,0)</f>
        <v>5.32907051820075E-015</v>
      </c>
      <c r="CO56" s="1" t="n">
        <f aca="false">CO$7*EXP(-$AM56/CO$8)</f>
        <v>5.34635215177334E-008</v>
      </c>
      <c r="CP56" s="1" t="n">
        <f aca="false">(CM56-CO56)^2</f>
        <v>2.85834813307714E-015</v>
      </c>
      <c r="CQ56" s="1" t="n">
        <f aca="false">$AM56</f>
        <v>45</v>
      </c>
      <c r="CR56" s="1" t="n">
        <f aca="false">MAX(CR55-BC56/BC$9*100,0)</f>
        <v>0</v>
      </c>
      <c r="CS56" s="1" t="n">
        <f aca="false">MAX(CS55-BD56/BD$9*100,0)</f>
        <v>0</v>
      </c>
      <c r="CT56" s="1" t="n">
        <f aca="false">CT$7*EXP(-$AM56/CT$8)</f>
        <v>6.01077097622627E-014</v>
      </c>
      <c r="CU56" s="1" t="n">
        <f aca="false">(CR56-CT56)^2</f>
        <v>3.61293677286441E-027</v>
      </c>
      <c r="CV56" s="1" t="n">
        <f aca="false">MAX(CV55-BF56/BF$9*100,0)</f>
        <v>8.88178419700125E-015</v>
      </c>
      <c r="CW56" s="1" t="n">
        <f aca="false">MAX(CW55-BG56/BG$9*100,0)</f>
        <v>5.32907051820075E-015</v>
      </c>
      <c r="CX56" s="1" t="n">
        <f aca="false">CX$7*EXP(-$AM56/CX$8)</f>
        <v>1.13231185727055E-006</v>
      </c>
      <c r="CY56" s="1" t="n">
        <f aca="false">(CV56-CX56)^2</f>
        <v>1.28213012200158E-012</v>
      </c>
      <c r="CZ56" s="1" t="n">
        <f aca="false">$AM56</f>
        <v>45</v>
      </c>
      <c r="DA56" s="1" t="n">
        <f aca="false">MAX(DA55-BI56/BI$9*100,0)</f>
        <v>0</v>
      </c>
      <c r="DB56" s="1" t="n">
        <f aca="false">MAX(DB55-BJ56/BJ$9*100,0)</f>
        <v>9.88098491916389E-015</v>
      </c>
      <c r="DC56" s="1" t="n">
        <f aca="false">DC$7*EXP(-$AM56/DC$8)</f>
        <v>8.68905941412715E-013</v>
      </c>
      <c r="DD56" s="1" t="n">
        <f aca="false">(DA56-DC56)^2</f>
        <v>7.54997535022317E-025</v>
      </c>
      <c r="DE56" s="1" t="n">
        <f aca="false">MAX(DE55-BL56/BL$9*100,0)</f>
        <v>0</v>
      </c>
      <c r="DF56" s="1" t="n">
        <f aca="false">MAX(DF55-BM56/BM$9*100,0)</f>
        <v>0.636942675159225</v>
      </c>
      <c r="DG56" s="1" t="n">
        <f aca="false">DG$7*EXP(-$AM56/DG$8)</f>
        <v>0.00156737936731515</v>
      </c>
      <c r="DH56" s="1" t="n">
        <f aca="false">(DE56-DG56)^2</f>
        <v>2.45667808108524E-006</v>
      </c>
      <c r="DI56" s="1" t="n">
        <f aca="false">$AM56</f>
        <v>45</v>
      </c>
      <c r="DJ56" s="1" t="n">
        <f aca="false">MAX(DJ55-BO56/BO$9*100,0)</f>
        <v>0</v>
      </c>
      <c r="DK56" s="1" t="n">
        <f aca="false">MAX(DK55-BP56/BP$9*100,0)</f>
        <v>9.99200722162641E-015</v>
      </c>
      <c r="DL56" s="1" t="n">
        <f aca="false">DL$7*EXP(-$AM56/DL$8)</f>
        <v>1.53591187624995E-010</v>
      </c>
      <c r="DM56" s="1" t="n">
        <f aca="false">(DJ56-DL56)^2</f>
        <v>2.35902529160564E-020</v>
      </c>
      <c r="DN56" s="1" t="n">
        <f aca="false">MAX(DN55-BR56/BR$9*100,0)</f>
        <v>0</v>
      </c>
      <c r="DO56" s="1" t="n">
        <f aca="false">MAX(DO55-BS56/BS$9*100,0)</f>
        <v>0.502512562814067</v>
      </c>
      <c r="DP56" s="1" t="n">
        <f aca="false">DP$7*EXP(-$AM56/DP$8)</f>
        <v>0.000354836190790867</v>
      </c>
      <c r="DQ56" s="1" t="n">
        <f aca="false">(DN56-DP56)^2</f>
        <v>1.25908722294973E-007</v>
      </c>
      <c r="DS56" s="1" t="n">
        <f aca="false">$AM56</f>
        <v>45</v>
      </c>
      <c r="DT56" s="1" t="n">
        <f aca="false">CA56</f>
        <v>0</v>
      </c>
      <c r="DU56" s="1" t="n">
        <f aca="false">DU$7*EXP(-DS56/DU$8)</f>
        <v>1.16012678595184E-018</v>
      </c>
      <c r="DV56" s="1" t="n">
        <f aca="false">(DT56-DU56)^2</f>
        <v>1.34589415948295E-036</v>
      </c>
      <c r="DX56" s="1" t="n">
        <f aca="false">$AM56</f>
        <v>45</v>
      </c>
      <c r="DY56" s="1" t="n">
        <f aca="false">CM56</f>
        <v>0</v>
      </c>
      <c r="DZ56" s="1" t="n">
        <f aca="false">DZ$7*EXP(-DX56/DZ$8)</f>
        <v>1.65692254555154E-009</v>
      </c>
      <c r="EA56" s="1" t="n">
        <f aca="false">(DY56-DZ56)^2</f>
        <v>2.745392321957E-018</v>
      </c>
      <c r="EC56" s="1" t="n">
        <f aca="false">$AM56</f>
        <v>45</v>
      </c>
      <c r="ED56" s="1" t="n">
        <f aca="false">CV56</f>
        <v>8.88178419700125E-015</v>
      </c>
      <c r="EE56" s="1" t="n">
        <f aca="false">EE$7*EXP(-EC56/EE$8)</f>
        <v>4.1506613654978E-007</v>
      </c>
      <c r="EF56" s="1" t="n">
        <f aca="false">(ED56-EE56)^2</f>
        <v>1.72279890337305E-013</v>
      </c>
      <c r="EH56" s="1" t="n">
        <f aca="false">$AM56</f>
        <v>45</v>
      </c>
      <c r="EI56" s="1" t="n">
        <f aca="false">DE56</f>
        <v>0</v>
      </c>
      <c r="EJ56" s="1" t="n">
        <f aca="false">EJ$7*EXP(-EH56/EJ$8)</f>
        <v>0.00156087571848811</v>
      </c>
      <c r="EK56" s="1" t="n">
        <f aca="false">(EI56-EJ56)^2</f>
        <v>2.43633300856577E-006</v>
      </c>
      <c r="EM56" s="1" t="n">
        <f aca="false">AM56</f>
        <v>45</v>
      </c>
      <c r="EN56" s="1" t="n">
        <f aca="false">DN56</f>
        <v>0</v>
      </c>
      <c r="EO56" s="1" t="n">
        <f aca="false">EO$7*EXP(-EM56/EO$8)</f>
        <v>0.000530720319631474</v>
      </c>
      <c r="EP56" s="1" t="n">
        <f aca="false">(EN56-EO56)^2</f>
        <v>2.81664057669734E-007</v>
      </c>
      <c r="ER56" s="1" t="n">
        <f aca="false">$AM56</f>
        <v>45</v>
      </c>
      <c r="ES56" s="1" t="n">
        <f aca="false">BZ56</f>
        <v>0</v>
      </c>
      <c r="ET56" s="1" t="n">
        <f aca="false">ET$7*EXP(-ER56/ET$8)</f>
        <v>9.92373762732097E-022</v>
      </c>
      <c r="EU56" s="1" t="n">
        <f aca="false">(ES56-ET56)^2</f>
        <v>9.8480568495906E-043</v>
      </c>
      <c r="EW56" s="1" t="n">
        <f aca="false">$AM56</f>
        <v>45</v>
      </c>
      <c r="EX56" s="1" t="n">
        <f aca="false">CI56</f>
        <v>0</v>
      </c>
      <c r="EY56" s="1" t="n">
        <f aca="false">EY$7*EXP(-EW56/EY$8)</f>
        <v>8.18587919031526E-020</v>
      </c>
      <c r="EZ56" s="1" t="n">
        <f aca="false">(EX56-EY56)^2</f>
        <v>6.70086181184364E-039</v>
      </c>
      <c r="FB56" s="1" t="n">
        <f aca="false">$AM56</f>
        <v>45</v>
      </c>
      <c r="FC56" s="1" t="n">
        <f aca="false">CR56</f>
        <v>0</v>
      </c>
      <c r="FD56" s="1" t="n">
        <f aca="false">FD$7*EXP(-FB56/FD$8)</f>
        <v>4.34309520175462E-017</v>
      </c>
      <c r="FE56" s="1" t="n">
        <f aca="false">(FC56-FD56)^2</f>
        <v>1.8862475931504E-033</v>
      </c>
      <c r="FG56" s="1" t="n">
        <f aca="false">$AM56</f>
        <v>45</v>
      </c>
      <c r="FH56" s="1" t="n">
        <f aca="false">DA56</f>
        <v>0</v>
      </c>
      <c r="FI56" s="1" t="n">
        <f aca="false">FI$7*EXP(-FG56/FI$8)</f>
        <v>1.31239712439948E-014</v>
      </c>
      <c r="FJ56" s="1" t="n">
        <f aca="false">(FH56-FI56)^2</f>
        <v>1.72238621213202E-028</v>
      </c>
      <c r="FL56" s="1" t="n">
        <f aca="false">EM56</f>
        <v>45</v>
      </c>
      <c r="FM56" s="1" t="n">
        <f aca="false">DJ56</f>
        <v>0</v>
      </c>
      <c r="FN56" s="1" t="n">
        <f aca="false">FN$7*EXP(-FL56/FN$8)</f>
        <v>1.59079590470283E-011</v>
      </c>
      <c r="FO56" s="1" t="n">
        <f aca="false">(FM56-FN56)^2</f>
        <v>2.5306316104193E-022</v>
      </c>
      <c r="FQ56" s="1" t="n">
        <f aca="false">AM56</f>
        <v>45</v>
      </c>
      <c r="FR56" s="1" t="n">
        <f aca="false">AN56/AN$9*100</f>
        <v>0</v>
      </c>
      <c r="FS56" s="1" t="n">
        <f aca="false">AO56/AO$9*100</f>
        <v>0</v>
      </c>
      <c r="FT56" s="1" t="n">
        <f aca="false">AQ56/AQ$9*100</f>
        <v>0</v>
      </c>
      <c r="FU56" s="1" t="n">
        <f aca="false">AR56/AR$9*100</f>
        <v>0</v>
      </c>
      <c r="FV56" s="1" t="n">
        <f aca="false">AT56/AT$9*100</f>
        <v>0</v>
      </c>
      <c r="FW56" s="1" t="n">
        <f aca="false">AU56/AU$9*100</f>
        <v>0</v>
      </c>
      <c r="FX56" s="1" t="n">
        <f aca="false">AW56/AW$9*100</f>
        <v>0</v>
      </c>
      <c r="FY56" s="1" t="n">
        <f aca="false">AX56/AX$9*100</f>
        <v>0</v>
      </c>
      <c r="FZ56" s="1" t="n">
        <f aca="false">AZ56/AZ$9*100</f>
        <v>0</v>
      </c>
      <c r="GA56" s="1" t="n">
        <f aca="false">BA56/BA$9*100</f>
        <v>0</v>
      </c>
      <c r="GB56" s="1" t="n">
        <f aca="false">BC56/BC$9*100</f>
        <v>0</v>
      </c>
      <c r="GC56" s="1" t="n">
        <f aca="false">BD56/BD$9*100</f>
        <v>0</v>
      </c>
      <c r="GD56" s="1" t="n">
        <f aca="false">BF56/BF$9*100</f>
        <v>0</v>
      </c>
      <c r="GE56" s="1" t="n">
        <f aca="false">BG56/BG$9*100</f>
        <v>0</v>
      </c>
      <c r="GF56" s="1" t="n">
        <f aca="false">BI56/BI$9*100</f>
        <v>0</v>
      </c>
      <c r="GG56" s="1" t="n">
        <f aca="false">BJ56/BJ$9*100</f>
        <v>0</v>
      </c>
      <c r="GH56" s="1" t="n">
        <f aca="false">BL56/BL$9*100</f>
        <v>0</v>
      </c>
      <c r="GI56" s="1" t="n">
        <f aca="false">BM56/BM$9*100</f>
        <v>0</v>
      </c>
      <c r="GJ56" s="1" t="n">
        <f aca="false">BO56/BO$9*100</f>
        <v>0</v>
      </c>
      <c r="GK56" s="1" t="n">
        <f aca="false">BP56/BP$9*100</f>
        <v>0</v>
      </c>
      <c r="GL56" s="1" t="n">
        <f aca="false">BR56/BR$9*100</f>
        <v>0</v>
      </c>
      <c r="GM56" s="1" t="n">
        <f aca="false">BS56/BS$9*100</f>
        <v>0</v>
      </c>
      <c r="GO56" s="1" t="n">
        <f aca="false">$AM56</f>
        <v>45</v>
      </c>
      <c r="GP56" s="1" t="n">
        <f aca="false">FT56</f>
        <v>0</v>
      </c>
      <c r="GQ56" s="1" t="n">
        <f aca="false">GQ$6*(1+GQ$5*(-1)^$FQ56)*EXP(-$FQ56/GQ$4)</f>
        <v>1.09914650091326E-013</v>
      </c>
      <c r="GR56" s="1" t="n">
        <f aca="false">(GP56-GQ56)^2</f>
        <v>1.20812303046986E-026</v>
      </c>
      <c r="GS56" s="1" t="n">
        <f aca="false">EXP($FQ56/$JG$4)*GP56</f>
        <v>0</v>
      </c>
      <c r="GT56" s="1" t="n">
        <f aca="false">EXP($FQ56/$JG$4)*(-1)^$FQ56*GP56</f>
        <v>-0</v>
      </c>
      <c r="GU56" s="1" t="n">
        <f aca="false">(-1)^GO56*GP56</f>
        <v>-0</v>
      </c>
      <c r="GW56" s="1" t="n">
        <f aca="false">$AM56</f>
        <v>45</v>
      </c>
      <c r="GX56" s="1" t="n">
        <f aca="false">FX56</f>
        <v>0</v>
      </c>
      <c r="GY56" s="1" t="n">
        <f aca="false">GY$6*(1+GY$5*(-1)^$FQ56)*EXP(-$FQ56/GY$4)</f>
        <v>1.09914650091326E-013</v>
      </c>
      <c r="GZ56" s="1" t="n">
        <f aca="false">(GX56-GY56)^2</f>
        <v>1.20812303046986E-026</v>
      </c>
      <c r="HA56" s="1" t="n">
        <f aca="false">EXP($FQ56/$JG$4)*GX56</f>
        <v>0</v>
      </c>
      <c r="HB56" s="1" t="n">
        <f aca="false">EXP($FQ56/$JG$4)*(-1)^$FQ56*GX56</f>
        <v>-0</v>
      </c>
      <c r="HC56" s="1" t="n">
        <f aca="false">(-1)^GW56*GX56</f>
        <v>-0</v>
      </c>
      <c r="HE56" s="1" t="n">
        <f aca="false">$AM56</f>
        <v>45</v>
      </c>
      <c r="HF56" s="1" t="n">
        <f aca="false">GB56</f>
        <v>0</v>
      </c>
      <c r="HG56" s="1" t="n">
        <f aca="false">HG$6*(1+HG$5*(-1)^$FQ56)*EXP(-$FQ56/HG$4)</f>
        <v>1.09914650091326E-013</v>
      </c>
      <c r="HH56" s="1" t="n">
        <f aca="false">(HF56-HG56)^2</f>
        <v>1.20812303046986E-026</v>
      </c>
      <c r="HI56" s="1" t="n">
        <f aca="false">EXP($FQ56/$JG$4)*HF56</f>
        <v>0</v>
      </c>
      <c r="HJ56" s="1" t="n">
        <f aca="false">EXP($FQ56/$JG$4)*(-1)^$FQ56*HF56</f>
        <v>-0</v>
      </c>
      <c r="HK56" s="1" t="n">
        <f aca="false">(-1)^HE56*HF56</f>
        <v>-0</v>
      </c>
      <c r="HM56" s="1" t="n">
        <f aca="false">$AM56</f>
        <v>45</v>
      </c>
      <c r="HN56" s="1" t="n">
        <f aca="false">GF56</f>
        <v>0</v>
      </c>
      <c r="HO56" s="1" t="n">
        <f aca="false">HO$6*(1+HO$5*(-1)^$FQ56)*EXP(-$FQ56/HO$4)</f>
        <v>7.19384041512895E-011</v>
      </c>
      <c r="HP56" s="1" t="n">
        <f aca="false">(HN56-HO56)^2</f>
        <v>5.17513399183427E-021</v>
      </c>
      <c r="HQ56" s="1" t="n">
        <f aca="false">EXP($FQ56/$JG$4)*HN56</f>
        <v>0</v>
      </c>
      <c r="HR56" s="1" t="n">
        <f aca="false">EXP($FQ56/$JG$4)*(-1)^$FQ56*HN56</f>
        <v>-0</v>
      </c>
      <c r="HS56" s="1" t="n">
        <f aca="false">(-1)^HM56*HN56</f>
        <v>-0</v>
      </c>
      <c r="HU56" s="1" t="n">
        <f aca="false">$AM56</f>
        <v>45</v>
      </c>
      <c r="HV56" s="1" t="n">
        <f aca="false">GJ56</f>
        <v>0</v>
      </c>
      <c r="HW56" s="1" t="n">
        <f aca="false">HW$6*(1+HW$5*(-1)^$FQ56)*EXP(-$FQ56/HW$4)</f>
        <v>7.03191933440927E-008</v>
      </c>
      <c r="HX56" s="1" t="n">
        <f aca="false">(HV56-HW56)^2</f>
        <v>4.94478895256389E-015</v>
      </c>
      <c r="HY56" s="1" t="n">
        <f aca="false">EXP($FQ56/$JG$4)*HV56</f>
        <v>0</v>
      </c>
      <c r="HZ56" s="1" t="n">
        <f aca="false">EXP($FQ56/$JG$4)*(-1)^$FQ56*HV56</f>
        <v>-0</v>
      </c>
      <c r="IA56" s="1" t="n">
        <f aca="false">(-1)^HU56*HV56</f>
        <v>-0</v>
      </c>
      <c r="IB56" s="1" t="n">
        <v>0</v>
      </c>
      <c r="ID56" s="1" t="n">
        <f aca="false">$AM56</f>
        <v>45</v>
      </c>
      <c r="IE56" s="1" t="n">
        <f aca="false">FZ56</f>
        <v>0</v>
      </c>
      <c r="IF56" s="1" t="n">
        <f aca="false">IF$6*(1+IF$5*(-1)^$FQ56)*EXP(-$FQ56/IF$4)</f>
        <v>8.68841426417567E-006</v>
      </c>
      <c r="IG56" s="1" t="n">
        <f aca="false">(IE56-IF56)^2</f>
        <v>7.54885424259312E-011</v>
      </c>
      <c r="IH56" s="1" t="n">
        <f aca="false">EXP($FQ56/$JG$4)*IE56</f>
        <v>0</v>
      </c>
      <c r="II56" s="1" t="n">
        <f aca="false">EXP($FQ56/$JG$4)*(-1)^$FQ56*IE56</f>
        <v>-0</v>
      </c>
      <c r="IJ56" s="1" t="n">
        <f aca="false">(-1)^ID56*IE56</f>
        <v>-0</v>
      </c>
      <c r="IK56" s="1" t="n">
        <v>0</v>
      </c>
      <c r="IM56" s="1" t="n">
        <f aca="false">$AM56</f>
        <v>45</v>
      </c>
      <c r="IN56" s="1" t="n">
        <f aca="false">GD56</f>
        <v>0</v>
      </c>
      <c r="IO56" s="1" t="n">
        <f aca="false">IO$6*(1+IO$5*(-1)^$FQ56)*EXP(-$FQ56/IO$4)</f>
        <v>5.73357593601562E-005</v>
      </c>
      <c r="IP56" s="1" t="n">
        <f aca="false">(IN56-IO56)^2</f>
        <v>3.28738930140574E-009</v>
      </c>
      <c r="IQ56" s="1" t="n">
        <f aca="false">EXP($FQ56/$JG$4)*IN56</f>
        <v>0</v>
      </c>
      <c r="IR56" s="1" t="n">
        <f aca="false">EXP($FQ56/$JG$4)*(-1)^$FQ56*IN56</f>
        <v>-0</v>
      </c>
      <c r="IS56" s="1" t="n">
        <f aca="false">(-1)^IM56*IN56</f>
        <v>-0</v>
      </c>
      <c r="IT56" s="1" t="n">
        <v>0</v>
      </c>
      <c r="IV56" s="1" t="n">
        <f aca="false">$AM56</f>
        <v>45</v>
      </c>
      <c r="IW56" s="1" t="n">
        <f aca="false">GH56</f>
        <v>0</v>
      </c>
      <c r="IX56" s="1" t="n">
        <f aca="false">IX$6*(1+IX$5*(-1)^$FQ56)*EXP(-$FQ56/IX$4)</f>
        <v>0.00160758932990809</v>
      </c>
      <c r="IY56" s="1" t="n">
        <f aca="false">(IW56-IX56)^2</f>
        <v>2.58434345363434E-006</v>
      </c>
      <c r="IZ56" s="1" t="n">
        <f aca="false">EXP($FQ56/$JG$4)*IW56</f>
        <v>0</v>
      </c>
      <c r="JA56" s="1" t="n">
        <f aca="false">EXP($FQ56/$JG$4)*(-1)^$FQ56*IW56</f>
        <v>-0</v>
      </c>
      <c r="JB56" s="1" t="n">
        <f aca="false">(-1)^IV56*IW56</f>
        <v>-0</v>
      </c>
      <c r="JE56" s="1" t="n">
        <f aca="false">$AM56</f>
        <v>45</v>
      </c>
      <c r="JF56" s="1" t="n">
        <f aca="false">GL56</f>
        <v>0</v>
      </c>
      <c r="JG56" s="1" t="n">
        <f aca="false">JG$6*(1+JG$5*(-1)^$FQ56)*EXP(-$FQ56/JG$4)</f>
        <v>0.000207085370969569</v>
      </c>
      <c r="JH56" s="1" t="n">
        <f aca="false">(JF56-JG56)^2</f>
        <v>4.2884350869604E-008</v>
      </c>
      <c r="JI56" s="1" t="n">
        <f aca="false">EXP($FQ56/$JG$4)*JF56</f>
        <v>0</v>
      </c>
      <c r="JJ56" s="1" t="n">
        <f aca="false">EXP($FQ56/$JG$4)*(-1)^$FQ56*JF56</f>
        <v>-0</v>
      </c>
      <c r="JK56" s="1" t="n">
        <f aca="false">(-1)^JE56*JF56</f>
        <v>-0</v>
      </c>
      <c r="JO56" s="1" t="n">
        <f aca="false">$AM56</f>
        <v>45</v>
      </c>
      <c r="JP56" s="1" t="n">
        <f aca="false">GM56</f>
        <v>0</v>
      </c>
      <c r="JQ56" s="1" t="n">
        <f aca="false">JQ$6*(1+JQ$5*(-1)^$FQ56)*EXP(-$FQ56/JQ$4)</f>
        <v>0.0748578554849668</v>
      </c>
      <c r="JR56" s="1" t="n">
        <f aca="false">(JP56-JQ56)^2</f>
        <v>0.00560369852780818</v>
      </c>
      <c r="JS56" s="1" t="n">
        <f aca="false">EXP($FQ56/$JG$4)*JP56</f>
        <v>0</v>
      </c>
      <c r="JT56" s="1" t="n">
        <f aca="false">EXP($FQ56/$JG$4)*(-1)^$FQ56*JP56</f>
        <v>-0</v>
      </c>
      <c r="JU56" s="1" t="n">
        <f aca="false">(-1)^JO56*JP56</f>
        <v>-0</v>
      </c>
    </row>
    <row r="57" customFormat="false" ht="16" hidden="false" customHeight="false" outlineLevel="0" collapsed="false">
      <c r="A57" s="1" t="n">
        <v>2</v>
      </c>
      <c r="B57" s="1" t="n">
        <v>2</v>
      </c>
      <c r="C57" s="1" t="n">
        <f aca="false">B57-A57</f>
        <v>0</v>
      </c>
      <c r="D57" s="1" t="n">
        <v>2</v>
      </c>
      <c r="E57" s="1" t="n">
        <v>2</v>
      </c>
      <c r="F57" s="1" t="n">
        <f aca="false">E57-D57</f>
        <v>0</v>
      </c>
      <c r="G57" s="1" t="n">
        <v>2</v>
      </c>
      <c r="H57" s="1" t="n">
        <v>2</v>
      </c>
      <c r="I57" s="1" t="n">
        <f aca="false">H57-G57</f>
        <v>0</v>
      </c>
      <c r="J57" s="1" t="n">
        <v>4</v>
      </c>
      <c r="K57" s="1" t="n">
        <v>4</v>
      </c>
      <c r="L57" s="1" t="n">
        <f aca="false">K57-J57</f>
        <v>0</v>
      </c>
      <c r="M57" s="1" t="n">
        <v>2</v>
      </c>
      <c r="N57" s="1" t="n">
        <v>2</v>
      </c>
      <c r="O57" s="1" t="n">
        <f aca="false">N57-M57</f>
        <v>0</v>
      </c>
      <c r="P57" s="1" t="n">
        <v>4</v>
      </c>
      <c r="Q57" s="1" t="n">
        <v>4</v>
      </c>
      <c r="R57" s="1" t="n">
        <f aca="false">Q57-P57</f>
        <v>0</v>
      </c>
      <c r="S57" s="1" t="n">
        <v>3</v>
      </c>
      <c r="T57" s="1" t="n">
        <v>7</v>
      </c>
      <c r="U57" s="1" t="n">
        <f aca="false">T57-S57</f>
        <v>4</v>
      </c>
      <c r="V57" s="1" t="n">
        <v>3</v>
      </c>
      <c r="W57" s="1" t="n">
        <v>5</v>
      </c>
      <c r="X57" s="1" t="n">
        <f aca="false">W57-V57</f>
        <v>2</v>
      </c>
      <c r="Y57" s="1" t="n">
        <v>6</v>
      </c>
      <c r="Z57" s="1" t="n">
        <v>10</v>
      </c>
      <c r="AA57" s="1" t="n">
        <f aca="false">Z57-Y57</f>
        <v>4</v>
      </c>
      <c r="AB57" s="1" t="n">
        <v>1</v>
      </c>
      <c r="AC57" s="1" t="n">
        <v>2</v>
      </c>
      <c r="AD57" s="1" t="n">
        <f aca="false">AC57-AB57</f>
        <v>1</v>
      </c>
      <c r="AE57" s="1" t="n">
        <v>3</v>
      </c>
      <c r="AF57" s="1" t="n">
        <v>10</v>
      </c>
      <c r="AG57" s="1" t="n">
        <f aca="false">AF57-AE57</f>
        <v>7</v>
      </c>
      <c r="AM57" s="1" t="n">
        <v>46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W57" s="1" t="n">
        <f aca="false">$AM57</f>
        <v>46</v>
      </c>
      <c r="BX57" s="1" t="n">
        <f aca="false">MAX(BX56-AN57/AN$9*100,0)</f>
        <v>0</v>
      </c>
      <c r="BY57" s="1" t="n">
        <f aca="false">MAX(BY56-AO57/AO$9*100,0)</f>
        <v>0</v>
      </c>
      <c r="BZ57" s="1" t="n">
        <f aca="false">MAX(BZ56-AQ57/AQ$9*100,0)</f>
        <v>0</v>
      </c>
      <c r="CA57" s="1" t="n">
        <f aca="false">MAX(CA56-AR57/AR$9*100,0)</f>
        <v>0</v>
      </c>
      <c r="CB57" s="1" t="n">
        <f aca="false">CB$7*EXP(-$AM57/CB$8)</f>
        <v>2.37290927271001E-024</v>
      </c>
      <c r="CC57" s="1" t="n">
        <f aca="false">(BZ57-CB57)^2</f>
        <v>5.63069841651315E-048</v>
      </c>
      <c r="CD57" s="1" t="n">
        <f aca="false">MAX(CD56-AT57/AT$9*100,0)</f>
        <v>0</v>
      </c>
      <c r="CE57" s="1" t="n">
        <f aca="false">MAX(CE56-AU57/AU$9*100,0)</f>
        <v>5.32907051820075E-015</v>
      </c>
      <c r="CF57" s="1" t="n">
        <f aca="false">CF$7*EXP(-$AM57/CF$8)</f>
        <v>1.0767457410422E-023</v>
      </c>
      <c r="CG57" s="1" t="n">
        <f aca="false">(CD57-CF57)^2</f>
        <v>1.15938139085252E-046</v>
      </c>
      <c r="CH57" s="1" t="n">
        <f aca="false">$AM57</f>
        <v>46</v>
      </c>
      <c r="CI57" s="1" t="n">
        <f aca="false">MAX(CI56-AW57/AW$9*100,0)</f>
        <v>0</v>
      </c>
      <c r="CJ57" s="1" t="n">
        <f aca="false">MAX(CJ56-AX57/AX$9*100,0)</f>
        <v>0</v>
      </c>
      <c r="CK57" s="1" t="n">
        <f aca="false">CK$7*EXP(-$AM57/CK$8)</f>
        <v>1.49828426328265E-015</v>
      </c>
      <c r="CL57" s="1" t="n">
        <f aca="false">(CI57-CK57)^2</f>
        <v>2.24485573360043E-030</v>
      </c>
      <c r="CM57" s="1" t="n">
        <f aca="false">MAX(CM56-AZ57/AZ$9*100,0)</f>
        <v>0</v>
      </c>
      <c r="CN57" s="1" t="n">
        <f aca="false">MAX(CN56-BA57/BA$9*100,0)</f>
        <v>5.32907051820075E-015</v>
      </c>
      <c r="CO57" s="1" t="n">
        <f aca="false">CO$7*EXP(-$AM57/CO$8)</f>
        <v>3.30569010145914E-008</v>
      </c>
      <c r="CP57" s="1" t="n">
        <f aca="false">(CM57-CO57)^2</f>
        <v>1.09275870468849E-015</v>
      </c>
      <c r="CQ57" s="1" t="n">
        <f aca="false">$AM57</f>
        <v>46</v>
      </c>
      <c r="CR57" s="1" t="n">
        <f aca="false">MAX(CR56-BC57/BC$9*100,0)</f>
        <v>0</v>
      </c>
      <c r="CS57" s="1" t="n">
        <f aca="false">MAX(CS56-BD57/BD$9*100,0)</f>
        <v>0</v>
      </c>
      <c r="CT57" s="1" t="n">
        <f aca="false">CT$7*EXP(-$AM57/CT$8)</f>
        <v>2.73505473303002E-014</v>
      </c>
      <c r="CU57" s="1" t="n">
        <f aca="false">(CR57-CT57)^2</f>
        <v>7.48052439266991E-028</v>
      </c>
      <c r="CV57" s="1" t="n">
        <f aca="false">MAX(CV56-BF57/BF$9*100,0)</f>
        <v>8.88178419700125E-015</v>
      </c>
      <c r="CW57" s="1" t="n">
        <f aca="false">MAX(CW56-BG57/BG$9*100,0)</f>
        <v>5.32907051820075E-015</v>
      </c>
      <c r="CX57" s="1" t="n">
        <f aca="false">CX$7*EXP(-$AM57/CX$8)</f>
        <v>7.49040888350031E-007</v>
      </c>
      <c r="CY57" s="1" t="n">
        <f aca="false">(CV57-CX57)^2</f>
        <v>5.61062239114565E-013</v>
      </c>
      <c r="CZ57" s="1" t="n">
        <f aca="false">$AM57</f>
        <v>46</v>
      </c>
      <c r="DA57" s="1" t="n">
        <f aca="false">MAX(DA56-BI57/BI$9*100,0)</f>
        <v>0</v>
      </c>
      <c r="DB57" s="1" t="n">
        <f aca="false">MAX(DB56-BJ57/BJ$9*100,0)</f>
        <v>9.88098491916389E-015</v>
      </c>
      <c r="DC57" s="1" t="n">
        <f aca="false">DC$7*EXP(-$AM57/DC$8)</f>
        <v>4.1876415032033E-013</v>
      </c>
      <c r="DD57" s="1" t="n">
        <f aca="false">(DA57-DC57)^2</f>
        <v>1.75363413593508E-025</v>
      </c>
      <c r="DE57" s="1" t="n">
        <f aca="false">MAX(DE56-BL57/BL$9*100,0)</f>
        <v>0</v>
      </c>
      <c r="DF57" s="1" t="n">
        <f aca="false">MAX(DF56-BM57/BM$9*100,0)</f>
        <v>0.636942675159225</v>
      </c>
      <c r="DG57" s="1" t="n">
        <f aca="false">DG$7*EXP(-$AM57/DG$8)</f>
        <v>0.001220676278635</v>
      </c>
      <c r="DH57" s="1" t="n">
        <f aca="false">(DE57-DG57)^2</f>
        <v>1.49005057722219E-006</v>
      </c>
      <c r="DI57" s="1" t="n">
        <f aca="false">$AM57</f>
        <v>46</v>
      </c>
      <c r="DJ57" s="1" t="n">
        <f aca="false">MAX(DJ56-BO57/BO$9*100,0)</f>
        <v>0</v>
      </c>
      <c r="DK57" s="1" t="n">
        <f aca="false">MAX(DK56-BP57/BP$9*100,0)</f>
        <v>9.99200722162641E-015</v>
      </c>
      <c r="DL57" s="1" t="n">
        <f aca="false">DL$7*EXP(-$AM57/DL$8)</f>
        <v>8.31625822686499E-011</v>
      </c>
      <c r="DM57" s="1" t="n">
        <f aca="false">(DJ57-DL57)^2</f>
        <v>6.91601508958996E-021</v>
      </c>
      <c r="DN57" s="1" t="n">
        <f aca="false">MAX(DN56-BR57/BR$9*100,0)</f>
        <v>0</v>
      </c>
      <c r="DO57" s="1" t="n">
        <f aca="false">MAX(DO56-BS57/BS$9*100,0)</f>
        <v>0.502512562814067</v>
      </c>
      <c r="DP57" s="1" t="n">
        <f aca="false">DP$7*EXP(-$AM57/DP$8)</f>
        <v>0.00026729960077835</v>
      </c>
      <c r="DQ57" s="1" t="n">
        <f aca="false">(DN57-DP57)^2</f>
        <v>7.14490765762653E-008</v>
      </c>
      <c r="DS57" s="1" t="n">
        <f aca="false">$AM57</f>
        <v>46</v>
      </c>
      <c r="DT57" s="1" t="n">
        <f aca="false">CA57</f>
        <v>0</v>
      </c>
      <c r="DU57" s="1" t="n">
        <f aca="false">DU$7*EXP(-DS57/DU$8)</f>
        <v>4.13789231408567E-019</v>
      </c>
      <c r="DV57" s="1" t="n">
        <f aca="false">(DT57-DU57)^2</f>
        <v>1.71221528029693E-037</v>
      </c>
      <c r="DX57" s="1" t="n">
        <f aca="false">$AM57</f>
        <v>46</v>
      </c>
      <c r="DY57" s="1" t="n">
        <f aca="false">CM57</f>
        <v>0</v>
      </c>
      <c r="DZ57" s="1" t="n">
        <f aca="false">DZ$7*EXP(-DX57/DZ$8)</f>
        <v>9.44749222955193E-010</v>
      </c>
      <c r="EA57" s="1" t="n">
        <f aca="false">(DY57-DZ57)^2</f>
        <v>8.92551094274441E-019</v>
      </c>
      <c r="EC57" s="1" t="n">
        <f aca="false">$AM57</f>
        <v>46</v>
      </c>
      <c r="ED57" s="1" t="n">
        <f aca="false">CV57</f>
        <v>8.88178419700125E-015</v>
      </c>
      <c r="EE57" s="1" t="n">
        <f aca="false">EE$7*EXP(-EC57/EE$8)</f>
        <v>2.6820635082553E-007</v>
      </c>
      <c r="EF57" s="1" t="n">
        <f aca="false">(ED57-EE57)^2</f>
        <v>7.19346418588455E-014</v>
      </c>
      <c r="EH57" s="1" t="n">
        <f aca="false">$AM57</f>
        <v>46</v>
      </c>
      <c r="EI57" s="1" t="n">
        <f aca="false">DE57</f>
        <v>0</v>
      </c>
      <c r="EJ57" s="1" t="n">
        <f aca="false">EJ$7*EXP(-EH57/EJ$8)</f>
        <v>0.00121561123183569</v>
      </c>
      <c r="EK57" s="1" t="n">
        <f aca="false">(EI57-EJ57)^2</f>
        <v>1.47771066696508E-006</v>
      </c>
      <c r="EM57" s="1" t="n">
        <f aca="false">AM57</f>
        <v>46</v>
      </c>
      <c r="EN57" s="1" t="n">
        <f aca="false">DN57</f>
        <v>0</v>
      </c>
      <c r="EO57" s="1" t="n">
        <f aca="false">EO$7*EXP(-EM57/EO$8)</f>
        <v>0.000403534737603305</v>
      </c>
      <c r="EP57" s="1" t="n">
        <f aca="false">(EN57-EO57)^2</f>
        <v>1.62840284452568E-007</v>
      </c>
      <c r="ER57" s="1" t="n">
        <f aca="false">$AM57</f>
        <v>46</v>
      </c>
      <c r="ES57" s="1" t="n">
        <f aca="false">BZ57</f>
        <v>0</v>
      </c>
      <c r="ET57" s="1" t="n">
        <f aca="false">ET$7*EXP(-ER57/ET$8)</f>
        <v>3.01757472272278E-022</v>
      </c>
      <c r="EU57" s="1" t="n">
        <f aca="false">(ES57-ET57)^2</f>
        <v>9.10575720721546E-044</v>
      </c>
      <c r="EW57" s="1" t="n">
        <f aca="false">$AM57</f>
        <v>46</v>
      </c>
      <c r="EX57" s="1" t="n">
        <f aca="false">CI57</f>
        <v>0</v>
      </c>
      <c r="EY57" s="1" t="n">
        <f aca="false">EY$7*EXP(-EW57/EY$8)</f>
        <v>2.7278384553346E-020</v>
      </c>
      <c r="EZ57" s="1" t="n">
        <f aca="false">(EX57-EY57)^2</f>
        <v>7.44110263840226E-040</v>
      </c>
      <c r="FB57" s="1" t="n">
        <f aca="false">$AM57</f>
        <v>46</v>
      </c>
      <c r="FC57" s="1" t="n">
        <f aca="false">CR57</f>
        <v>0</v>
      </c>
      <c r="FD57" s="1" t="n">
        <f aca="false">FD$7*EXP(-FB57/FD$8)</f>
        <v>1.67565866642426E-017</v>
      </c>
      <c r="FE57" s="1" t="n">
        <f aca="false">(FC57-FD57)^2</f>
        <v>2.80783196636273E-034</v>
      </c>
      <c r="FG57" s="1" t="n">
        <f aca="false">$AM57</f>
        <v>46</v>
      </c>
      <c r="FH57" s="1" t="n">
        <f aca="false">DA57</f>
        <v>0</v>
      </c>
      <c r="FI57" s="1" t="n">
        <f aca="false">FI$7*EXP(-FG57/FI$8)</f>
        <v>5.74307133494604E-015</v>
      </c>
      <c r="FJ57" s="1" t="n">
        <f aca="false">(FH57-FI57)^2</f>
        <v>3.29828683582789E-029</v>
      </c>
      <c r="FL57" s="1" t="n">
        <f aca="false">EM57</f>
        <v>46</v>
      </c>
      <c r="FM57" s="1" t="n">
        <f aca="false">DJ57</f>
        <v>0</v>
      </c>
      <c r="FN57" s="1" t="n">
        <f aca="false">FN$7*EXP(-FL57/FN$8)</f>
        <v>8.16741850361372E-012</v>
      </c>
      <c r="FO57" s="1" t="n">
        <f aca="false">(FM57-FN57)^2</f>
        <v>6.67067250131718E-023</v>
      </c>
      <c r="FQ57" s="1" t="n">
        <f aca="false">AM57</f>
        <v>46</v>
      </c>
      <c r="FR57" s="1" t="n">
        <f aca="false">AN57/AN$9*100</f>
        <v>0</v>
      </c>
      <c r="FS57" s="1" t="n">
        <f aca="false">AO57/AO$9*100</f>
        <v>0</v>
      </c>
      <c r="FT57" s="1" t="n">
        <f aca="false">AQ57/AQ$9*100</f>
        <v>0</v>
      </c>
      <c r="FU57" s="1" t="n">
        <f aca="false">AR57/AR$9*100</f>
        <v>0</v>
      </c>
      <c r="FV57" s="1" t="n">
        <f aca="false">AT57/AT$9*100</f>
        <v>0</v>
      </c>
      <c r="FW57" s="1" t="n">
        <f aca="false">AU57/AU$9*100</f>
        <v>0</v>
      </c>
      <c r="FX57" s="1" t="n">
        <f aca="false">AW57/AW$9*100</f>
        <v>0</v>
      </c>
      <c r="FY57" s="1" t="n">
        <f aca="false">AX57/AX$9*100</f>
        <v>0</v>
      </c>
      <c r="FZ57" s="1" t="n">
        <f aca="false">AZ57/AZ$9*100</f>
        <v>0</v>
      </c>
      <c r="GA57" s="1" t="n">
        <f aca="false">BA57/BA$9*100</f>
        <v>0</v>
      </c>
      <c r="GB57" s="1" t="n">
        <f aca="false">BC57/BC$9*100</f>
        <v>0</v>
      </c>
      <c r="GC57" s="1" t="n">
        <f aca="false">BD57/BD$9*100</f>
        <v>0</v>
      </c>
      <c r="GD57" s="1" t="n">
        <f aca="false">BF57/BF$9*100</f>
        <v>0</v>
      </c>
      <c r="GE57" s="1" t="n">
        <f aca="false">BG57/BG$9*100</f>
        <v>0</v>
      </c>
      <c r="GF57" s="1" t="n">
        <f aca="false">BI57/BI$9*100</f>
        <v>0</v>
      </c>
      <c r="GG57" s="1" t="n">
        <f aca="false">BJ57/BJ$9*100</f>
        <v>0</v>
      </c>
      <c r="GH57" s="1" t="n">
        <f aca="false">BL57/BL$9*100</f>
        <v>0</v>
      </c>
      <c r="GI57" s="1" t="n">
        <f aca="false">BM57/BM$9*100</f>
        <v>0</v>
      </c>
      <c r="GJ57" s="1" t="n">
        <f aca="false">BO57/BO$9*100</f>
        <v>0</v>
      </c>
      <c r="GK57" s="1" t="n">
        <f aca="false">BP57/BP$9*100</f>
        <v>0</v>
      </c>
      <c r="GL57" s="1" t="n">
        <f aca="false">BR57/BR$9*100</f>
        <v>0</v>
      </c>
      <c r="GM57" s="1" t="n">
        <f aca="false">BS57/BS$9*100</f>
        <v>0</v>
      </c>
      <c r="GO57" s="1" t="n">
        <f aca="false">$AM57</f>
        <v>46</v>
      </c>
      <c r="GP57" s="1" t="n">
        <f aca="false">FT57</f>
        <v>0</v>
      </c>
      <c r="GQ57" s="1" t="n">
        <f aca="false">GQ$6*(1+GQ$5*(-1)^$FQ57)*EXP(-$FQ57/GQ$4)</f>
        <v>1.50543047321456E-013</v>
      </c>
      <c r="GR57" s="1" t="n">
        <f aca="false">(GP57-GQ57)^2</f>
        <v>2.26632090968301E-026</v>
      </c>
      <c r="GS57" s="1" t="n">
        <f aca="false">EXP($FQ57/$JG$4)*GP57</f>
        <v>0</v>
      </c>
      <c r="GT57" s="1" t="n">
        <f aca="false">EXP($FQ57/$JG$4)*(-1)^$FQ57*GP57</f>
        <v>0</v>
      </c>
      <c r="GU57" s="1" t="n">
        <f aca="false">(-1)^GO57*GP57</f>
        <v>0</v>
      </c>
      <c r="GW57" s="1" t="n">
        <f aca="false">$AM57</f>
        <v>46</v>
      </c>
      <c r="GX57" s="1" t="n">
        <f aca="false">FX57</f>
        <v>0</v>
      </c>
      <c r="GY57" s="1" t="n">
        <f aca="false">GY$6*(1+GY$5*(-1)^$FQ57)*EXP(-$FQ57/GY$4)</f>
        <v>1.50543047321456E-013</v>
      </c>
      <c r="GZ57" s="1" t="n">
        <f aca="false">(GX57-GY57)^2</f>
        <v>2.26632090968301E-026</v>
      </c>
      <c r="HA57" s="1" t="n">
        <f aca="false">EXP($FQ57/$JG$4)*GX57</f>
        <v>0</v>
      </c>
      <c r="HB57" s="1" t="n">
        <f aca="false">EXP($FQ57/$JG$4)*(-1)^$FQ57*GX57</f>
        <v>0</v>
      </c>
      <c r="HC57" s="1" t="n">
        <f aca="false">(-1)^GW57*GX57</f>
        <v>0</v>
      </c>
      <c r="HE57" s="1" t="n">
        <f aca="false">$AM57</f>
        <v>46</v>
      </c>
      <c r="HF57" s="1" t="n">
        <f aca="false">GB57</f>
        <v>0</v>
      </c>
      <c r="HG57" s="1" t="n">
        <f aca="false">HG$6*(1+HG$5*(-1)^$FQ57)*EXP(-$FQ57/HG$4)</f>
        <v>1.50543047321456E-013</v>
      </c>
      <c r="HH57" s="1" t="n">
        <f aca="false">(HF57-HG57)^2</f>
        <v>2.26632090968301E-026</v>
      </c>
      <c r="HI57" s="1" t="n">
        <f aca="false">EXP($FQ57/$JG$4)*HF57</f>
        <v>0</v>
      </c>
      <c r="HJ57" s="1" t="n">
        <f aca="false">EXP($FQ57/$JG$4)*(-1)^$FQ57*HF57</f>
        <v>0</v>
      </c>
      <c r="HK57" s="1" t="n">
        <f aca="false">(-1)^HE57*HF57</f>
        <v>0</v>
      </c>
      <c r="HM57" s="1" t="n">
        <f aca="false">$AM57</f>
        <v>46</v>
      </c>
      <c r="HN57" s="1" t="n">
        <f aca="false">GF57</f>
        <v>0</v>
      </c>
      <c r="HO57" s="1" t="n">
        <f aca="false">HO$6*(1+HO$5*(-1)^$FQ57)*EXP(-$FQ57/HO$4)</f>
        <v>1.80071743976892E-010</v>
      </c>
      <c r="HP57" s="1" t="n">
        <f aca="false">(HN57-HO57)^2</f>
        <v>3.24258329788793E-020</v>
      </c>
      <c r="HQ57" s="1" t="n">
        <f aca="false">EXP($FQ57/$JG$4)*HN57</f>
        <v>0</v>
      </c>
      <c r="HR57" s="1" t="n">
        <f aca="false">EXP($FQ57/$JG$4)*(-1)^$FQ57*HN57</f>
        <v>0</v>
      </c>
      <c r="HS57" s="1" t="n">
        <f aca="false">(-1)^HM57*HN57</f>
        <v>0</v>
      </c>
      <c r="HU57" s="1" t="n">
        <f aca="false">$AM57</f>
        <v>46</v>
      </c>
      <c r="HV57" s="1" t="n">
        <f aca="false">GJ57</f>
        <v>0</v>
      </c>
      <c r="HW57" s="1" t="n">
        <f aca="false">HW$6*(1+HW$5*(-1)^$FQ57)*EXP(-$FQ57/HW$4)</f>
        <v>1.35528126531497E-007</v>
      </c>
      <c r="HX57" s="1" t="n">
        <f aca="false">(HV57-HW57)^2</f>
        <v>1.83678730811375E-014</v>
      </c>
      <c r="HY57" s="1" t="n">
        <f aca="false">EXP($FQ57/$JG$4)*HV57</f>
        <v>0</v>
      </c>
      <c r="HZ57" s="1" t="n">
        <f aca="false">EXP($FQ57/$JG$4)*(-1)^$FQ57*HV57</f>
        <v>0</v>
      </c>
      <c r="IA57" s="1" t="n">
        <f aca="false">(-1)^HU57*HV57</f>
        <v>0</v>
      </c>
      <c r="IB57" s="1" t="n">
        <v>0</v>
      </c>
      <c r="ID57" s="1" t="n">
        <f aca="false">$AM57</f>
        <v>46</v>
      </c>
      <c r="IE57" s="1" t="n">
        <f aca="false">FZ57</f>
        <v>0</v>
      </c>
      <c r="IF57" s="1" t="n">
        <f aca="false">IF$6*(1+IF$5*(-1)^$FQ57)*EXP(-$FQ57/IF$4)</f>
        <v>1.20848346096522E-005</v>
      </c>
      <c r="IG57" s="1" t="n">
        <f aca="false">(IE57-IF57)^2</f>
        <v>1.46043227542648E-010</v>
      </c>
      <c r="IH57" s="1" t="n">
        <f aca="false">EXP($FQ57/$JG$4)*IE57</f>
        <v>0</v>
      </c>
      <c r="II57" s="1" t="n">
        <f aca="false">EXP($FQ57/$JG$4)*(-1)^$FQ57*IE57</f>
        <v>0</v>
      </c>
      <c r="IJ57" s="1" t="n">
        <f aca="false">(-1)^ID57*IE57</f>
        <v>0</v>
      </c>
      <c r="IK57" s="1" t="n">
        <v>0</v>
      </c>
      <c r="IM57" s="1" t="n">
        <f aca="false">$AM57</f>
        <v>46</v>
      </c>
      <c r="IN57" s="1" t="n">
        <f aca="false">GD57</f>
        <v>0</v>
      </c>
      <c r="IO57" s="1" t="n">
        <f aca="false">IO$6*(1+IO$5*(-1)^$FQ57)*EXP(-$FQ57/IO$4)</f>
        <v>9.3696085871951E-005</v>
      </c>
      <c r="IP57" s="1" t="n">
        <f aca="false">(IN57-IO57)^2</f>
        <v>8.77895650772402E-009</v>
      </c>
      <c r="IQ57" s="1" t="n">
        <f aca="false">EXP($FQ57/$JG$4)*IN57</f>
        <v>0</v>
      </c>
      <c r="IR57" s="1" t="n">
        <f aca="false">EXP($FQ57/$JG$4)*(-1)^$FQ57*IN57</f>
        <v>0</v>
      </c>
      <c r="IS57" s="1" t="n">
        <f aca="false">(-1)^IM57*IN57</f>
        <v>0</v>
      </c>
      <c r="IT57" s="1" t="n">
        <v>0</v>
      </c>
      <c r="IV57" s="1" t="n">
        <f aca="false">$AM57</f>
        <v>46</v>
      </c>
      <c r="IW57" s="1" t="n">
        <f aca="false">GH57</f>
        <v>0</v>
      </c>
      <c r="IX57" s="1" t="n">
        <f aca="false">IX$6*(1+IX$5*(-1)^$FQ57)*EXP(-$FQ57/IX$4)</f>
        <v>0.00514363583087757</v>
      </c>
      <c r="IY57" s="1" t="n">
        <f aca="false">(IW57-IX57)^2</f>
        <v>2.64569895606876E-005</v>
      </c>
      <c r="IZ57" s="1" t="n">
        <f aca="false">EXP($FQ57/$JG$4)*IW57</f>
        <v>0</v>
      </c>
      <c r="JA57" s="1" t="n">
        <f aca="false">EXP($FQ57/$JG$4)*(-1)^$FQ57*IW57</f>
        <v>0</v>
      </c>
      <c r="JB57" s="1" t="n">
        <f aca="false">(-1)^IV57*IW57</f>
        <v>0</v>
      </c>
      <c r="JE57" s="1" t="n">
        <f aca="false">$AM57</f>
        <v>46</v>
      </c>
      <c r="JF57" s="1" t="n">
        <f aca="false">GL57</f>
        <v>0</v>
      </c>
      <c r="JG57" s="1" t="n">
        <f aca="false">JG$6*(1+JG$5*(-1)^$FQ57)*EXP(-$FQ57/JG$4)</f>
        <v>0.00107332773601947</v>
      </c>
      <c r="JH57" s="1" t="n">
        <f aca="false">(JF57-JG57)^2</f>
        <v>1.15203242890868E-006</v>
      </c>
      <c r="JI57" s="1" t="n">
        <f aca="false">EXP($FQ57/$JG$4)*JF57</f>
        <v>0</v>
      </c>
      <c r="JJ57" s="1" t="n">
        <f aca="false">EXP($FQ57/$JG$4)*(-1)^$FQ57*JF57</f>
        <v>0</v>
      </c>
      <c r="JK57" s="1" t="n">
        <f aca="false">(-1)^JE57*JF57</f>
        <v>0</v>
      </c>
      <c r="JO57" s="1" t="n">
        <f aca="false">$AM57</f>
        <v>46</v>
      </c>
      <c r="JP57" s="1" t="n">
        <f aca="false">GM57</f>
        <v>0</v>
      </c>
      <c r="JQ57" s="1" t="n">
        <f aca="false">JQ$6*(1+JQ$5*(-1)^$FQ57)*EXP(-$FQ57/JQ$4)</f>
        <v>0.362788177781512</v>
      </c>
      <c r="JR57" s="1" t="n">
        <f aca="false">(JP57-JQ57)^2</f>
        <v>0.13161526193803</v>
      </c>
      <c r="JS57" s="1" t="n">
        <f aca="false">EXP($FQ57/$JG$4)*JP57</f>
        <v>0</v>
      </c>
      <c r="JT57" s="1" t="n">
        <f aca="false">EXP($FQ57/$JG$4)*(-1)^$FQ57*JP57</f>
        <v>0</v>
      </c>
      <c r="JU57" s="1" t="n">
        <f aca="false">(-1)^JO57*JP57</f>
        <v>0</v>
      </c>
    </row>
    <row r="58" customFormat="false" ht="16" hidden="false" customHeight="false" outlineLevel="0" collapsed="false">
      <c r="A58" s="1" t="n">
        <v>2</v>
      </c>
      <c r="B58" s="1" t="n">
        <v>2</v>
      </c>
      <c r="C58" s="1" t="n">
        <f aca="false">B58-A58</f>
        <v>0</v>
      </c>
      <c r="D58" s="1" t="n">
        <v>1</v>
      </c>
      <c r="E58" s="1" t="n">
        <v>1</v>
      </c>
      <c r="F58" s="1" t="n">
        <f aca="false">E58-D58</f>
        <v>0</v>
      </c>
      <c r="G58" s="1" t="n">
        <v>2</v>
      </c>
      <c r="H58" s="1" t="n">
        <v>2</v>
      </c>
      <c r="I58" s="1" t="n">
        <f aca="false">H58-G58</f>
        <v>0</v>
      </c>
      <c r="J58" s="1" t="n">
        <v>2</v>
      </c>
      <c r="K58" s="1" t="n">
        <v>2</v>
      </c>
      <c r="L58" s="1" t="n">
        <f aca="false">K58-J58</f>
        <v>0</v>
      </c>
      <c r="M58" s="1" t="n">
        <v>1</v>
      </c>
      <c r="N58" s="1" t="n">
        <v>5</v>
      </c>
      <c r="O58" s="1" t="n">
        <f aca="false">N58-M58</f>
        <v>4</v>
      </c>
      <c r="P58" s="1" t="n">
        <v>2</v>
      </c>
      <c r="Q58" s="1" t="n">
        <v>4</v>
      </c>
      <c r="R58" s="1" t="n">
        <f aca="false">Q58-P58</f>
        <v>2</v>
      </c>
      <c r="S58" s="1" t="n">
        <v>6</v>
      </c>
      <c r="T58" s="1" t="n">
        <v>6</v>
      </c>
      <c r="U58" s="1" t="n">
        <f aca="false">T58-S58</f>
        <v>0</v>
      </c>
      <c r="V58" s="1" t="n">
        <v>4</v>
      </c>
      <c r="W58" s="1" t="n">
        <v>6</v>
      </c>
      <c r="X58" s="1" t="n">
        <f aca="false">W58-V58</f>
        <v>2</v>
      </c>
      <c r="Y58" s="1" t="n">
        <v>6</v>
      </c>
      <c r="Z58" s="1" t="n">
        <v>6</v>
      </c>
      <c r="AA58" s="1" t="n">
        <f aca="false">Z58-Y58</f>
        <v>0</v>
      </c>
      <c r="AB58" s="1" t="n">
        <v>2</v>
      </c>
      <c r="AC58" s="1" t="n">
        <v>6</v>
      </c>
      <c r="AD58" s="1" t="n">
        <f aca="false">AC58-AB58</f>
        <v>4</v>
      </c>
      <c r="AE58" s="1" t="n">
        <v>2</v>
      </c>
      <c r="AF58" s="1" t="n">
        <v>10</v>
      </c>
      <c r="AG58" s="1" t="n">
        <f aca="false">AF58-AE58</f>
        <v>8</v>
      </c>
      <c r="AK58" s="1" t="n">
        <v>0.5</v>
      </c>
      <c r="AM58" s="1" t="n">
        <v>47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W58" s="1" t="n">
        <f aca="false">$AM58</f>
        <v>47</v>
      </c>
      <c r="BX58" s="1" t="n">
        <f aca="false">MAX(BX57-AN58/AN$9*100,0)</f>
        <v>0</v>
      </c>
      <c r="BY58" s="1" t="n">
        <f aca="false">MAX(BY57-AO58/AO$9*100,0)</f>
        <v>0</v>
      </c>
      <c r="BZ58" s="1" t="n">
        <f aca="false">MAX(BZ57-AQ58/AQ$9*100,0)</f>
        <v>0</v>
      </c>
      <c r="CA58" s="1" t="n">
        <f aca="false">MAX(CA57-AR58/AR$9*100,0)</f>
        <v>0</v>
      </c>
      <c r="CB58" s="1" t="n">
        <f aca="false">CB$7*EXP(-$AM58/CB$8)</f>
        <v>6.47533625722468E-025</v>
      </c>
      <c r="CC58" s="1" t="n">
        <f aca="false">(BZ58-CB58)^2</f>
        <v>4.19299796441285E-049</v>
      </c>
      <c r="CD58" s="1" t="n">
        <f aca="false">MAX(CD57-AT58/AT$9*100,0)</f>
        <v>0</v>
      </c>
      <c r="CE58" s="1" t="n">
        <f aca="false">MAX(CE57-AU58/AU$9*100,0)</f>
        <v>5.32907051820075E-015</v>
      </c>
      <c r="CF58" s="1" t="n">
        <f aca="false">CF$7*EXP(-$AM58/CF$8)</f>
        <v>3.03650018641216E-024</v>
      </c>
      <c r="CG58" s="1" t="n">
        <f aca="false">(CD58-CF58)^2</f>
        <v>9.22033338208108E-048</v>
      </c>
      <c r="CH58" s="1" t="n">
        <f aca="false">$AM58</f>
        <v>47</v>
      </c>
      <c r="CI58" s="1" t="n">
        <f aca="false">MAX(CI57-AW58/AW$9*100,0)</f>
        <v>0</v>
      </c>
      <c r="CJ58" s="1" t="n">
        <f aca="false">MAX(CJ57-AX58/AX$9*100,0)</f>
        <v>0</v>
      </c>
      <c r="CK58" s="1" t="n">
        <f aca="false">CK$7*EXP(-$AM58/CK$8)</f>
        <v>6.37385755073259E-016</v>
      </c>
      <c r="CL58" s="1" t="n">
        <f aca="false">(CI58-CK58)^2</f>
        <v>4.06260600770309E-031</v>
      </c>
      <c r="CM58" s="1" t="n">
        <f aca="false">MAX(CM57-AZ58/AZ$9*100,0)</f>
        <v>0</v>
      </c>
      <c r="CN58" s="1" t="n">
        <f aca="false">MAX(CN57-BA58/BA$9*100,0)</f>
        <v>5.32907051820075E-015</v>
      </c>
      <c r="CO58" s="1" t="n">
        <f aca="false">CO$7*EXP(-$AM58/CO$8)</f>
        <v>2.04393327200871E-008</v>
      </c>
      <c r="CP58" s="1" t="n">
        <f aca="false">(CM58-CO58)^2</f>
        <v>4.17766322042423E-016</v>
      </c>
      <c r="CQ58" s="1" t="n">
        <f aca="false">$AM58</f>
        <v>47</v>
      </c>
      <c r="CR58" s="1" t="n">
        <f aca="false">MAX(CR57-BC58/BC$9*100,0)</f>
        <v>0</v>
      </c>
      <c r="CS58" s="1" t="n">
        <f aca="false">MAX(CS57-BD58/BD$9*100,0)</f>
        <v>0</v>
      </c>
      <c r="CT58" s="1" t="n">
        <f aca="false">CT$7*EXP(-$AM58/CT$8)</f>
        <v>1.24451994964652E-014</v>
      </c>
      <c r="CU58" s="1" t="n">
        <f aca="false">(CR58-CT58)^2</f>
        <v>1.54882990506818E-028</v>
      </c>
      <c r="CV58" s="1" t="n">
        <f aca="false">MAX(CV57-BF58/BF$9*100,0)</f>
        <v>8.88178419700125E-015</v>
      </c>
      <c r="CW58" s="1" t="n">
        <f aca="false">MAX(CW57-BG58/BG$9*100,0)</f>
        <v>5.32907051820075E-015</v>
      </c>
      <c r="CX58" s="1" t="n">
        <f aca="false">CX$7*EXP(-$AM58/CX$8)</f>
        <v>4.95501525324173E-007</v>
      </c>
      <c r="CY58" s="1" t="n">
        <f aca="false">(CV58-CX58)^2</f>
        <v>2.45521752796707E-013</v>
      </c>
      <c r="CZ58" s="1" t="n">
        <f aca="false">$AM58</f>
        <v>47</v>
      </c>
      <c r="DA58" s="1" t="n">
        <f aca="false">MAX(DA57-BI58/BI$9*100,0)</f>
        <v>0</v>
      </c>
      <c r="DB58" s="1" t="n">
        <f aca="false">MAX(DB57-BJ58/BJ$9*100,0)</f>
        <v>9.88098491916389E-015</v>
      </c>
      <c r="DC58" s="1" t="n">
        <f aca="false">DC$7*EXP(-$AM58/DC$8)</f>
        <v>2.01820939684673E-013</v>
      </c>
      <c r="DD58" s="1" t="n">
        <f aca="false">(DA58-DC58)^2</f>
        <v>4.07316916952044E-026</v>
      </c>
      <c r="DE58" s="1" t="n">
        <f aca="false">MAX(DE57-BL58/BL$9*100,0)</f>
        <v>0</v>
      </c>
      <c r="DF58" s="1" t="n">
        <f aca="false">MAX(DF57-BM58/BM$9*100,0)</f>
        <v>0.636942675159225</v>
      </c>
      <c r="DG58" s="1" t="n">
        <f aca="false">DG$7*EXP(-$AM58/DG$8)</f>
        <v>0.000950663641677627</v>
      </c>
      <c r="DH58" s="1" t="n">
        <f aca="false">(DE58-DG58)^2</f>
        <v>9.03761359607768E-007</v>
      </c>
      <c r="DI58" s="1" t="n">
        <f aca="false">$AM58</f>
        <v>47</v>
      </c>
      <c r="DJ58" s="1" t="n">
        <f aca="false">MAX(DJ57-BO58/BO$9*100,0)</f>
        <v>0</v>
      </c>
      <c r="DK58" s="1" t="n">
        <f aca="false">MAX(DK57-BP58/BP$9*100,0)</f>
        <v>9.99200722162641E-015</v>
      </c>
      <c r="DL58" s="1" t="n">
        <f aca="false">DL$7*EXP(-$AM58/DL$8)</f>
        <v>4.50287233045944E-011</v>
      </c>
      <c r="DM58" s="1" t="n">
        <f aca="false">(DJ58-DL58)^2</f>
        <v>2.02758592244172E-021</v>
      </c>
      <c r="DN58" s="1" t="n">
        <f aca="false">MAX(DN57-BR58/BR$9*100,0)</f>
        <v>0</v>
      </c>
      <c r="DO58" s="1" t="n">
        <f aca="false">MAX(DO57-BS58/BS$9*100,0)</f>
        <v>0.502512562814067</v>
      </c>
      <c r="DP58" s="1" t="n">
        <f aca="false">DP$7*EXP(-$AM58/DP$8)</f>
        <v>0.000201357917908593</v>
      </c>
      <c r="DQ58" s="1" t="n">
        <f aca="false">(DN58-DP58)^2</f>
        <v>4.05450111044837E-008</v>
      </c>
      <c r="DS58" s="1" t="n">
        <f aca="false">$AM58</f>
        <v>47</v>
      </c>
      <c r="DT58" s="1" t="n">
        <f aca="false">CA58</f>
        <v>0</v>
      </c>
      <c r="DU58" s="1" t="n">
        <f aca="false">DU$7*EXP(-DS58/DU$8)</f>
        <v>1.47588634365694E-019</v>
      </c>
      <c r="DV58" s="1" t="n">
        <f aca="false">(DT58-DU58)^2</f>
        <v>2.17824049939305E-038</v>
      </c>
      <c r="DX58" s="1" t="n">
        <f aca="false">$AM58</f>
        <v>47</v>
      </c>
      <c r="DY58" s="1" t="n">
        <f aca="false">CM58</f>
        <v>0</v>
      </c>
      <c r="DZ58" s="1" t="n">
        <f aca="false">DZ$7*EXP(-DX58/DZ$8)</f>
        <v>5.38680034664708E-010</v>
      </c>
      <c r="EA58" s="1" t="n">
        <f aca="false">(DY58-DZ58)^2</f>
        <v>2.90176179746371E-019</v>
      </c>
      <c r="EC58" s="1" t="n">
        <f aca="false">$AM58</f>
        <v>47</v>
      </c>
      <c r="ED58" s="1" t="n">
        <f aca="false">CV58</f>
        <v>8.88178419700125E-015</v>
      </c>
      <c r="EE58" s="1" t="n">
        <f aca="false">EE$7*EXP(-EC58/EE$8)</f>
        <v>1.73308878486453E-007</v>
      </c>
      <c r="EF58" s="1" t="n">
        <f aca="false">(ED58-EE58)^2</f>
        <v>3.00359642836481E-014</v>
      </c>
      <c r="EH58" s="1" t="n">
        <f aca="false">$AM58</f>
        <v>47</v>
      </c>
      <c r="EI58" s="1" t="n">
        <f aca="false">DE58</f>
        <v>0</v>
      </c>
      <c r="EJ58" s="1" t="n">
        <f aca="false">EJ$7*EXP(-EH58/EJ$8)</f>
        <v>0.000946718979264027</v>
      </c>
      <c r="EK58" s="1" t="n">
        <f aca="false">(EI58-EJ58)^2</f>
        <v>8.96276825698721E-007</v>
      </c>
      <c r="EM58" s="1" t="n">
        <f aca="false">AM58</f>
        <v>47</v>
      </c>
      <c r="EN58" s="1" t="n">
        <f aca="false">DN58</f>
        <v>0</v>
      </c>
      <c r="EO58" s="1" t="n">
        <f aca="false">EO$7*EXP(-EM58/EO$8)</f>
        <v>0.000306828810635408</v>
      </c>
      <c r="EP58" s="1" t="n">
        <f aca="false">(EN58-EO58)^2</f>
        <v>9.41439190359391E-008</v>
      </c>
      <c r="ER58" s="1" t="n">
        <f aca="false">$AM58</f>
        <v>47</v>
      </c>
      <c r="ES58" s="1" t="n">
        <f aca="false">BZ58</f>
        <v>0</v>
      </c>
      <c r="ET58" s="1" t="n">
        <f aca="false">ET$7*EXP(-ER58/ET$8)</f>
        <v>9.17573352820864E-023</v>
      </c>
      <c r="EU58" s="1" t="n">
        <f aca="false">(ES58-ET58)^2</f>
        <v>8.41940857806922E-045</v>
      </c>
      <c r="EW58" s="1" t="n">
        <f aca="false">$AM58</f>
        <v>47</v>
      </c>
      <c r="EX58" s="1" t="n">
        <f aca="false">CI58</f>
        <v>0</v>
      </c>
      <c r="EY58" s="1" t="n">
        <f aca="false">EY$7*EXP(-EW58/EY$8)</f>
        <v>9.09016913810049E-021</v>
      </c>
      <c r="EZ58" s="1" t="n">
        <f aca="false">(EX58-EY58)^2</f>
        <v>8.26311749592746E-041</v>
      </c>
      <c r="FB58" s="1" t="n">
        <f aca="false">$AM58</f>
        <v>47</v>
      </c>
      <c r="FC58" s="1" t="n">
        <f aca="false">CR58</f>
        <v>0</v>
      </c>
      <c r="FD58" s="1" t="n">
        <f aca="false">FD$7*EXP(-FB58/FD$8)</f>
        <v>6.46504816479357E-018</v>
      </c>
      <c r="FE58" s="1" t="n">
        <f aca="false">(FC58-FD58)^2</f>
        <v>4.17968477731007E-035</v>
      </c>
      <c r="FG58" s="1" t="n">
        <f aca="false">$AM58</f>
        <v>47</v>
      </c>
      <c r="FH58" s="1" t="n">
        <f aca="false">DA58</f>
        <v>0</v>
      </c>
      <c r="FI58" s="1" t="n">
        <f aca="false">FI$7*EXP(-FG58/FI$8)</f>
        <v>2.51317743273562E-015</v>
      </c>
      <c r="FJ58" s="1" t="n">
        <f aca="false">(FH58-FI58)^2</f>
        <v>6.3160608084116E-030</v>
      </c>
      <c r="FL58" s="1" t="n">
        <f aca="false">EM58</f>
        <v>47</v>
      </c>
      <c r="FM58" s="1" t="n">
        <f aca="false">DJ58</f>
        <v>0</v>
      </c>
      <c r="FN58" s="1" t="n">
        <f aca="false">FN$7*EXP(-FL58/FN$8)</f>
        <v>4.19329247805885E-012</v>
      </c>
      <c r="FO58" s="1" t="n">
        <f aca="false">(FM58-FN58)^2</f>
        <v>1.75837018065449E-023</v>
      </c>
      <c r="FQ58" s="1" t="n">
        <f aca="false">AM58</f>
        <v>47</v>
      </c>
      <c r="FR58" s="1" t="n">
        <f aca="false">AN58/AN$9*100</f>
        <v>0</v>
      </c>
      <c r="FS58" s="1" t="n">
        <f aca="false">AO58/AO$9*100</f>
        <v>0</v>
      </c>
      <c r="FT58" s="1" t="n">
        <f aca="false">AQ58/AQ$9*100</f>
        <v>0</v>
      </c>
      <c r="FU58" s="1" t="n">
        <f aca="false">AR58/AR$9*100</f>
        <v>0</v>
      </c>
      <c r="FV58" s="1" t="n">
        <f aca="false">AT58/AT$9*100</f>
        <v>0</v>
      </c>
      <c r="FW58" s="1" t="n">
        <f aca="false">AU58/AU$9*100</f>
        <v>0</v>
      </c>
      <c r="FX58" s="1" t="n">
        <f aca="false">AW58/AW$9*100</f>
        <v>0</v>
      </c>
      <c r="FY58" s="1" t="n">
        <f aca="false">AX58/AX$9*100</f>
        <v>0</v>
      </c>
      <c r="FZ58" s="1" t="n">
        <f aca="false">AZ58/AZ$9*100</f>
        <v>0</v>
      </c>
      <c r="GA58" s="1" t="n">
        <f aca="false">BA58/BA$9*100</f>
        <v>0</v>
      </c>
      <c r="GB58" s="1" t="n">
        <f aca="false">BC58/BC$9*100</f>
        <v>0</v>
      </c>
      <c r="GC58" s="1" t="n">
        <f aca="false">BD58/BD$9*100</f>
        <v>0</v>
      </c>
      <c r="GD58" s="1" t="n">
        <f aca="false">BF58/BF$9*100</f>
        <v>0</v>
      </c>
      <c r="GE58" s="1" t="n">
        <f aca="false">BG58/BG$9*100</f>
        <v>0</v>
      </c>
      <c r="GF58" s="1" t="n">
        <f aca="false">BI58/BI$9*100</f>
        <v>0</v>
      </c>
      <c r="GG58" s="1" t="n">
        <f aca="false">BJ58/BJ$9*100</f>
        <v>0</v>
      </c>
      <c r="GH58" s="1" t="n">
        <f aca="false">BL58/BL$9*100</f>
        <v>0</v>
      </c>
      <c r="GI58" s="1" t="n">
        <f aca="false">BM58/BM$9*100</f>
        <v>0</v>
      </c>
      <c r="GJ58" s="1" t="n">
        <f aca="false">BO58/BO$9*100</f>
        <v>0</v>
      </c>
      <c r="GK58" s="1" t="n">
        <f aca="false">BP58/BP$9*100</f>
        <v>0</v>
      </c>
      <c r="GL58" s="1" t="n">
        <f aca="false">BR58/BR$9*100</f>
        <v>0</v>
      </c>
      <c r="GM58" s="1" t="n">
        <f aca="false">BS58/BS$9*100</f>
        <v>0</v>
      </c>
      <c r="GO58" s="1" t="n">
        <f aca="false">$AM58</f>
        <v>47</v>
      </c>
      <c r="GP58" s="1" t="n">
        <f aca="false">FT58</f>
        <v>0</v>
      </c>
      <c r="GQ58" s="1" t="n">
        <f aca="false">GQ$6*(1+GQ$5*(-1)^$FQ58)*EXP(-$FQ58/GQ$4)</f>
        <v>2.41564793748265E-014</v>
      </c>
      <c r="GR58" s="1" t="n">
        <f aca="false">(GP58-GQ58)^2</f>
        <v>5.83535495786418E-028</v>
      </c>
      <c r="GS58" s="1" t="n">
        <f aca="false">EXP($FQ58/$JG$4)*GP58</f>
        <v>0</v>
      </c>
      <c r="GT58" s="1" t="n">
        <f aca="false">EXP($FQ58/$JG$4)*(-1)^$FQ58*GP58</f>
        <v>-0</v>
      </c>
      <c r="GU58" s="1" t="n">
        <f aca="false">(-1)^GO58*GP58</f>
        <v>-0</v>
      </c>
      <c r="GW58" s="1" t="n">
        <f aca="false">$AM58</f>
        <v>47</v>
      </c>
      <c r="GX58" s="1" t="n">
        <f aca="false">FX58</f>
        <v>0</v>
      </c>
      <c r="GY58" s="1" t="n">
        <f aca="false">GY$6*(1+GY$5*(-1)^$FQ58)*EXP(-$FQ58/GY$4)</f>
        <v>2.41564793748265E-014</v>
      </c>
      <c r="GZ58" s="1" t="n">
        <f aca="false">(GX58-GY58)^2</f>
        <v>5.83535495786418E-028</v>
      </c>
      <c r="HA58" s="1" t="n">
        <f aca="false">EXP($FQ58/$JG$4)*GX58</f>
        <v>0</v>
      </c>
      <c r="HB58" s="1" t="n">
        <f aca="false">EXP($FQ58/$JG$4)*(-1)^$FQ58*GX58</f>
        <v>-0</v>
      </c>
      <c r="HC58" s="1" t="n">
        <f aca="false">(-1)^GW58*GX58</f>
        <v>-0</v>
      </c>
      <c r="HE58" s="1" t="n">
        <f aca="false">$AM58</f>
        <v>47</v>
      </c>
      <c r="HF58" s="1" t="n">
        <f aca="false">GB58</f>
        <v>0</v>
      </c>
      <c r="HG58" s="1" t="n">
        <f aca="false">HG$6*(1+HG$5*(-1)^$FQ58)*EXP(-$FQ58/HG$4)</f>
        <v>2.41564793748265E-014</v>
      </c>
      <c r="HH58" s="1" t="n">
        <f aca="false">(HF58-HG58)^2</f>
        <v>5.83535495786418E-028</v>
      </c>
      <c r="HI58" s="1" t="n">
        <f aca="false">EXP($FQ58/$JG$4)*HF58</f>
        <v>0</v>
      </c>
      <c r="HJ58" s="1" t="n">
        <f aca="false">EXP($FQ58/$JG$4)*(-1)^$FQ58*HF58</f>
        <v>-0</v>
      </c>
      <c r="HK58" s="1" t="n">
        <f aca="false">(-1)^HE58*HF58</f>
        <v>-0</v>
      </c>
      <c r="HM58" s="1" t="n">
        <f aca="false">$AM58</f>
        <v>47</v>
      </c>
      <c r="HN58" s="1" t="n">
        <f aca="false">GF58</f>
        <v>0</v>
      </c>
      <c r="HO58" s="1" t="n">
        <f aca="false">HO$6*(1+HO$5*(-1)^$FQ58)*EXP(-$FQ58/HO$4)</f>
        <v>2.1719391185752E-011</v>
      </c>
      <c r="HP58" s="1" t="n">
        <f aca="false">(HN58-HO58)^2</f>
        <v>4.71731953479722E-022</v>
      </c>
      <c r="HQ58" s="1" t="n">
        <f aca="false">EXP($FQ58/$JG$4)*HN58</f>
        <v>0</v>
      </c>
      <c r="HR58" s="1" t="n">
        <f aca="false">EXP($FQ58/$JG$4)*(-1)^$FQ58*HN58</f>
        <v>-0</v>
      </c>
      <c r="HS58" s="1" t="n">
        <f aca="false">(-1)^HM58*HN58</f>
        <v>-0</v>
      </c>
      <c r="HU58" s="1" t="n">
        <f aca="false">$AM58</f>
        <v>47</v>
      </c>
      <c r="HV58" s="1" t="n">
        <f aca="false">GJ58</f>
        <v>0</v>
      </c>
      <c r="HW58" s="1" t="n">
        <f aca="false">HW$6*(1+HW$5*(-1)^$FQ58)*EXP(-$FQ58/HW$4)</f>
        <v>2.9023011922313E-008</v>
      </c>
      <c r="HX58" s="1" t="n">
        <f aca="false">(HV58-HW58)^2</f>
        <v>8.42335221042722E-016</v>
      </c>
      <c r="HY58" s="1" t="n">
        <f aca="false">EXP($FQ58/$JG$4)*HV58</f>
        <v>0</v>
      </c>
      <c r="HZ58" s="1" t="n">
        <f aca="false">EXP($FQ58/$JG$4)*(-1)^$FQ58*HV58</f>
        <v>-0</v>
      </c>
      <c r="IA58" s="1" t="n">
        <f aca="false">(-1)^HU58*HV58</f>
        <v>-0</v>
      </c>
      <c r="IB58" s="1" t="n">
        <v>0</v>
      </c>
      <c r="ID58" s="1" t="n">
        <f aca="false">$AM58</f>
        <v>47</v>
      </c>
      <c r="IE58" s="1" t="n">
        <f aca="false">FZ58</f>
        <v>0</v>
      </c>
      <c r="IF58" s="1" t="n">
        <f aca="false">IF$6*(1+IF$5*(-1)^$FQ58)*EXP(-$FQ58/IF$4)</f>
        <v>4.46078062047476E-006</v>
      </c>
      <c r="IG58" s="1" t="n">
        <f aca="false">(IE58-IF58)^2</f>
        <v>1.98985637440032E-011</v>
      </c>
      <c r="IH58" s="1" t="n">
        <f aca="false">EXP($FQ58/$JG$4)*IE58</f>
        <v>0</v>
      </c>
      <c r="II58" s="1" t="n">
        <f aca="false">EXP($FQ58/$JG$4)*(-1)^$FQ58*IE58</f>
        <v>-0</v>
      </c>
      <c r="IJ58" s="1" t="n">
        <f aca="false">(-1)^ID58*IE58</f>
        <v>-0</v>
      </c>
      <c r="IK58" s="1" t="n">
        <v>0</v>
      </c>
      <c r="IM58" s="1" t="n">
        <f aca="false">$AM58</f>
        <v>47</v>
      </c>
      <c r="IN58" s="1" t="n">
        <f aca="false">GD58</f>
        <v>0</v>
      </c>
      <c r="IO58" s="1" t="n">
        <f aca="false">IO$6*(1+IO$5*(-1)^$FQ58)*EXP(-$FQ58/IO$4)</f>
        <v>3.23785423497562E-005</v>
      </c>
      <c r="IP58" s="1" t="n">
        <f aca="false">(IN58-IO58)^2</f>
        <v>1.04837000469496E-009</v>
      </c>
      <c r="IQ58" s="1" t="n">
        <f aca="false">EXP($FQ58/$JG$4)*IN58</f>
        <v>0</v>
      </c>
      <c r="IR58" s="1" t="n">
        <f aca="false">EXP($FQ58/$JG$4)*(-1)^$FQ58*IN58</f>
        <v>-0</v>
      </c>
      <c r="IS58" s="1" t="n">
        <f aca="false">(-1)^IM58*IN58</f>
        <v>-0</v>
      </c>
      <c r="IT58" s="1" t="n">
        <v>0</v>
      </c>
      <c r="IV58" s="1" t="n">
        <f aca="false">$AM58</f>
        <v>47</v>
      </c>
      <c r="IW58" s="1" t="n">
        <f aca="false">GH58</f>
        <v>0</v>
      </c>
      <c r="IX58" s="1" t="n">
        <f aca="false">IX$6*(1+IX$5*(-1)^$FQ58)*EXP(-$FQ58/IX$4)</f>
        <v>0.00109430598828082</v>
      </c>
      <c r="IY58" s="1" t="n">
        <f aca="false">(IW58-IX58)^2</f>
        <v>1.19750559598726E-006</v>
      </c>
      <c r="IZ58" s="1" t="n">
        <f aca="false">EXP($FQ58/$JG$4)*IW58</f>
        <v>0</v>
      </c>
      <c r="JA58" s="1" t="n">
        <f aca="false">EXP($FQ58/$JG$4)*(-1)^$FQ58*IW58</f>
        <v>-0</v>
      </c>
      <c r="JB58" s="1" t="n">
        <f aca="false">(-1)^IV58*IW58</f>
        <v>-0</v>
      </c>
      <c r="JE58" s="1" t="n">
        <f aca="false">$AM58</f>
        <v>47</v>
      </c>
      <c r="JF58" s="1" t="n">
        <f aca="false">GL58</f>
        <v>0</v>
      </c>
      <c r="JG58" s="1" t="n">
        <f aca="false">JG$6*(1+JG$5*(-1)^$FQ58)*EXP(-$FQ58/JG$4)</f>
        <v>0.000129780090789865</v>
      </c>
      <c r="JH58" s="1" t="n">
        <f aca="false">(JF58-JG58)^2</f>
        <v>1.68428719654256E-008</v>
      </c>
      <c r="JI58" s="1" t="n">
        <f aca="false">EXP($FQ58/$JG$4)*JF58</f>
        <v>0</v>
      </c>
      <c r="JJ58" s="1" t="n">
        <f aca="false">EXP($FQ58/$JG$4)*(-1)^$FQ58*JF58</f>
        <v>-0</v>
      </c>
      <c r="JK58" s="1" t="n">
        <f aca="false">(-1)^JE58*JF58</f>
        <v>-0</v>
      </c>
      <c r="JO58" s="1" t="n">
        <f aca="false">$AM58</f>
        <v>47</v>
      </c>
      <c r="JP58" s="1" t="n">
        <f aca="false">GM58</f>
        <v>0</v>
      </c>
      <c r="JQ58" s="1" t="n">
        <f aca="false">JQ$6*(1+JQ$5*(-1)^$FQ58)*EXP(-$FQ58/JQ$4)</f>
        <v>0.0637896566068447</v>
      </c>
      <c r="JR58" s="1" t="n">
        <f aca="false">(JP58-JQ58)^2</f>
        <v>0.00406912029001917</v>
      </c>
      <c r="JS58" s="1" t="n">
        <f aca="false">EXP($FQ58/$JG$4)*JP58</f>
        <v>0</v>
      </c>
      <c r="JT58" s="1" t="n">
        <f aca="false">EXP($FQ58/$JG$4)*(-1)^$FQ58*JP58</f>
        <v>-0</v>
      </c>
      <c r="JU58" s="1" t="n">
        <f aca="false">(-1)^JO58*JP58</f>
        <v>-0</v>
      </c>
    </row>
    <row r="59" customFormat="false" ht="16" hidden="false" customHeight="false" outlineLevel="0" collapsed="false">
      <c r="A59" s="1" t="n">
        <v>1</v>
      </c>
      <c r="B59" s="1" t="n">
        <v>1</v>
      </c>
      <c r="C59" s="1" t="n">
        <f aca="false">B59-A59</f>
        <v>0</v>
      </c>
      <c r="D59" s="1" t="n">
        <v>1</v>
      </c>
      <c r="E59" s="1" t="n">
        <v>1</v>
      </c>
      <c r="F59" s="1" t="n">
        <f aca="false">E59-D59</f>
        <v>0</v>
      </c>
      <c r="G59" s="1" t="n">
        <v>3</v>
      </c>
      <c r="H59" s="1" t="n">
        <v>3</v>
      </c>
      <c r="I59" s="1" t="n">
        <f aca="false">H59-G59</f>
        <v>0</v>
      </c>
      <c r="J59" s="1" t="n">
        <v>2</v>
      </c>
      <c r="K59" s="1" t="n">
        <v>2</v>
      </c>
      <c r="L59" s="1" t="n">
        <f aca="false">K59-J59</f>
        <v>0</v>
      </c>
      <c r="M59" s="1" t="n">
        <v>1</v>
      </c>
      <c r="N59" s="1" t="n">
        <v>4</v>
      </c>
      <c r="O59" s="1" t="n">
        <f aca="false">N59-M59</f>
        <v>3</v>
      </c>
      <c r="P59" s="1" t="n">
        <v>3</v>
      </c>
      <c r="Q59" s="1" t="n">
        <v>5</v>
      </c>
      <c r="R59" s="1" t="n">
        <f aca="false">Q59-P59</f>
        <v>2</v>
      </c>
      <c r="S59" s="1" t="n">
        <v>2</v>
      </c>
      <c r="T59" s="1" t="n">
        <v>5</v>
      </c>
      <c r="U59" s="1" t="n">
        <f aca="false">T59-S59</f>
        <v>3</v>
      </c>
      <c r="V59" s="1" t="n">
        <v>4</v>
      </c>
      <c r="W59" s="1" t="n">
        <v>8</v>
      </c>
      <c r="X59" s="1" t="n">
        <f aca="false">W59-V59</f>
        <v>4</v>
      </c>
      <c r="Y59" s="1" t="n">
        <v>5</v>
      </c>
      <c r="Z59" s="1" t="n">
        <v>5</v>
      </c>
      <c r="AA59" s="1" t="n">
        <f aca="false">Z59-Y59</f>
        <v>0</v>
      </c>
      <c r="AB59" s="1" t="n">
        <v>4</v>
      </c>
      <c r="AC59" s="1" t="n">
        <v>4</v>
      </c>
      <c r="AD59" s="1" t="n">
        <f aca="false">AC59-AB59</f>
        <v>0</v>
      </c>
      <c r="AE59" s="1" t="n">
        <v>2</v>
      </c>
      <c r="AF59" s="1" t="n">
        <v>7</v>
      </c>
      <c r="AG59" s="1" t="n">
        <f aca="false">AF59-AE59</f>
        <v>5</v>
      </c>
      <c r="AI59" s="1" t="s">
        <v>79</v>
      </c>
      <c r="AK59" s="1" t="n">
        <v>5</v>
      </c>
      <c r="AM59" s="1" t="n">
        <v>48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W59" s="1" t="n">
        <f aca="false">$AM59</f>
        <v>48</v>
      </c>
      <c r="BX59" s="1" t="n">
        <f aca="false">MAX(BX58-AN59/AN$9*100,0)</f>
        <v>0</v>
      </c>
      <c r="BY59" s="1" t="n">
        <f aca="false">MAX(BY58-AO59/AO$9*100,0)</f>
        <v>0</v>
      </c>
      <c r="BZ59" s="1" t="n">
        <f aca="false">MAX(BZ58-AQ59/AQ$9*100,0)</f>
        <v>0</v>
      </c>
      <c r="CA59" s="1" t="n">
        <f aca="false">MAX(CA58-AR59/AR$9*100,0)</f>
        <v>0</v>
      </c>
      <c r="CB59" s="1" t="n">
        <f aca="false">CB$7*EXP(-$AM59/CB$8)</f>
        <v>1.76702835318445E-025</v>
      </c>
      <c r="CC59" s="1" t="n">
        <f aca="false">(BZ59-CB59)^2</f>
        <v>3.12238920095775E-050</v>
      </c>
      <c r="CD59" s="1" t="n">
        <f aca="false">MAX(CD58-AT59/AT$9*100,0)</f>
        <v>0</v>
      </c>
      <c r="CE59" s="1" t="n">
        <f aca="false">MAX(CE58-AU59/AU$9*100,0)</f>
        <v>5.32907051820075E-015</v>
      </c>
      <c r="CF59" s="1" t="n">
        <f aca="false">CF$7*EXP(-$AM59/CF$8)</f>
        <v>8.5631482258352E-025</v>
      </c>
      <c r="CG59" s="1" t="n">
        <f aca="false">(CD59-CF59)^2</f>
        <v>7.33275075376245E-049</v>
      </c>
      <c r="CH59" s="1" t="n">
        <f aca="false">$AM59</f>
        <v>48</v>
      </c>
      <c r="CI59" s="1" t="n">
        <f aca="false">MAX(CI58-AW59/AW$9*100,0)</f>
        <v>0</v>
      </c>
      <c r="CJ59" s="1" t="n">
        <f aca="false">MAX(CJ58-AX59/AX$9*100,0)</f>
        <v>0</v>
      </c>
      <c r="CK59" s="1" t="n">
        <f aca="false">CK$7*EXP(-$AM59/CK$8)</f>
        <v>2.7115054914894E-016</v>
      </c>
      <c r="CL59" s="1" t="n">
        <f aca="false">(CI59-CK59)^2</f>
        <v>7.35226203037717E-032</v>
      </c>
      <c r="CM59" s="1" t="n">
        <f aca="false">MAX(CM58-AZ59/AZ$9*100,0)</f>
        <v>0</v>
      </c>
      <c r="CN59" s="1" t="n">
        <f aca="false">MAX(CN58-BA59/BA$9*100,0)</f>
        <v>5.32907051820075E-015</v>
      </c>
      <c r="CO59" s="1" t="n">
        <f aca="false">CO$7*EXP(-$AM59/CO$8)</f>
        <v>1.26377945064488E-008</v>
      </c>
      <c r="CP59" s="1" t="n">
        <f aca="false">(CM59-CO59)^2</f>
        <v>1.59713849987227E-016</v>
      </c>
      <c r="CQ59" s="1" t="n">
        <f aca="false">$AM59</f>
        <v>48</v>
      </c>
      <c r="CR59" s="1" t="n">
        <f aca="false">MAX(CR58-BC59/BC$9*100,0)</f>
        <v>0</v>
      </c>
      <c r="CS59" s="1" t="n">
        <f aca="false">MAX(CS58-BD59/BD$9*100,0)</f>
        <v>0</v>
      </c>
      <c r="CT59" s="1" t="n">
        <f aca="false">CT$7*EXP(-$AM59/CT$8)</f>
        <v>5.66288449866712E-015</v>
      </c>
      <c r="CU59" s="1" t="n">
        <f aca="false">(CR59-CT59)^2</f>
        <v>3.20682608452444E-029</v>
      </c>
      <c r="CV59" s="1" t="n">
        <f aca="false">MAX(CV58-BF59/BF$9*100,0)</f>
        <v>8.88178419700125E-015</v>
      </c>
      <c r="CW59" s="1" t="n">
        <f aca="false">MAX(CW58-BG59/BG$9*100,0)</f>
        <v>5.32907051820075E-015</v>
      </c>
      <c r="CX59" s="1" t="n">
        <f aca="false">CX$7*EXP(-$AM59/CX$8)</f>
        <v>3.2778152089856E-007</v>
      </c>
      <c r="CY59" s="1" t="n">
        <f aca="false">(CV59-CX59)^2</f>
        <v>1.07440719620004E-013</v>
      </c>
      <c r="CZ59" s="1" t="n">
        <f aca="false">$AM59</f>
        <v>48</v>
      </c>
      <c r="DA59" s="1" t="n">
        <f aca="false">MAX(DA58-BI59/BI$9*100,0)</f>
        <v>0</v>
      </c>
      <c r="DB59" s="1" t="n">
        <f aca="false">MAX(DB58-BJ59/BJ$9*100,0)</f>
        <v>9.88098491916389E-015</v>
      </c>
      <c r="DC59" s="1" t="n">
        <f aca="false">DC$7*EXP(-$AM59/DC$8)</f>
        <v>9.72664247024171E-014</v>
      </c>
      <c r="DD59" s="1" t="n">
        <f aca="false">(DA59-DC59)^2</f>
        <v>9.46075737439097E-027</v>
      </c>
      <c r="DE59" s="1" t="n">
        <f aca="false">MAX(DE58-BL59/BL$9*100,0)</f>
        <v>0</v>
      </c>
      <c r="DF59" s="1" t="n">
        <f aca="false">MAX(DF58-BM59/BM$9*100,0)</f>
        <v>0.636942675159225</v>
      </c>
      <c r="DG59" s="1" t="n">
        <f aca="false">DG$7*EXP(-$AM59/DG$8)</f>
        <v>0.000740377588576049</v>
      </c>
      <c r="DH59" s="1" t="n">
        <f aca="false">(DE59-DG59)^2</f>
        <v>5.48158973665685E-007</v>
      </c>
      <c r="DI59" s="1" t="n">
        <f aca="false">$AM59</f>
        <v>48</v>
      </c>
      <c r="DJ59" s="1" t="n">
        <f aca="false">MAX(DJ58-BO59/BO$9*100,0)</f>
        <v>0</v>
      </c>
      <c r="DK59" s="1" t="n">
        <f aca="false">MAX(DK58-BP59/BP$9*100,0)</f>
        <v>9.99200722162641E-015</v>
      </c>
      <c r="DL59" s="1" t="n">
        <f aca="false">DL$7*EXP(-$AM59/DL$8)</f>
        <v>2.43809880252609E-011</v>
      </c>
      <c r="DM59" s="1" t="n">
        <f aca="false">(DJ59-DL59)^2</f>
        <v>5.94432577087915E-022</v>
      </c>
      <c r="DN59" s="1" t="n">
        <f aca="false">MAX(DN58-BR59/BR$9*100,0)</f>
        <v>0</v>
      </c>
      <c r="DO59" s="1" t="n">
        <f aca="false">MAX(DO58-BS59/BS$9*100,0)</f>
        <v>0.502512562814067</v>
      </c>
      <c r="DP59" s="1" t="n">
        <f aca="false">DP$7*EXP(-$AM59/DP$8)</f>
        <v>0.000151683769771524</v>
      </c>
      <c r="DQ59" s="1" t="n">
        <f aca="false">(DN59-DP59)^2</f>
        <v>2.30079660121007E-008</v>
      </c>
      <c r="DS59" s="1" t="n">
        <f aca="false">$AM59</f>
        <v>48</v>
      </c>
      <c r="DT59" s="1" t="n">
        <f aca="false">CA59</f>
        <v>0</v>
      </c>
      <c r="DU59" s="1" t="n">
        <f aca="false">DU$7*EXP(-DS59/DU$8)</f>
        <v>5.26413046559517E-020</v>
      </c>
      <c r="DV59" s="1" t="n">
        <f aca="false">(DT59-DU59)^2</f>
        <v>2.77110695588072E-039</v>
      </c>
      <c r="DX59" s="1" t="n">
        <f aca="false">$AM59</f>
        <v>48</v>
      </c>
      <c r="DY59" s="1" t="n">
        <f aca="false">CM59</f>
        <v>0</v>
      </c>
      <c r="DZ59" s="1" t="n">
        <f aca="false">DZ$7*EXP(-DX59/DZ$8)</f>
        <v>3.0714624865072E-010</v>
      </c>
      <c r="EA59" s="1" t="n">
        <f aca="false">(DY59-DZ59)^2</f>
        <v>9.43388180602099E-020</v>
      </c>
      <c r="EC59" s="1" t="n">
        <f aca="false">$AM59</f>
        <v>48</v>
      </c>
      <c r="ED59" s="1" t="n">
        <f aca="false">CV59</f>
        <v>8.88178419700125E-015</v>
      </c>
      <c r="EE59" s="1" t="n">
        <f aca="false">EE$7*EXP(-EC59/EE$8)</f>
        <v>1.11988277942645E-007</v>
      </c>
      <c r="EF59" s="1" t="n">
        <f aca="false">(ED59-EE59)^2</f>
        <v>1.25413724072478E-014</v>
      </c>
      <c r="EH59" s="1" t="n">
        <f aca="false">$AM59</f>
        <v>48</v>
      </c>
      <c r="EI59" s="1" t="n">
        <f aca="false">DE59</f>
        <v>0</v>
      </c>
      <c r="EJ59" s="1" t="n">
        <f aca="false">EJ$7*EXP(-EH59/EJ$8)</f>
        <v>0.000737305482399385</v>
      </c>
      <c r="EK59" s="1" t="n">
        <f aca="false">(EI59-EJ59)^2</f>
        <v>5.4361937437619E-007</v>
      </c>
      <c r="EM59" s="1" t="n">
        <f aca="false">AM59</f>
        <v>48</v>
      </c>
      <c r="EN59" s="1" t="n">
        <f aca="false">DN59</f>
        <v>0</v>
      </c>
      <c r="EO59" s="1" t="n">
        <f aca="false">EO$7*EXP(-EM59/EO$8)</f>
        <v>0.000233298177983594</v>
      </c>
      <c r="EP59" s="1" t="n">
        <f aca="false">(EN59-EO59)^2</f>
        <v>5.44280398504647E-008</v>
      </c>
      <c r="ER59" s="1" t="n">
        <f aca="false">$AM59</f>
        <v>48</v>
      </c>
      <c r="ES59" s="1" t="n">
        <f aca="false">BZ59</f>
        <v>0</v>
      </c>
      <c r="ET59" s="1" t="n">
        <f aca="false">ET$7*EXP(-ER59/ET$8)</f>
        <v>2.79012430567828E-023</v>
      </c>
      <c r="EU59" s="1" t="n">
        <f aca="false">(ES59-ET59)^2</f>
        <v>7.78479364113671E-046</v>
      </c>
      <c r="EW59" s="1" t="n">
        <f aca="false">$AM59</f>
        <v>48</v>
      </c>
      <c r="EX59" s="1" t="n">
        <f aca="false">CI59</f>
        <v>0</v>
      </c>
      <c r="EY59" s="1" t="n">
        <f aca="false">EY$7*EXP(-EW59/EY$8)</f>
        <v>3.02918139443633E-021</v>
      </c>
      <c r="EZ59" s="1" t="n">
        <f aca="false">(EX59-EY59)^2</f>
        <v>9.17593992039923E-042</v>
      </c>
      <c r="FB59" s="1" t="n">
        <f aca="false">$AM59</f>
        <v>48</v>
      </c>
      <c r="FC59" s="1" t="n">
        <f aca="false">CR59</f>
        <v>0</v>
      </c>
      <c r="FD59" s="1" t="n">
        <f aca="false">FD$7*EXP(-FB59/FD$8)</f>
        <v>2.49435333165388E-018</v>
      </c>
      <c r="FE59" s="1" t="n">
        <f aca="false">(FC59-FD59)^2</f>
        <v>6.22179854313281E-036</v>
      </c>
      <c r="FG59" s="1" t="n">
        <f aca="false">$AM59</f>
        <v>48</v>
      </c>
      <c r="FH59" s="1" t="n">
        <f aca="false">DA59</f>
        <v>0</v>
      </c>
      <c r="FI59" s="1" t="n">
        <f aca="false">FI$7*EXP(-FG59/FI$8)</f>
        <v>1.09977056526861E-015</v>
      </c>
      <c r="FJ59" s="1" t="n">
        <f aca="false">(FH59-FI59)^2</f>
        <v>1.20949529623124E-030</v>
      </c>
      <c r="FL59" s="1" t="n">
        <f aca="false">EM59</f>
        <v>48</v>
      </c>
      <c r="FM59" s="1" t="n">
        <f aca="false">DJ59</f>
        <v>0</v>
      </c>
      <c r="FN59" s="1" t="n">
        <f aca="false">FN$7*EXP(-FL59/FN$8)</f>
        <v>2.15290814334601E-012</v>
      </c>
      <c r="FO59" s="1" t="n">
        <f aca="false">(FM59-FN59)^2</f>
        <v>4.63501347368556E-024</v>
      </c>
      <c r="FQ59" s="1" t="n">
        <f aca="false">AM59</f>
        <v>48</v>
      </c>
      <c r="FR59" s="1" t="n">
        <f aca="false">AN59/AN$9*100</f>
        <v>0</v>
      </c>
      <c r="FS59" s="1" t="n">
        <f aca="false">AO59/AO$9*100</f>
        <v>0</v>
      </c>
      <c r="FT59" s="1" t="n">
        <f aca="false">AQ59/AQ$9*100</f>
        <v>0</v>
      </c>
      <c r="FU59" s="1" t="n">
        <f aca="false">AR59/AR$9*100</f>
        <v>0</v>
      </c>
      <c r="FV59" s="1" t="n">
        <f aca="false">AT59/AT$9*100</f>
        <v>0</v>
      </c>
      <c r="FW59" s="1" t="n">
        <f aca="false">AU59/AU$9*100</f>
        <v>0</v>
      </c>
      <c r="FX59" s="1" t="n">
        <f aca="false">AW59/AW$9*100</f>
        <v>0</v>
      </c>
      <c r="FY59" s="1" t="n">
        <f aca="false">AX59/AX$9*100</f>
        <v>0</v>
      </c>
      <c r="FZ59" s="1" t="n">
        <f aca="false">AZ59/AZ$9*100</f>
        <v>0</v>
      </c>
      <c r="GA59" s="1" t="n">
        <f aca="false">BA59/BA$9*100</f>
        <v>0</v>
      </c>
      <c r="GB59" s="1" t="n">
        <f aca="false">BC59/BC$9*100</f>
        <v>0</v>
      </c>
      <c r="GC59" s="1" t="n">
        <f aca="false">BD59/BD$9*100</f>
        <v>0</v>
      </c>
      <c r="GD59" s="1" t="n">
        <f aca="false">BF59/BF$9*100</f>
        <v>0</v>
      </c>
      <c r="GE59" s="1" t="n">
        <f aca="false">BG59/BG$9*100</f>
        <v>0</v>
      </c>
      <c r="GF59" s="1" t="n">
        <f aca="false">BI59/BI$9*100</f>
        <v>0</v>
      </c>
      <c r="GG59" s="1" t="n">
        <f aca="false">BJ59/BJ$9*100</f>
        <v>0</v>
      </c>
      <c r="GH59" s="1" t="n">
        <f aca="false">BL59/BL$9*100</f>
        <v>0</v>
      </c>
      <c r="GI59" s="1" t="n">
        <f aca="false">BM59/BM$9*100</f>
        <v>0</v>
      </c>
      <c r="GJ59" s="1" t="n">
        <f aca="false">BO59/BO$9*100</f>
        <v>0</v>
      </c>
      <c r="GK59" s="1" t="n">
        <f aca="false">BP59/BP$9*100</f>
        <v>0</v>
      </c>
      <c r="GL59" s="1" t="n">
        <f aca="false">BR59/BR$9*100</f>
        <v>0</v>
      </c>
      <c r="GM59" s="1" t="n">
        <f aca="false">BS59/BS$9*100</f>
        <v>0</v>
      </c>
      <c r="GO59" s="1" t="n">
        <f aca="false">$AM59</f>
        <v>48</v>
      </c>
      <c r="GP59" s="1" t="n">
        <f aca="false">FT59</f>
        <v>0</v>
      </c>
      <c r="GQ59" s="1" t="n">
        <f aca="false">GQ$6*(1+GQ$5*(-1)^$FQ59)*EXP(-$FQ59/GQ$4)</f>
        <v>3.30855806266289E-014</v>
      </c>
      <c r="GR59" s="1" t="n">
        <f aca="false">(GP59-GQ59)^2</f>
        <v>1.09465564540116E-027</v>
      </c>
      <c r="GS59" s="1" t="n">
        <f aca="false">EXP($FQ59/$JG$4)*GP59</f>
        <v>0</v>
      </c>
      <c r="GT59" s="1" t="n">
        <f aca="false">EXP($FQ59/$JG$4)*(-1)^$FQ59*GP59</f>
        <v>0</v>
      </c>
      <c r="GU59" s="1" t="n">
        <f aca="false">(-1)^GO59*GP59</f>
        <v>0</v>
      </c>
      <c r="GW59" s="1" t="n">
        <f aca="false">$AM59</f>
        <v>48</v>
      </c>
      <c r="GX59" s="1" t="n">
        <f aca="false">FX59</f>
        <v>0</v>
      </c>
      <c r="GY59" s="1" t="n">
        <f aca="false">GY$6*(1+GY$5*(-1)^$FQ59)*EXP(-$FQ59/GY$4)</f>
        <v>3.30855806266289E-014</v>
      </c>
      <c r="GZ59" s="1" t="n">
        <f aca="false">(GX59-GY59)^2</f>
        <v>1.09465564540116E-027</v>
      </c>
      <c r="HA59" s="1" t="n">
        <f aca="false">EXP($FQ59/$JG$4)*GX59</f>
        <v>0</v>
      </c>
      <c r="HB59" s="1" t="n">
        <f aca="false">EXP($FQ59/$JG$4)*(-1)^$FQ59*GX59</f>
        <v>0</v>
      </c>
      <c r="HC59" s="1" t="n">
        <f aca="false">(-1)^GW59*GX59</f>
        <v>0</v>
      </c>
      <c r="HE59" s="1" t="n">
        <f aca="false">$AM59</f>
        <v>48</v>
      </c>
      <c r="HF59" s="1" t="n">
        <f aca="false">GB59</f>
        <v>0</v>
      </c>
      <c r="HG59" s="1" t="n">
        <f aca="false">HG$6*(1+HG$5*(-1)^$FQ59)*EXP(-$FQ59/HG$4)</f>
        <v>3.30855806266289E-014</v>
      </c>
      <c r="HH59" s="1" t="n">
        <f aca="false">(HF59-HG59)^2</f>
        <v>1.09465564540116E-027</v>
      </c>
      <c r="HI59" s="1" t="n">
        <f aca="false">EXP($FQ59/$JG$4)*HF59</f>
        <v>0</v>
      </c>
      <c r="HJ59" s="1" t="n">
        <f aca="false">EXP($FQ59/$JG$4)*(-1)^$FQ59*HF59</f>
        <v>0</v>
      </c>
      <c r="HK59" s="1" t="n">
        <f aca="false">(-1)^HE59*HF59</f>
        <v>0</v>
      </c>
      <c r="HM59" s="1" t="n">
        <f aca="false">$AM59</f>
        <v>48</v>
      </c>
      <c r="HN59" s="1" t="n">
        <f aca="false">GF59</f>
        <v>0</v>
      </c>
      <c r="HO59" s="1" t="n">
        <f aca="false">HO$6*(1+HO$5*(-1)^$FQ59)*EXP(-$FQ59/HO$4)</f>
        <v>5.43666306623871E-011</v>
      </c>
      <c r="HP59" s="1" t="n">
        <f aca="false">(HN59-HO59)^2</f>
        <v>2.95573052958041E-021</v>
      </c>
      <c r="HQ59" s="1" t="n">
        <f aca="false">EXP($FQ59/$JG$4)*HN59</f>
        <v>0</v>
      </c>
      <c r="HR59" s="1" t="n">
        <f aca="false">EXP($FQ59/$JG$4)*(-1)^$FQ59*HN59</f>
        <v>0</v>
      </c>
      <c r="HS59" s="1" t="n">
        <f aca="false">(-1)^HM59*HN59</f>
        <v>0</v>
      </c>
      <c r="HU59" s="1" t="n">
        <f aca="false">$AM59</f>
        <v>48</v>
      </c>
      <c r="HV59" s="1" t="n">
        <f aca="false">GJ59</f>
        <v>0</v>
      </c>
      <c r="HW59" s="1" t="n">
        <f aca="false">HW$6*(1+HW$5*(-1)^$FQ59)*EXP(-$FQ59/HW$4)</f>
        <v>5.59368537247707E-008</v>
      </c>
      <c r="HX59" s="1" t="n">
        <f aca="false">(HV59-HW59)^2</f>
        <v>3.12893160462639E-015</v>
      </c>
      <c r="HY59" s="1" t="n">
        <f aca="false">EXP($FQ59/$JG$4)*HV59</f>
        <v>0</v>
      </c>
      <c r="HZ59" s="1" t="n">
        <f aca="false">EXP($FQ59/$JG$4)*(-1)^$FQ59*HV59</f>
        <v>0</v>
      </c>
      <c r="IA59" s="1" t="n">
        <f aca="false">(-1)^HU59*HV59</f>
        <v>0</v>
      </c>
      <c r="IB59" s="1" t="n">
        <v>0</v>
      </c>
      <c r="ID59" s="1" t="n">
        <f aca="false">$AM59</f>
        <v>48</v>
      </c>
      <c r="IE59" s="1" t="n">
        <f aca="false">FZ59</f>
        <v>0</v>
      </c>
      <c r="IF59" s="1" t="n">
        <f aca="false">IF$6*(1+IF$5*(-1)^$FQ59)*EXP(-$FQ59/IF$4)</f>
        <v>6.20456096927299E-006</v>
      </c>
      <c r="IG59" s="1" t="n">
        <f aca="false">(IE59-IF59)^2</f>
        <v>3.84965768214258E-011</v>
      </c>
      <c r="IH59" s="1" t="n">
        <f aca="false">EXP($FQ59/$JG$4)*IE59</f>
        <v>0</v>
      </c>
      <c r="II59" s="1" t="n">
        <f aca="false">EXP($FQ59/$JG$4)*(-1)^$FQ59*IE59</f>
        <v>0</v>
      </c>
      <c r="IJ59" s="1" t="n">
        <f aca="false">(-1)^ID59*IE59</f>
        <v>0</v>
      </c>
      <c r="IK59" s="1" t="n">
        <v>0</v>
      </c>
      <c r="IM59" s="1" t="n">
        <f aca="false">$AM59</f>
        <v>48</v>
      </c>
      <c r="IN59" s="1" t="n">
        <f aca="false">GD59</f>
        <v>0</v>
      </c>
      <c r="IO59" s="1" t="n">
        <f aca="false">IO$6*(1+IO$5*(-1)^$FQ59)*EXP(-$FQ59/IO$4)</f>
        <v>5.29118776530859E-005</v>
      </c>
      <c r="IP59" s="1" t="n">
        <f aca="false">(IN59-IO59)^2</f>
        <v>2.79966679677513E-009</v>
      </c>
      <c r="IQ59" s="1" t="n">
        <f aca="false">EXP($FQ59/$JG$4)*IN59</f>
        <v>0</v>
      </c>
      <c r="IR59" s="1" t="n">
        <f aca="false">EXP($FQ59/$JG$4)*(-1)^$FQ59*IN59</f>
        <v>0</v>
      </c>
      <c r="IS59" s="1" t="n">
        <f aca="false">(-1)^IM59*IN59</f>
        <v>0</v>
      </c>
      <c r="IT59" s="1" t="n">
        <v>0</v>
      </c>
      <c r="IV59" s="1" t="n">
        <f aca="false">$AM59</f>
        <v>48</v>
      </c>
      <c r="IW59" s="1" t="n">
        <f aca="false">GH59</f>
        <v>0</v>
      </c>
      <c r="IX59" s="1" t="n">
        <f aca="false">IX$6*(1+IX$5*(-1)^$FQ59)*EXP(-$FQ59/IX$4)</f>
        <v>0.00350133668253878</v>
      </c>
      <c r="IY59" s="1" t="n">
        <f aca="false">(IW59-IX59)^2</f>
        <v>1.22593585644917E-005</v>
      </c>
      <c r="IZ59" s="1" t="n">
        <f aca="false">EXP($FQ59/$JG$4)*IW59</f>
        <v>0</v>
      </c>
      <c r="JA59" s="1" t="n">
        <f aca="false">EXP($FQ59/$JG$4)*(-1)^$FQ59*IW59</f>
        <v>0</v>
      </c>
      <c r="JB59" s="1" t="n">
        <f aca="false">(-1)^IV59*IW59</f>
        <v>0</v>
      </c>
      <c r="JE59" s="1" t="n">
        <f aca="false">$AM59</f>
        <v>48</v>
      </c>
      <c r="JF59" s="1" t="n">
        <f aca="false">GL59</f>
        <v>0</v>
      </c>
      <c r="JG59" s="1" t="n">
        <f aca="false">JG$6*(1+JG$5*(-1)^$FQ59)*EXP(-$FQ59/JG$4)</f>
        <v>0.000672652879224176</v>
      </c>
      <c r="JH59" s="1" t="n">
        <f aca="false">(JF59-JG59)^2</f>
        <v>4.52461895928574E-007</v>
      </c>
      <c r="JI59" s="1" t="n">
        <f aca="false">EXP($FQ59/$JG$4)*JF59</f>
        <v>0</v>
      </c>
      <c r="JJ59" s="1" t="n">
        <f aca="false">EXP($FQ59/$JG$4)*(-1)^$FQ59*JF59</f>
        <v>0</v>
      </c>
      <c r="JK59" s="1" t="n">
        <f aca="false">(-1)^JE59*JF59</f>
        <v>0</v>
      </c>
      <c r="JO59" s="1" t="n">
        <f aca="false">$AM59</f>
        <v>48</v>
      </c>
      <c r="JP59" s="1" t="n">
        <f aca="false">GM59</f>
        <v>0</v>
      </c>
      <c r="JQ59" s="1" t="n">
        <f aca="false">JQ$6*(1+JQ$5*(-1)^$FQ59)*EXP(-$FQ59/JQ$4)</f>
        <v>0.309147692406885</v>
      </c>
      <c r="JR59" s="1" t="n">
        <f aca="false">(JP59-JQ59)^2</f>
        <v>0.095572295720502</v>
      </c>
      <c r="JS59" s="1" t="n">
        <f aca="false">EXP($FQ59/$JG$4)*JP59</f>
        <v>0</v>
      </c>
      <c r="JT59" s="1" t="n">
        <f aca="false">EXP($FQ59/$JG$4)*(-1)^$FQ59*JP59</f>
        <v>0</v>
      </c>
      <c r="JU59" s="1" t="n">
        <f aca="false">(-1)^JO59*JP59</f>
        <v>0</v>
      </c>
    </row>
    <row r="60" customFormat="false" ht="16" hidden="false" customHeight="false" outlineLevel="0" collapsed="false">
      <c r="A60" s="1" t="n">
        <v>1</v>
      </c>
      <c r="B60" s="1" t="n">
        <v>1</v>
      </c>
      <c r="C60" s="1" t="n">
        <f aca="false">B60-A60</f>
        <v>0</v>
      </c>
      <c r="D60" s="1" t="n">
        <v>2</v>
      </c>
      <c r="E60" s="1" t="n">
        <v>4</v>
      </c>
      <c r="F60" s="1" t="n">
        <f aca="false">E60-D60</f>
        <v>2</v>
      </c>
      <c r="G60" s="1" t="n">
        <v>2</v>
      </c>
      <c r="H60" s="1" t="n">
        <v>2</v>
      </c>
      <c r="I60" s="1" t="n">
        <f aca="false">H60-G60</f>
        <v>0</v>
      </c>
      <c r="J60" s="1" t="n">
        <v>4</v>
      </c>
      <c r="K60" s="1" t="n">
        <v>4</v>
      </c>
      <c r="L60" s="1" t="n">
        <f aca="false">K60-J60</f>
        <v>0</v>
      </c>
      <c r="M60" s="1" t="n">
        <v>4</v>
      </c>
      <c r="N60" s="1" t="n">
        <v>4</v>
      </c>
      <c r="O60" s="1" t="n">
        <f aca="false">N60-M60</f>
        <v>0</v>
      </c>
      <c r="P60" s="1" t="n">
        <v>4</v>
      </c>
      <c r="Q60" s="1" t="n">
        <v>4</v>
      </c>
      <c r="R60" s="1" t="n">
        <f aca="false">Q60-P60</f>
        <v>0</v>
      </c>
      <c r="S60" s="1" t="n">
        <v>2</v>
      </c>
      <c r="T60" s="1" t="n">
        <v>2</v>
      </c>
      <c r="U60" s="1" t="n">
        <f aca="false">T60-S60</f>
        <v>0</v>
      </c>
      <c r="V60" s="1" t="n">
        <v>2</v>
      </c>
      <c r="W60" s="1" t="n">
        <v>4</v>
      </c>
      <c r="X60" s="1" t="n">
        <f aca="false">W60-V60</f>
        <v>2</v>
      </c>
      <c r="Y60" s="1" t="n">
        <v>6</v>
      </c>
      <c r="Z60" s="1" t="n">
        <v>6</v>
      </c>
      <c r="AA60" s="1" t="n">
        <f aca="false">Z60-Y60</f>
        <v>0</v>
      </c>
      <c r="AB60" s="1" t="n">
        <v>5</v>
      </c>
      <c r="AC60" s="1" t="n">
        <v>8</v>
      </c>
      <c r="AD60" s="1" t="n">
        <f aca="false">AC60-AB60</f>
        <v>3</v>
      </c>
      <c r="AE60" s="1" t="n">
        <v>2</v>
      </c>
      <c r="AF60" s="1" t="n">
        <v>8</v>
      </c>
      <c r="AG60" s="1" t="n">
        <f aca="false">AF60-AE60</f>
        <v>6</v>
      </c>
      <c r="AI60" s="1" t="n">
        <v>0</v>
      </c>
      <c r="AJ60" s="1" t="n">
        <f aca="false">COUNTIF(B$2:B$1000,1)/COUNT(B$2:B$1000)</f>
        <v>0.48695652173913</v>
      </c>
      <c r="AK60" s="1" t="n">
        <f aca="false">AK$58*EXP(-AI60/AK$59)</f>
        <v>0.5</v>
      </c>
      <c r="AM60" s="1" t="n">
        <v>49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W60" s="1" t="n">
        <f aca="false">$AM60</f>
        <v>49</v>
      </c>
      <c r="BX60" s="1" t="n">
        <f aca="false">MAX(BX59-AN60/AN$9*100,0)</f>
        <v>0</v>
      </c>
      <c r="BY60" s="1" t="n">
        <f aca="false">MAX(BY59-AO60/AO$9*100,0)</f>
        <v>0</v>
      </c>
      <c r="BZ60" s="1" t="n">
        <f aca="false">MAX(BZ59-AQ60/AQ$9*100,0)</f>
        <v>0</v>
      </c>
      <c r="CA60" s="1" t="n">
        <f aca="false">MAX(CA59-AR60/AR$9*100,0)</f>
        <v>0</v>
      </c>
      <c r="CB60" s="1" t="n">
        <f aca="false">CB$7*EXP(-$AM60/CB$8)</f>
        <v>4.82197229136019E-026</v>
      </c>
      <c r="CC60" s="1" t="n">
        <f aca="false">(BZ60-CB60)^2</f>
        <v>2.32514167786454E-051</v>
      </c>
      <c r="CD60" s="1" t="n">
        <f aca="false">MAX(CD59-AT60/AT$9*100,0)</f>
        <v>0</v>
      </c>
      <c r="CE60" s="1" t="n">
        <f aca="false">MAX(CE59-AU60/AU$9*100,0)</f>
        <v>5.32907051820075E-015</v>
      </c>
      <c r="CF60" s="1" t="n">
        <f aca="false">CF$7*EXP(-$AM60/CF$8)</f>
        <v>2.41486919268944E-025</v>
      </c>
      <c r="CG60" s="1" t="n">
        <f aca="false">(CD60-CF60)^2</f>
        <v>5.83159321780055E-050</v>
      </c>
      <c r="CH60" s="1" t="n">
        <f aca="false">$AM60</f>
        <v>49</v>
      </c>
      <c r="CI60" s="1" t="n">
        <f aca="false">MAX(CI59-AW60/AW$9*100,0)</f>
        <v>0</v>
      </c>
      <c r="CJ60" s="1" t="n">
        <f aca="false">MAX(CJ59-AX60/AX$9*100,0)</f>
        <v>0</v>
      </c>
      <c r="CK60" s="1" t="n">
        <f aca="false">CK$7*EXP(-$AM60/CK$8)</f>
        <v>1.15350272136725E-016</v>
      </c>
      <c r="CL60" s="1" t="n">
        <f aca="false">(CI60-CK60)^2</f>
        <v>1.33056852820165E-032</v>
      </c>
      <c r="CM60" s="1" t="n">
        <f aca="false">MAX(CM59-AZ60/AZ$9*100,0)</f>
        <v>0</v>
      </c>
      <c r="CN60" s="1" t="n">
        <f aca="false">MAX(CN59-BA60/BA$9*100,0)</f>
        <v>5.32907051820075E-015</v>
      </c>
      <c r="CO60" s="1" t="n">
        <f aca="false">CO$7*EXP(-$AM60/CO$8)</f>
        <v>7.81404423395224E-009</v>
      </c>
      <c r="CP60" s="1" t="n">
        <f aca="false">(CM60-CO60)^2</f>
        <v>6.10592872901622E-017</v>
      </c>
      <c r="CQ60" s="1" t="n">
        <f aca="false">$AM60</f>
        <v>49</v>
      </c>
      <c r="CR60" s="1" t="n">
        <f aca="false">MAX(CR59-BC60/BC$9*100,0)</f>
        <v>0</v>
      </c>
      <c r="CS60" s="1" t="n">
        <f aca="false">MAX(CS59-BD60/BD$9*100,0)</f>
        <v>0</v>
      </c>
      <c r="CT60" s="1" t="n">
        <f aca="false">CT$7*EXP(-$AM60/CT$8)</f>
        <v>2.57675747619413E-015</v>
      </c>
      <c r="CU60" s="1" t="n">
        <f aca="false">(CR60-CT60)^2</f>
        <v>6.63967909112234E-030</v>
      </c>
      <c r="CV60" s="1" t="n">
        <f aca="false">MAX(CV59-BF60/BF$9*100,0)</f>
        <v>8.88178419700125E-015</v>
      </c>
      <c r="CW60" s="1" t="n">
        <f aca="false">MAX(CW59-BG60/BG$9*100,0)</f>
        <v>5.32907051820075E-015</v>
      </c>
      <c r="CX60" s="1" t="n">
        <f aca="false">CX$7*EXP(-$AM60/CX$8)</f>
        <v>2.1683227992544E-007</v>
      </c>
      <c r="CY60" s="1" t="n">
        <f aca="false">(CV60-CX60)^2</f>
        <v>4.70162337659494E-014</v>
      </c>
      <c r="CZ60" s="1" t="n">
        <f aca="false">$AM60</f>
        <v>49</v>
      </c>
      <c r="DA60" s="1" t="n">
        <f aca="false">MAX(DA59-BI60/BI$9*100,0)</f>
        <v>0</v>
      </c>
      <c r="DB60" s="1" t="n">
        <f aca="false">MAX(DB59-BJ60/BJ$9*100,0)</f>
        <v>9.88098491916389E-015</v>
      </c>
      <c r="DC60" s="1" t="n">
        <f aca="false">DC$7*EXP(-$AM60/DC$8)</f>
        <v>4.68769860509649E-014</v>
      </c>
      <c r="DD60" s="1" t="n">
        <f aca="false">(DA60-DC60)^2</f>
        <v>2.19745182122236E-027</v>
      </c>
      <c r="DE60" s="1" t="n">
        <f aca="false">MAX(DE59-BL60/BL$9*100,0)</f>
        <v>0</v>
      </c>
      <c r="DF60" s="1" t="n">
        <f aca="false">MAX(DF59-BM60/BM$9*100,0)</f>
        <v>0.636942675159225</v>
      </c>
      <c r="DG60" s="1" t="n">
        <f aca="false">DG$7*EXP(-$AM60/DG$8)</f>
        <v>0.000576606645751546</v>
      </c>
      <c r="DH60" s="1" t="n">
        <f aca="false">(DE60-DG60)^2</f>
        <v>3.32475223924849E-007</v>
      </c>
      <c r="DI60" s="1" t="n">
        <f aca="false">$AM60</f>
        <v>49</v>
      </c>
      <c r="DJ60" s="1" t="n">
        <f aca="false">MAX(DJ59-BO60/BO$9*100,0)</f>
        <v>0</v>
      </c>
      <c r="DK60" s="1" t="n">
        <f aca="false">MAX(DK59-BP60/BP$9*100,0)</f>
        <v>9.99200722162641E-015</v>
      </c>
      <c r="DL60" s="1" t="n">
        <f aca="false">DL$7*EXP(-$AM60/DL$8)</f>
        <v>1.32011865641161E-011</v>
      </c>
      <c r="DM60" s="1" t="n">
        <f aca="false">(DJ60-DL60)^2</f>
        <v>1.74271326700599E-022</v>
      </c>
      <c r="DN60" s="1" t="n">
        <f aca="false">MAX(DN59-BR60/BR$9*100,0)</f>
        <v>0</v>
      </c>
      <c r="DO60" s="1" t="n">
        <f aca="false">MAX(DO59-BS60/BS$9*100,0)</f>
        <v>0.502512562814067</v>
      </c>
      <c r="DP60" s="1" t="n">
        <f aca="false">DP$7*EXP(-$AM60/DP$8)</f>
        <v>0.000114264024236411</v>
      </c>
      <c r="DQ60" s="1" t="n">
        <f aca="false">(DN60-DP60)^2</f>
        <v>1.30562672346991E-008</v>
      </c>
      <c r="DS60" s="1" t="n">
        <f aca="false">$AM60</f>
        <v>49</v>
      </c>
      <c r="DT60" s="1" t="n">
        <f aca="false">CA60</f>
        <v>0</v>
      </c>
      <c r="DU60" s="1" t="n">
        <f aca="false">DU$7*EXP(-DS60/DU$8)</f>
        <v>1.87758831687168E-020</v>
      </c>
      <c r="DV60" s="1" t="n">
        <f aca="false">(DT60-DU60)^2</f>
        <v>3.52533788765303E-040</v>
      </c>
      <c r="DX60" s="1" t="n">
        <f aca="false">$AM60</f>
        <v>49</v>
      </c>
      <c r="DY60" s="1" t="n">
        <f aca="false">CM60</f>
        <v>0</v>
      </c>
      <c r="DZ60" s="1" t="n">
        <f aca="false">DZ$7*EXP(-DX60/DZ$8)</f>
        <v>1.75129598257581E-010</v>
      </c>
      <c r="EA60" s="1" t="n">
        <f aca="false">(DY60-DZ60)^2</f>
        <v>3.06703761858617E-020</v>
      </c>
      <c r="EC60" s="1" t="n">
        <f aca="false">$AM60</f>
        <v>49</v>
      </c>
      <c r="ED60" s="1" t="n">
        <f aca="false">CV60</f>
        <v>8.88178419700125E-015</v>
      </c>
      <c r="EE60" s="1" t="n">
        <f aca="false">EE$7*EXP(-EC60/EE$8)</f>
        <v>7.23642926207005E-008</v>
      </c>
      <c r="EF60" s="1" t="n">
        <f aca="false">(ED60-EE60)^2</f>
        <v>5.23658956104639E-015</v>
      </c>
      <c r="EH60" s="1" t="n">
        <f aca="false">$AM60</f>
        <v>49</v>
      </c>
      <c r="EI60" s="1" t="n">
        <f aca="false">DE60</f>
        <v>0</v>
      </c>
      <c r="EJ60" s="1" t="n">
        <f aca="false">EJ$7*EXP(-EH60/EJ$8)</f>
        <v>0.000574214087055481</v>
      </c>
      <c r="EK60" s="1" t="n">
        <f aca="false">(EI60-EJ60)^2</f>
        <v>3.2972181777296E-007</v>
      </c>
      <c r="EM60" s="1" t="n">
        <f aca="false">AM60</f>
        <v>49</v>
      </c>
      <c r="EN60" s="1" t="n">
        <f aca="false">DN60</f>
        <v>0</v>
      </c>
      <c r="EO60" s="1" t="n">
        <f aca="false">EO$7*EXP(-EM60/EO$8)</f>
        <v>0.000177388947725445</v>
      </c>
      <c r="EP60" s="1" t="n">
        <f aca="false">(EN60-EO60)^2</f>
        <v>3.14668387751407E-008</v>
      </c>
      <c r="ER60" s="1" t="n">
        <f aca="false">$AM60</f>
        <v>49</v>
      </c>
      <c r="ES60" s="1" t="n">
        <f aca="false">BZ60</f>
        <v>0</v>
      </c>
      <c r="ET60" s="1" t="n">
        <f aca="false">ET$7*EXP(-ER60/ET$8)</f>
        <v>8.48411041711725E-024</v>
      </c>
      <c r="EU60" s="1" t="n">
        <f aca="false">(ES60-ET60)^2</f>
        <v>7.19801295698374E-047</v>
      </c>
      <c r="EW60" s="1" t="n">
        <f aca="false">$AM60</f>
        <v>49</v>
      </c>
      <c r="EX60" s="1" t="n">
        <f aca="false">CI60</f>
        <v>0</v>
      </c>
      <c r="EY60" s="1" t="n">
        <f aca="false">EY$7*EXP(-EW60/EY$8)</f>
        <v>1.00943555405797E-021</v>
      </c>
      <c r="EZ60" s="1" t="n">
        <f aca="false">(EX60-EY60)^2</f>
        <v>1.01896013779632E-042</v>
      </c>
      <c r="FB60" s="1" t="n">
        <f aca="false">$AM60</f>
        <v>49</v>
      </c>
      <c r="FC60" s="1" t="n">
        <f aca="false">CR60</f>
        <v>0</v>
      </c>
      <c r="FD60" s="1" t="n">
        <f aca="false">FD$7*EXP(-FB60/FD$8)</f>
        <v>9.62374662112282E-019</v>
      </c>
      <c r="FE60" s="1" t="n">
        <f aca="false">(FC60-FD60)^2</f>
        <v>9.26164990275729E-037</v>
      </c>
      <c r="FG60" s="1" t="n">
        <f aca="false">$AM60</f>
        <v>49</v>
      </c>
      <c r="FH60" s="1" t="n">
        <f aca="false">DA60</f>
        <v>0</v>
      </c>
      <c r="FI60" s="1" t="n">
        <f aca="false">FI$7*EXP(-FG60/FI$8)</f>
        <v>4.81261402588159E-016</v>
      </c>
      <c r="FJ60" s="1" t="n">
        <f aca="false">(FH60-FI60)^2</f>
        <v>2.31612537621122E-031</v>
      </c>
      <c r="FL60" s="1" t="n">
        <f aca="false">EM60</f>
        <v>49</v>
      </c>
      <c r="FM60" s="1" t="n">
        <f aca="false">DJ60</f>
        <v>0</v>
      </c>
      <c r="FN60" s="1" t="n">
        <f aca="false">FN$7*EXP(-FL60/FN$8)</f>
        <v>1.10533989649852E-012</v>
      </c>
      <c r="FO60" s="1" t="n">
        <f aca="false">(FM60-FN60)^2</f>
        <v>1.22177628679136E-024</v>
      </c>
      <c r="FQ60" s="1" t="n">
        <f aca="false">AM60</f>
        <v>49</v>
      </c>
      <c r="FR60" s="1" t="n">
        <f aca="false">AN60/AN$9*100</f>
        <v>0</v>
      </c>
      <c r="FS60" s="1" t="n">
        <f aca="false">AO60/AO$9*100</f>
        <v>0</v>
      </c>
      <c r="FT60" s="1" t="n">
        <f aca="false">AQ60/AQ$9*100</f>
        <v>0</v>
      </c>
      <c r="FU60" s="1" t="n">
        <f aca="false">AR60/AR$9*100</f>
        <v>0</v>
      </c>
      <c r="FV60" s="1" t="n">
        <f aca="false">AT60/AT$9*100</f>
        <v>0</v>
      </c>
      <c r="FW60" s="1" t="n">
        <f aca="false">AU60/AU$9*100</f>
        <v>0</v>
      </c>
      <c r="FX60" s="1" t="n">
        <f aca="false">AW60/AW$9*100</f>
        <v>0</v>
      </c>
      <c r="FY60" s="1" t="n">
        <f aca="false">AX60/AX$9*100</f>
        <v>0</v>
      </c>
      <c r="FZ60" s="1" t="n">
        <f aca="false">AZ60/AZ$9*100</f>
        <v>0</v>
      </c>
      <c r="GA60" s="1" t="n">
        <f aca="false">BA60/BA$9*100</f>
        <v>0</v>
      </c>
      <c r="GB60" s="1" t="n">
        <f aca="false">BC60/BC$9*100</f>
        <v>0</v>
      </c>
      <c r="GC60" s="1" t="n">
        <f aca="false">BD60/BD$9*100</f>
        <v>0</v>
      </c>
      <c r="GD60" s="1" t="n">
        <f aca="false">BF60/BF$9*100</f>
        <v>0</v>
      </c>
      <c r="GE60" s="1" t="n">
        <f aca="false">BG60/BG$9*100</f>
        <v>0</v>
      </c>
      <c r="GF60" s="1" t="n">
        <f aca="false">BI60/BI$9*100</f>
        <v>0</v>
      </c>
      <c r="GG60" s="1" t="n">
        <f aca="false">BJ60/BJ$9*100</f>
        <v>0</v>
      </c>
      <c r="GH60" s="1" t="n">
        <f aca="false">BL60/BL$9*100</f>
        <v>0</v>
      </c>
      <c r="GI60" s="1" t="n">
        <f aca="false">BM60/BM$9*100</f>
        <v>0</v>
      </c>
      <c r="GJ60" s="1" t="n">
        <f aca="false">BO60/BO$9*100</f>
        <v>0</v>
      </c>
      <c r="GK60" s="1" t="n">
        <f aca="false">BP60/BP$9*100</f>
        <v>0</v>
      </c>
      <c r="GL60" s="1" t="n">
        <f aca="false">BR60/BR$9*100</f>
        <v>0</v>
      </c>
      <c r="GM60" s="1" t="n">
        <f aca="false">BS60/BS$9*100</f>
        <v>0</v>
      </c>
      <c r="GO60" s="1" t="n">
        <f aca="false">$AM60</f>
        <v>49</v>
      </c>
      <c r="GP60" s="1" t="n">
        <f aca="false">FT60</f>
        <v>0</v>
      </c>
      <c r="GQ60" s="1" t="n">
        <f aca="false">GQ$6*(1+GQ$5*(-1)^$FQ60)*EXP(-$FQ60/GQ$4)</f>
        <v>5.30898743071619E-015</v>
      </c>
      <c r="GR60" s="1" t="n">
        <f aca="false">(GP60-GQ60)^2</f>
        <v>2.81853475395025E-029</v>
      </c>
      <c r="GS60" s="1" t="n">
        <f aca="false">EXP($FQ60/$JG$4)*GP60</f>
        <v>0</v>
      </c>
      <c r="GT60" s="1" t="n">
        <f aca="false">EXP($FQ60/$JG$4)*(-1)^$FQ60*GP60</f>
        <v>-0</v>
      </c>
      <c r="GU60" s="1" t="n">
        <f aca="false">(-1)^GO60*GP60</f>
        <v>-0</v>
      </c>
      <c r="GW60" s="1" t="n">
        <f aca="false">$AM60</f>
        <v>49</v>
      </c>
      <c r="GX60" s="1" t="n">
        <f aca="false">FX60</f>
        <v>0</v>
      </c>
      <c r="GY60" s="1" t="n">
        <f aca="false">GY$6*(1+GY$5*(-1)^$FQ60)*EXP(-$FQ60/GY$4)</f>
        <v>5.30898743071619E-015</v>
      </c>
      <c r="GZ60" s="1" t="n">
        <f aca="false">(GX60-GY60)^2</f>
        <v>2.81853475395025E-029</v>
      </c>
      <c r="HA60" s="1" t="n">
        <f aca="false">EXP($FQ60/$JG$4)*GX60</f>
        <v>0</v>
      </c>
      <c r="HB60" s="1" t="n">
        <f aca="false">EXP($FQ60/$JG$4)*(-1)^$FQ60*GX60</f>
        <v>-0</v>
      </c>
      <c r="HC60" s="1" t="n">
        <f aca="false">(-1)^GW60*GX60</f>
        <v>-0</v>
      </c>
      <c r="HE60" s="1" t="n">
        <f aca="false">$AM60</f>
        <v>49</v>
      </c>
      <c r="HF60" s="1" t="n">
        <f aca="false">GB60</f>
        <v>0</v>
      </c>
      <c r="HG60" s="1" t="n">
        <f aca="false">HG$6*(1+HG$5*(-1)^$FQ60)*EXP(-$FQ60/HG$4)</f>
        <v>5.30898743071619E-015</v>
      </c>
      <c r="HH60" s="1" t="n">
        <f aca="false">(HF60-HG60)^2</f>
        <v>2.81853475395025E-029</v>
      </c>
      <c r="HI60" s="1" t="n">
        <f aca="false">EXP($FQ60/$JG$4)*HF60</f>
        <v>0</v>
      </c>
      <c r="HJ60" s="1" t="n">
        <f aca="false">EXP($FQ60/$JG$4)*(-1)^$FQ60*HF60</f>
        <v>-0</v>
      </c>
      <c r="HK60" s="1" t="n">
        <f aca="false">(-1)^HE60*HF60</f>
        <v>-0</v>
      </c>
      <c r="HM60" s="1" t="n">
        <f aca="false">$AM60</f>
        <v>49</v>
      </c>
      <c r="HN60" s="1" t="n">
        <f aca="false">GF60</f>
        <v>0</v>
      </c>
      <c r="HO60" s="1" t="n">
        <f aca="false">HO$6*(1+HO$5*(-1)^$FQ60)*EXP(-$FQ60/HO$4)</f>
        <v>6.55744256555443E-012</v>
      </c>
      <c r="HP60" s="1" t="n">
        <f aca="false">(HN60-HO60)^2</f>
        <v>4.30000530005451E-023</v>
      </c>
      <c r="HQ60" s="1" t="n">
        <f aca="false">EXP($FQ60/$JG$4)*HN60</f>
        <v>0</v>
      </c>
      <c r="HR60" s="1" t="n">
        <f aca="false">EXP($FQ60/$JG$4)*(-1)^$FQ60*HN60</f>
        <v>-0</v>
      </c>
      <c r="HS60" s="1" t="n">
        <f aca="false">(-1)^HM60*HN60</f>
        <v>-0</v>
      </c>
      <c r="HU60" s="1" t="n">
        <f aca="false">$AM60</f>
        <v>49</v>
      </c>
      <c r="HV60" s="1" t="n">
        <f aca="false">GJ60</f>
        <v>0</v>
      </c>
      <c r="HW60" s="1" t="n">
        <f aca="false">HW$6*(1+HW$5*(-1)^$FQ60)*EXP(-$FQ60/HW$4)</f>
        <v>1.19787383925315E-008</v>
      </c>
      <c r="HX60" s="1" t="n">
        <f aca="false">(HV60-HW60)^2</f>
        <v>1.43490173476708E-016</v>
      </c>
      <c r="HY60" s="1" t="n">
        <f aca="false">EXP($FQ60/$JG$4)*HV60</f>
        <v>0</v>
      </c>
      <c r="HZ60" s="1" t="n">
        <f aca="false">EXP($FQ60/$JG$4)*(-1)^$FQ60*HV60</f>
        <v>-0</v>
      </c>
      <c r="IA60" s="1" t="n">
        <f aca="false">(-1)^HU60*HV60</f>
        <v>-0</v>
      </c>
      <c r="IB60" s="1" t="n">
        <v>0</v>
      </c>
      <c r="ID60" s="1" t="n">
        <f aca="false">$AM60</f>
        <v>49</v>
      </c>
      <c r="IE60" s="1" t="n">
        <f aca="false">FZ60</f>
        <v>0</v>
      </c>
      <c r="IF60" s="1" t="n">
        <f aca="false">IF$6*(1+IF$5*(-1)^$FQ60)*EXP(-$FQ60/IF$4)</f>
        <v>2.29024113480057E-006</v>
      </c>
      <c r="IG60" s="1" t="n">
        <f aca="false">(IE60-IF60)^2</f>
        <v>5.2452044555326E-012</v>
      </c>
      <c r="IH60" s="1" t="n">
        <f aca="false">EXP($FQ60/$JG$4)*IE60</f>
        <v>0</v>
      </c>
      <c r="II60" s="1" t="n">
        <f aca="false">EXP($FQ60/$JG$4)*(-1)^$FQ60*IE60</f>
        <v>-0</v>
      </c>
      <c r="IJ60" s="1" t="n">
        <f aca="false">(-1)^ID60*IE60</f>
        <v>-0</v>
      </c>
      <c r="IK60" s="1" t="n">
        <v>0</v>
      </c>
      <c r="IM60" s="1" t="n">
        <f aca="false">$AM60</f>
        <v>49</v>
      </c>
      <c r="IN60" s="1" t="n">
        <f aca="false">GD60</f>
        <v>0</v>
      </c>
      <c r="IO60" s="1" t="n">
        <f aca="false">IO$6*(1+IO$5*(-1)^$FQ60)*EXP(-$FQ60/IO$4)</f>
        <v>1.8284749629103E-005</v>
      </c>
      <c r="IP60" s="1" t="n">
        <f aca="false">(IN60-IO60)^2</f>
        <v>3.34332068998982E-010</v>
      </c>
      <c r="IQ60" s="1" t="n">
        <f aca="false">EXP($FQ60/$JG$4)*IN60</f>
        <v>0</v>
      </c>
      <c r="IR60" s="1" t="n">
        <f aca="false">EXP($FQ60/$JG$4)*(-1)^$FQ60*IN60</f>
        <v>-0</v>
      </c>
      <c r="IS60" s="1" t="n">
        <f aca="false">(-1)^IM60*IN60</f>
        <v>-0</v>
      </c>
      <c r="IT60" s="1" t="n">
        <v>0</v>
      </c>
      <c r="IV60" s="1" t="n">
        <f aca="false">$AM60</f>
        <v>49</v>
      </c>
      <c r="IW60" s="1" t="n">
        <f aca="false">GH60</f>
        <v>0</v>
      </c>
      <c r="IX60" s="1" t="n">
        <f aca="false">IX$6*(1+IX$5*(-1)^$FQ60)*EXP(-$FQ60/IX$4)</f>
        <v>0.00074490765378228</v>
      </c>
      <c r="IY60" s="1" t="n">
        <f aca="false">(IW60-IX60)^2</f>
        <v>5.54887412663421E-007</v>
      </c>
      <c r="IZ60" s="1" t="n">
        <f aca="false">EXP($FQ60/$JG$4)*IW60</f>
        <v>0</v>
      </c>
      <c r="JA60" s="1" t="n">
        <f aca="false">EXP($FQ60/$JG$4)*(-1)^$FQ60*IW60</f>
        <v>-0</v>
      </c>
      <c r="JB60" s="1" t="n">
        <f aca="false">(-1)^IV60*IW60</f>
        <v>-0</v>
      </c>
      <c r="JE60" s="1" t="n">
        <f aca="false">$AM60</f>
        <v>49</v>
      </c>
      <c r="JF60" s="1" t="n">
        <f aca="false">GL60</f>
        <v>0</v>
      </c>
      <c r="JG60" s="1" t="n">
        <f aca="false">JG$6*(1+JG$5*(-1)^$FQ60)*EXP(-$FQ60/JG$4)</f>
        <v>8.13329878714636E-005</v>
      </c>
      <c r="JH60" s="1" t="n">
        <f aca="false">(JF60-JG60)^2</f>
        <v>6.61505491609965E-009</v>
      </c>
      <c r="JI60" s="1" t="n">
        <f aca="false">EXP($FQ60/$JG$4)*JF60</f>
        <v>0</v>
      </c>
      <c r="JJ60" s="1" t="n">
        <f aca="false">EXP($FQ60/$JG$4)*(-1)^$FQ60*JF60</f>
        <v>-0</v>
      </c>
      <c r="JK60" s="1" t="n">
        <f aca="false">(-1)^JE60*JF60</f>
        <v>-0</v>
      </c>
      <c r="JO60" s="1" t="n">
        <f aca="false">$AM60</f>
        <v>49</v>
      </c>
      <c r="JP60" s="1" t="n">
        <f aca="false">GM60</f>
        <v>0</v>
      </c>
      <c r="JQ60" s="1" t="n">
        <f aca="false">JQ$6*(1+JQ$5*(-1)^$FQ60)*EXP(-$FQ60/JQ$4)</f>
        <v>0.0543579596778101</v>
      </c>
      <c r="JR60" s="1" t="n">
        <f aca="false">(JP60-JQ60)^2</f>
        <v>0.00295478778033443</v>
      </c>
      <c r="JS60" s="1" t="n">
        <f aca="false">EXP($FQ60/$JG$4)*JP60</f>
        <v>0</v>
      </c>
      <c r="JT60" s="1" t="n">
        <f aca="false">EXP($FQ60/$JG$4)*(-1)^$FQ60*JP60</f>
        <v>-0</v>
      </c>
      <c r="JU60" s="1" t="n">
        <f aca="false">(-1)^JO60*JP60</f>
        <v>-0</v>
      </c>
    </row>
    <row r="61" customFormat="false" ht="16" hidden="false" customHeight="false" outlineLevel="0" collapsed="false">
      <c r="A61" s="1" t="n">
        <v>2</v>
      </c>
      <c r="B61" s="1" t="n">
        <v>2</v>
      </c>
      <c r="C61" s="1" t="n">
        <f aca="false">B61-A61</f>
        <v>0</v>
      </c>
      <c r="D61" s="1" t="n">
        <v>1</v>
      </c>
      <c r="E61" s="1" t="n">
        <v>1</v>
      </c>
      <c r="F61" s="1" t="n">
        <f aca="false">E61-D61</f>
        <v>0</v>
      </c>
      <c r="G61" s="1" t="n">
        <v>2</v>
      </c>
      <c r="H61" s="1" t="n">
        <v>2</v>
      </c>
      <c r="I61" s="1" t="n">
        <f aca="false">H61-G61</f>
        <v>0</v>
      </c>
      <c r="J61" s="1" t="n">
        <v>2</v>
      </c>
      <c r="K61" s="1" t="n">
        <v>4</v>
      </c>
      <c r="L61" s="1" t="n">
        <f aca="false">K61-J61</f>
        <v>2</v>
      </c>
      <c r="M61" s="1" t="n">
        <v>5</v>
      </c>
      <c r="N61" s="1" t="n">
        <v>5</v>
      </c>
      <c r="O61" s="1" t="n">
        <f aca="false">N61-M61</f>
        <v>0</v>
      </c>
      <c r="P61" s="1" t="n">
        <v>2</v>
      </c>
      <c r="Q61" s="1" t="n">
        <v>2</v>
      </c>
      <c r="R61" s="1" t="n">
        <f aca="false">Q61-P61</f>
        <v>0</v>
      </c>
      <c r="S61" s="1" t="n">
        <v>1</v>
      </c>
      <c r="T61" s="1" t="n">
        <v>1</v>
      </c>
      <c r="U61" s="1" t="n">
        <f aca="false">T61-S61</f>
        <v>0</v>
      </c>
      <c r="V61" s="1" t="n">
        <v>5</v>
      </c>
      <c r="W61" s="1" t="n">
        <v>8</v>
      </c>
      <c r="X61" s="1" t="n">
        <f aca="false">W61-V61</f>
        <v>3</v>
      </c>
      <c r="Y61" s="1" t="n">
        <v>3</v>
      </c>
      <c r="Z61" s="1" t="n">
        <v>3</v>
      </c>
      <c r="AA61" s="1" t="n">
        <f aca="false">Z61-Y61</f>
        <v>0</v>
      </c>
      <c r="AB61" s="1" t="n">
        <v>2</v>
      </c>
      <c r="AC61" s="1" t="n">
        <v>2</v>
      </c>
      <c r="AD61" s="1" t="n">
        <f aca="false">AC61-AB61</f>
        <v>0</v>
      </c>
      <c r="AE61" s="1" t="n">
        <v>3</v>
      </c>
      <c r="AF61" s="1" t="n">
        <v>9</v>
      </c>
      <c r="AG61" s="1" t="n">
        <f aca="false">AF61-AE61</f>
        <v>6</v>
      </c>
      <c r="AI61" s="1" t="n">
        <v>2</v>
      </c>
      <c r="AJ61" s="1" t="n">
        <f aca="false">COUNTIF(E$2:E$1000,1)/COUNT(E$2:E$1000)</f>
        <v>0.365714285714286</v>
      </c>
      <c r="AK61" s="1" t="n">
        <f aca="false">AK$58*EXP(-AI61/AK$59)</f>
        <v>0.33516002301782</v>
      </c>
      <c r="AM61" s="1" t="n">
        <v>50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W61" s="1" t="n">
        <f aca="false">$AM61</f>
        <v>50</v>
      </c>
      <c r="BX61" s="1" t="n">
        <f aca="false">MAX(BX60-AN61/AN$9*100,0)</f>
        <v>0</v>
      </c>
      <c r="BY61" s="1" t="n">
        <f aca="false">MAX(BY60-AO61/AO$9*100,0)</f>
        <v>0</v>
      </c>
      <c r="BZ61" s="1" t="n">
        <f aca="false">MAX(BZ60-AQ61/AQ$9*100,0)</f>
        <v>0</v>
      </c>
      <c r="CA61" s="1" t="n">
        <f aca="false">MAX(CA60-AR61/AR$9*100,0)</f>
        <v>0</v>
      </c>
      <c r="CB61" s="1" t="n">
        <f aca="false">CB$7*EXP(-$AM61/CB$8)</f>
        <v>1.31584853954058E-026</v>
      </c>
      <c r="CC61" s="1" t="n">
        <f aca="false">(BZ61-CB61)^2</f>
        <v>1.73145737901108E-052</v>
      </c>
      <c r="CD61" s="1" t="n">
        <f aca="false">MAX(CD60-AT61/AT$9*100,0)</f>
        <v>0</v>
      </c>
      <c r="CE61" s="1" t="n">
        <f aca="false">MAX(CE60-AU61/AU$9*100,0)</f>
        <v>5.32907051820075E-015</v>
      </c>
      <c r="CF61" s="1" t="n">
        <f aca="false">CF$7*EXP(-$AM61/CF$8)</f>
        <v>6.81010425605677E-026</v>
      </c>
      <c r="CG61" s="1" t="n">
        <f aca="false">(CD61-CF61)^2</f>
        <v>4.63775199783625E-051</v>
      </c>
      <c r="CH61" s="1" t="n">
        <f aca="false">$AM61</f>
        <v>50</v>
      </c>
      <c r="CI61" s="1" t="n">
        <f aca="false">MAX(CI60-AW61/AW$9*100,0)</f>
        <v>0</v>
      </c>
      <c r="CJ61" s="1" t="n">
        <f aca="false">MAX(CJ60-AX61/AX$9*100,0)</f>
        <v>0</v>
      </c>
      <c r="CK61" s="1" t="n">
        <f aca="false">CK$7*EXP(-$AM61/CK$8)</f>
        <v>4.90712090526051E-017</v>
      </c>
      <c r="CL61" s="1" t="n">
        <f aca="false">(CI61-CK61)^2</f>
        <v>2.40798355788447E-033</v>
      </c>
      <c r="CM61" s="1" t="n">
        <f aca="false">MAX(CM60-AZ61/AZ$9*100,0)</f>
        <v>0</v>
      </c>
      <c r="CN61" s="1" t="n">
        <f aca="false">MAX(CN60-BA61/BA$9*100,0)</f>
        <v>5.32907051820075E-015</v>
      </c>
      <c r="CO61" s="1" t="n">
        <f aca="false">CO$7*EXP(-$AM61/CO$8)</f>
        <v>4.83148283974746E-009</v>
      </c>
      <c r="CP61" s="1" t="n">
        <f aca="false">(CM61-CO61)^2</f>
        <v>2.33432264307742E-017</v>
      </c>
      <c r="CQ61" s="1" t="n">
        <f aca="false">$AM61</f>
        <v>50</v>
      </c>
      <c r="CR61" s="1" t="n">
        <f aca="false">MAX(CR60-BC61/BC$9*100,0)</f>
        <v>0</v>
      </c>
      <c r="CS61" s="1" t="n">
        <f aca="false">MAX(CS60-BD61/BD$9*100,0)</f>
        <v>0</v>
      </c>
      <c r="CT61" s="1" t="n">
        <f aca="false">CT$7*EXP(-$AM61/CT$8)</f>
        <v>1.17249064371438E-015</v>
      </c>
      <c r="CU61" s="1" t="n">
        <f aca="false">(CR61-CT61)^2</f>
        <v>1.37473430959776E-030</v>
      </c>
      <c r="CV61" s="1" t="n">
        <f aca="false">MAX(CV60-BF61/BF$9*100,0)</f>
        <v>8.88178419700125E-015</v>
      </c>
      <c r="CW61" s="1" t="n">
        <f aca="false">MAX(CW60-BG61/BG$9*100,0)</f>
        <v>5.32907051820075E-015</v>
      </c>
      <c r="CX61" s="1" t="n">
        <f aca="false">CX$7*EXP(-$AM61/CX$8)</f>
        <v>1.43437730988546E-007</v>
      </c>
      <c r="CY61" s="1" t="n">
        <f aca="false">(CV61-CX61)^2</f>
        <v>2.05743801231766E-014</v>
      </c>
      <c r="CZ61" s="1" t="n">
        <f aca="false">$AM61</f>
        <v>50</v>
      </c>
      <c r="DA61" s="1" t="n">
        <f aca="false">MAX(DA60-BI61/BI$9*100,0)</f>
        <v>0</v>
      </c>
      <c r="DB61" s="1" t="n">
        <f aca="false">MAX(DB60-BJ61/BJ$9*100,0)</f>
        <v>9.88098491916389E-015</v>
      </c>
      <c r="DC61" s="1" t="n">
        <f aca="false">DC$7*EXP(-$AM61/DC$8)</f>
        <v>2.25920900037745E-014</v>
      </c>
      <c r="DD61" s="1" t="n">
        <f aca="false">(DA61-DC61)^2</f>
        <v>5.10402530738648E-028</v>
      </c>
      <c r="DE61" s="1" t="n">
        <f aca="false">MAX(DE60-BL61/BL$9*100,0)</f>
        <v>0</v>
      </c>
      <c r="DF61" s="1" t="n">
        <f aca="false">MAX(DF60-BM61/BM$9*100,0)</f>
        <v>0.636942675159225</v>
      </c>
      <c r="DG61" s="1" t="n">
        <f aca="false">DG$7*EXP(-$AM61/DG$8)</f>
        <v>0.00044906170723548</v>
      </c>
      <c r="DH61" s="1" t="n">
        <f aca="false">(DE61-DG61)^2</f>
        <v>2.01656416905244E-007</v>
      </c>
      <c r="DI61" s="1" t="n">
        <f aca="false">$AM61</f>
        <v>50</v>
      </c>
      <c r="DJ61" s="1" t="n">
        <f aca="false">MAX(DJ60-BO61/BO$9*100,0)</f>
        <v>0</v>
      </c>
      <c r="DK61" s="1" t="n">
        <f aca="false">MAX(DK60-BP61/BP$9*100,0)</f>
        <v>9.99200722162641E-015</v>
      </c>
      <c r="DL61" s="1" t="n">
        <f aca="false">DL$7*EXP(-$AM61/DL$8)</f>
        <v>7.14783693425547E-012</v>
      </c>
      <c r="DM61" s="1" t="n">
        <f aca="false">(DJ61-DL61)^2</f>
        <v>5.10915728387066E-023</v>
      </c>
      <c r="DN61" s="1" t="n">
        <f aca="false">MAX(DN60-BR61/BR$9*100,0)</f>
        <v>0</v>
      </c>
      <c r="DO61" s="1" t="n">
        <f aca="false">MAX(DO60-BS61/BS$9*100,0)</f>
        <v>0.502512562814067</v>
      </c>
      <c r="DP61" s="1" t="n">
        <f aca="false">DP$7*EXP(-$AM61/DP$8)</f>
        <v>8.60755719241772E-005</v>
      </c>
      <c r="DQ61" s="1" t="n">
        <f aca="false">(DN61-DP61)^2</f>
        <v>7.4090040820742E-009</v>
      </c>
      <c r="DS61" s="1" t="n">
        <f aca="false">$AM61</f>
        <v>50</v>
      </c>
      <c r="DT61" s="1" t="n">
        <f aca="false">CA61</f>
        <v>0</v>
      </c>
      <c r="DU61" s="1" t="n">
        <f aca="false">DU$7*EXP(-DS61/DU$8)</f>
        <v>6.69690447585521E-021</v>
      </c>
      <c r="DV61" s="1" t="n">
        <f aca="false">(DT61-DU61)^2</f>
        <v>4.48485295587295E-041</v>
      </c>
      <c r="DX61" s="1" t="n">
        <f aca="false">$AM61</f>
        <v>50</v>
      </c>
      <c r="DY61" s="1" t="n">
        <f aca="false">CM61</f>
        <v>0</v>
      </c>
      <c r="DZ61" s="1" t="n">
        <f aca="false">DZ$7*EXP(-DX61/DZ$8)</f>
        <v>9.98559361235743E-011</v>
      </c>
      <c r="EA61" s="1" t="n">
        <f aca="false">(DY61-DZ61)^2</f>
        <v>9.97120797911535E-021</v>
      </c>
      <c r="EC61" s="1" t="n">
        <f aca="false">$AM61</f>
        <v>50</v>
      </c>
      <c r="ED61" s="1" t="n">
        <f aca="false">CV61</f>
        <v>8.88178419700125E-015</v>
      </c>
      <c r="EE61" s="1" t="n">
        <f aca="false">EE$7*EXP(-EC61/EE$8)</f>
        <v>4.67601693918028E-008</v>
      </c>
      <c r="EF61" s="1" t="n">
        <f aca="false">(ED61-EE61)^2</f>
        <v>2.1865126109227E-015</v>
      </c>
      <c r="EH61" s="1" t="n">
        <f aca="false">$AM61</f>
        <v>50</v>
      </c>
      <c r="EI61" s="1" t="n">
        <f aca="false">DE61</f>
        <v>0</v>
      </c>
      <c r="EJ61" s="1" t="n">
        <f aca="false">EJ$7*EXP(-EH61/EJ$8)</f>
        <v>0.000447198380649441</v>
      </c>
      <c r="EK61" s="1" t="n">
        <f aca="false">(EI61-EJ61)^2</f>
        <v>1.99986391655482E-007</v>
      </c>
      <c r="EM61" s="1" t="n">
        <f aca="false">AM61</f>
        <v>50</v>
      </c>
      <c r="EN61" s="1" t="n">
        <f aca="false">DN61</f>
        <v>0</v>
      </c>
      <c r="EO61" s="1" t="n">
        <f aca="false">EO$7*EXP(-EM61/EO$8)</f>
        <v>0.000134878201995017</v>
      </c>
      <c r="EP61" s="1" t="n">
        <f aca="false">(EN61-EO61)^2</f>
        <v>1.81921293734086E-008</v>
      </c>
      <c r="ER61" s="1" t="n">
        <f aca="false">$AM61</f>
        <v>50</v>
      </c>
      <c r="ES61" s="1" t="n">
        <f aca="false">BZ61</f>
        <v>0</v>
      </c>
      <c r="ET61" s="1" t="n">
        <f aca="false">ET$7*EXP(-ER61/ET$8)</f>
        <v>2.5798180182635E-024</v>
      </c>
      <c r="EU61" s="1" t="n">
        <f aca="false">(ES61-ET61)^2</f>
        <v>6.65546100735701E-048</v>
      </c>
      <c r="EW61" s="1" t="n">
        <f aca="false">$AM61</f>
        <v>50</v>
      </c>
      <c r="EX61" s="1" t="n">
        <f aca="false">CI61</f>
        <v>0</v>
      </c>
      <c r="EY61" s="1" t="n">
        <f aca="false">EY$7*EXP(-EW61/EY$8)</f>
        <v>3.36381353611853E-022</v>
      </c>
      <c r="EZ61" s="1" t="n">
        <f aca="false">(EX61-EY61)^2</f>
        <v>1.13152415057743E-043</v>
      </c>
      <c r="FB61" s="1" t="n">
        <f aca="false">$AM61</f>
        <v>50</v>
      </c>
      <c r="FC61" s="1" t="n">
        <f aca="false">CR61</f>
        <v>0</v>
      </c>
      <c r="FD61" s="1" t="n">
        <f aca="false">FD$7*EXP(-FB61/FD$8)</f>
        <v>3.71304649795396E-019</v>
      </c>
      <c r="FE61" s="1" t="n">
        <f aca="false">(FC61-FD61)^2</f>
        <v>1.37867142959682E-037</v>
      </c>
      <c r="FG61" s="1" t="n">
        <f aca="false">$AM61</f>
        <v>50</v>
      </c>
      <c r="FH61" s="1" t="n">
        <f aca="false">DA61</f>
        <v>0</v>
      </c>
      <c r="FI61" s="1" t="n">
        <f aca="false">FI$7*EXP(-FG61/FI$8)</f>
        <v>2.10600778867499E-016</v>
      </c>
      <c r="FJ61" s="1" t="n">
        <f aca="false">(FH61-FI61)^2</f>
        <v>4.43526880595972E-032</v>
      </c>
      <c r="FL61" s="1" t="n">
        <f aca="false">EM61</f>
        <v>50</v>
      </c>
      <c r="FM61" s="1" t="n">
        <f aca="false">DJ61</f>
        <v>0</v>
      </c>
      <c r="FN61" s="1" t="n">
        <f aca="false">FN$7*EXP(-FL61/FN$8)</f>
        <v>5.6750042521205E-013</v>
      </c>
      <c r="FO61" s="1" t="n">
        <f aca="false">(FM61-FN61)^2</f>
        <v>3.22056732615858E-025</v>
      </c>
      <c r="FQ61" s="1" t="n">
        <f aca="false">AM61</f>
        <v>50</v>
      </c>
      <c r="FR61" s="1" t="n">
        <f aca="false">AN61/AN$9*100</f>
        <v>0</v>
      </c>
      <c r="FS61" s="1" t="n">
        <f aca="false">AO61/AO$9*100</f>
        <v>0</v>
      </c>
      <c r="FT61" s="1" t="n">
        <f aca="false">AQ61/AQ$9*100</f>
        <v>0</v>
      </c>
      <c r="FU61" s="1" t="n">
        <f aca="false">AR61/AR$9*100</f>
        <v>0</v>
      </c>
      <c r="FV61" s="1" t="n">
        <f aca="false">AT61/AT$9*100</f>
        <v>0</v>
      </c>
      <c r="FW61" s="1" t="n">
        <f aca="false">AU61/AU$9*100</f>
        <v>0</v>
      </c>
      <c r="FX61" s="1" t="n">
        <f aca="false">AW61/AW$9*100</f>
        <v>0</v>
      </c>
      <c r="FY61" s="1" t="n">
        <f aca="false">AX61/AX$9*100</f>
        <v>0</v>
      </c>
      <c r="FZ61" s="1" t="n">
        <f aca="false">AZ61/AZ$9*100</f>
        <v>0</v>
      </c>
      <c r="GA61" s="1" t="n">
        <f aca="false">BA61/BA$9*100</f>
        <v>0</v>
      </c>
      <c r="GB61" s="1" t="n">
        <f aca="false">BC61/BC$9*100</f>
        <v>0</v>
      </c>
      <c r="GC61" s="1" t="n">
        <f aca="false">BD61/BD$9*100</f>
        <v>0</v>
      </c>
      <c r="GD61" s="1" t="n">
        <f aca="false">BF61/BF$9*100</f>
        <v>0</v>
      </c>
      <c r="GE61" s="1" t="n">
        <f aca="false">BG61/BG$9*100</f>
        <v>0</v>
      </c>
      <c r="GF61" s="1" t="n">
        <f aca="false">BI61/BI$9*100</f>
        <v>0</v>
      </c>
      <c r="GG61" s="1" t="n">
        <f aca="false">BJ61/BJ$9*100</f>
        <v>0</v>
      </c>
      <c r="GH61" s="1" t="n">
        <f aca="false">BL61/BL$9*100</f>
        <v>0</v>
      </c>
      <c r="GI61" s="1" t="n">
        <f aca="false">BM61/BM$9*100</f>
        <v>0</v>
      </c>
      <c r="GJ61" s="1" t="n">
        <f aca="false">BO61/BO$9*100</f>
        <v>0</v>
      </c>
      <c r="GK61" s="1" t="n">
        <f aca="false">BP61/BP$9*100</f>
        <v>0</v>
      </c>
      <c r="GL61" s="1" t="n">
        <f aca="false">BR61/BR$9*100</f>
        <v>0</v>
      </c>
      <c r="GM61" s="1" t="n">
        <f aca="false">BS61/BS$9*100</f>
        <v>0</v>
      </c>
      <c r="GO61" s="1" t="n">
        <f aca="false">$AM61</f>
        <v>50</v>
      </c>
      <c r="GP61" s="1" t="n">
        <f aca="false">FT61</f>
        <v>0</v>
      </c>
      <c r="GQ61" s="1" t="n">
        <f aca="false">GQ$6*(1+GQ$5*(-1)^$FQ61)*EXP(-$FQ61/GQ$4)</f>
        <v>7.27137961452139E-015</v>
      </c>
      <c r="GR61" s="1" t="n">
        <f aca="false">(GP61-GQ61)^2</f>
        <v>5.28729614984773E-029</v>
      </c>
      <c r="GS61" s="1" t="n">
        <f aca="false">EXP($FQ61/$JG$4)*GP61</f>
        <v>0</v>
      </c>
      <c r="GT61" s="1" t="n">
        <f aca="false">EXP($FQ61/$JG$4)*(-1)^$FQ61*GP61</f>
        <v>0</v>
      </c>
      <c r="GU61" s="1" t="n">
        <f aca="false">(-1)^GO61*GP61</f>
        <v>0</v>
      </c>
      <c r="GW61" s="1" t="n">
        <f aca="false">$AM61</f>
        <v>50</v>
      </c>
      <c r="GX61" s="1" t="n">
        <f aca="false">FX61</f>
        <v>0</v>
      </c>
      <c r="GY61" s="1" t="n">
        <f aca="false">GY$6*(1+GY$5*(-1)^$FQ61)*EXP(-$FQ61/GY$4)</f>
        <v>7.27137961452139E-015</v>
      </c>
      <c r="GZ61" s="1" t="n">
        <f aca="false">(GX61-GY61)^2</f>
        <v>5.28729614984773E-029</v>
      </c>
      <c r="HA61" s="1" t="n">
        <f aca="false">EXP($FQ61/$JG$4)*GX61</f>
        <v>0</v>
      </c>
      <c r="HB61" s="1" t="n">
        <f aca="false">EXP($FQ61/$JG$4)*(-1)^$FQ61*GX61</f>
        <v>0</v>
      </c>
      <c r="HC61" s="1" t="n">
        <f aca="false">(-1)^GW61*GX61</f>
        <v>0</v>
      </c>
      <c r="HE61" s="1" t="n">
        <f aca="false">$AM61</f>
        <v>50</v>
      </c>
      <c r="HF61" s="1" t="n">
        <f aca="false">GB61</f>
        <v>0</v>
      </c>
      <c r="HG61" s="1" t="n">
        <f aca="false">HG$6*(1+HG$5*(-1)^$FQ61)*EXP(-$FQ61/HG$4)</f>
        <v>7.27137961452139E-015</v>
      </c>
      <c r="HH61" s="1" t="n">
        <f aca="false">(HF61-HG61)^2</f>
        <v>5.28729614984773E-029</v>
      </c>
      <c r="HI61" s="1" t="n">
        <f aca="false">EXP($FQ61/$JG$4)*HF61</f>
        <v>0</v>
      </c>
      <c r="HJ61" s="1" t="n">
        <f aca="false">EXP($FQ61/$JG$4)*(-1)^$FQ61*HF61</f>
        <v>0</v>
      </c>
      <c r="HK61" s="1" t="n">
        <f aca="false">(-1)^HE61*HF61</f>
        <v>0</v>
      </c>
      <c r="HM61" s="1" t="n">
        <f aca="false">$AM61</f>
        <v>50</v>
      </c>
      <c r="HN61" s="1" t="n">
        <f aca="false">GF61</f>
        <v>0</v>
      </c>
      <c r="HO61" s="1" t="n">
        <f aca="false">HO$6*(1+HO$5*(-1)^$FQ61)*EXP(-$FQ61/HO$4)</f>
        <v>1.64141828379233E-011</v>
      </c>
      <c r="HP61" s="1" t="n">
        <f aca="false">(HN61-HO61)^2</f>
        <v>2.69425398236776E-022</v>
      </c>
      <c r="HQ61" s="1" t="n">
        <f aca="false">EXP($FQ61/$JG$4)*HN61</f>
        <v>0</v>
      </c>
      <c r="HR61" s="1" t="n">
        <f aca="false">EXP($FQ61/$JG$4)*(-1)^$FQ61*HN61</f>
        <v>0</v>
      </c>
      <c r="HS61" s="1" t="n">
        <f aca="false">(-1)^HM61*HN61</f>
        <v>0</v>
      </c>
      <c r="HU61" s="1" t="n">
        <f aca="false">$AM61</f>
        <v>50</v>
      </c>
      <c r="HV61" s="1" t="n">
        <f aca="false">GJ61</f>
        <v>0</v>
      </c>
      <c r="HW61" s="1" t="n">
        <f aca="false">HW$6*(1+HW$5*(-1)^$FQ61)*EXP(-$FQ61/HW$4)</f>
        <v>2.30869538648807E-008</v>
      </c>
      <c r="HX61" s="1" t="n">
        <f aca="false">(HV61-HW61)^2</f>
        <v>5.3300743875913E-016</v>
      </c>
      <c r="HY61" s="1" t="n">
        <f aca="false">EXP($FQ61/$JG$4)*HV61</f>
        <v>0</v>
      </c>
      <c r="HZ61" s="1" t="n">
        <f aca="false">EXP($FQ61/$JG$4)*(-1)^$FQ61*HV61</f>
        <v>0</v>
      </c>
      <c r="IA61" s="1" t="n">
        <f aca="false">(-1)^HU61*HV61</f>
        <v>0</v>
      </c>
      <c r="IB61" s="1" t="n">
        <v>0</v>
      </c>
      <c r="ID61" s="1" t="n">
        <f aca="false">$AM61</f>
        <v>50</v>
      </c>
      <c r="IE61" s="1" t="n">
        <f aca="false">FZ61</f>
        <v>0</v>
      </c>
      <c r="IF61" s="1" t="n">
        <f aca="false">IF$6*(1+IF$5*(-1)^$FQ61)*EXP(-$FQ61/IF$4)</f>
        <v>3.1855278177062E-006</v>
      </c>
      <c r="IG61" s="1" t="n">
        <f aca="false">(IE61-IF61)^2</f>
        <v>1.014758747738E-011</v>
      </c>
      <c r="IH61" s="1" t="n">
        <f aca="false">EXP($FQ61/$JG$4)*IE61</f>
        <v>0</v>
      </c>
      <c r="II61" s="1" t="n">
        <f aca="false">EXP($FQ61/$JG$4)*(-1)^$FQ61*IE61</f>
        <v>0</v>
      </c>
      <c r="IJ61" s="1" t="n">
        <f aca="false">(-1)^ID61*IE61</f>
        <v>0</v>
      </c>
      <c r="IK61" s="1" t="n">
        <v>0</v>
      </c>
      <c r="IM61" s="1" t="n">
        <f aca="false">$AM61</f>
        <v>50</v>
      </c>
      <c r="IN61" s="1" t="n">
        <f aca="false">GD61</f>
        <v>0</v>
      </c>
      <c r="IO61" s="1" t="n">
        <f aca="false">IO$6*(1+IO$5*(-1)^$FQ61)*EXP(-$FQ61/IO$4)</f>
        <v>2.98802961801549E-005</v>
      </c>
      <c r="IP61" s="1" t="n">
        <f aca="false">(IN61-IO61)^2</f>
        <v>8.9283209981378E-010</v>
      </c>
      <c r="IQ61" s="1" t="n">
        <f aca="false">EXP($FQ61/$JG$4)*IN61</f>
        <v>0</v>
      </c>
      <c r="IR61" s="1" t="n">
        <f aca="false">EXP($FQ61/$JG$4)*(-1)^$FQ61*IN61</f>
        <v>0</v>
      </c>
      <c r="IS61" s="1" t="n">
        <f aca="false">(-1)^IM61*IN61</f>
        <v>0</v>
      </c>
      <c r="IT61" s="1" t="n">
        <v>0</v>
      </c>
      <c r="IV61" s="1" t="n">
        <f aca="false">$AM61</f>
        <v>50</v>
      </c>
      <c r="IW61" s="1" t="n">
        <f aca="false">GH61</f>
        <v>0</v>
      </c>
      <c r="IX61" s="1" t="n">
        <f aca="false">IX$6*(1+IX$5*(-1)^$FQ61)*EXP(-$FQ61/IX$4)</f>
        <v>0.00238340329050861</v>
      </c>
      <c r="IY61" s="1" t="n">
        <f aca="false">(IW61-IX61)^2</f>
        <v>5.68061124520727E-006</v>
      </c>
      <c r="IZ61" s="1" t="n">
        <f aca="false">EXP($FQ61/$JG$4)*IW61</f>
        <v>0</v>
      </c>
      <c r="JA61" s="1" t="n">
        <f aca="false">EXP($FQ61/$JG$4)*(-1)^$FQ61*IW61</f>
        <v>0</v>
      </c>
      <c r="JB61" s="1" t="n">
        <f aca="false">(-1)^IV61*IW61</f>
        <v>0</v>
      </c>
      <c r="JE61" s="1" t="n">
        <f aca="false">$AM61</f>
        <v>50</v>
      </c>
      <c r="JF61" s="1" t="n">
        <f aca="false">GL61</f>
        <v>0</v>
      </c>
      <c r="JG61" s="1" t="n">
        <f aca="false">JG$6*(1+JG$5*(-1)^$FQ61)*EXP(-$FQ61/JG$4)</f>
        <v>0.0004215505485832</v>
      </c>
      <c r="JH61" s="1" t="n">
        <f aca="false">(JF61-JG61)^2</f>
        <v>1.77704865010797E-007</v>
      </c>
      <c r="JI61" s="1" t="n">
        <f aca="false">EXP($FQ61/$JG$4)*JF61</f>
        <v>0</v>
      </c>
      <c r="JJ61" s="1" t="n">
        <f aca="false">EXP($FQ61/$JG$4)*(-1)^$FQ61*JF61</f>
        <v>0</v>
      </c>
      <c r="JK61" s="1" t="n">
        <f aca="false">(-1)^JE61*JF61</f>
        <v>0</v>
      </c>
      <c r="JO61" s="1" t="n">
        <f aca="false">$AM61</f>
        <v>50</v>
      </c>
      <c r="JP61" s="1" t="n">
        <f aca="false">GM61</f>
        <v>0</v>
      </c>
      <c r="JQ61" s="1" t="n">
        <f aca="false">JQ$6*(1+JQ$5*(-1)^$FQ61)*EXP(-$FQ61/JQ$4)</f>
        <v>0.263438285957764</v>
      </c>
      <c r="JR61" s="1" t="n">
        <f aca="false">(JP61-JQ61)^2</f>
        <v>0.0693997305083646</v>
      </c>
      <c r="JS61" s="1" t="n">
        <f aca="false">EXP($FQ61/$JG$4)*JP61</f>
        <v>0</v>
      </c>
      <c r="JT61" s="1" t="n">
        <f aca="false">EXP($FQ61/$JG$4)*(-1)^$FQ61*JP61</f>
        <v>0</v>
      </c>
      <c r="JU61" s="1" t="n">
        <f aca="false">(-1)^JO61*JP61</f>
        <v>0</v>
      </c>
    </row>
    <row r="62" customFormat="false" ht="16" hidden="false" customHeight="false" outlineLevel="0" collapsed="false">
      <c r="A62" s="1" t="n">
        <v>2</v>
      </c>
      <c r="B62" s="1" t="n">
        <v>2</v>
      </c>
      <c r="C62" s="1" t="n">
        <f aca="false">B62-A62</f>
        <v>0</v>
      </c>
      <c r="D62" s="1" t="n">
        <v>3</v>
      </c>
      <c r="E62" s="1" t="n">
        <v>3</v>
      </c>
      <c r="F62" s="1" t="n">
        <f aca="false">E62-D62</f>
        <v>0</v>
      </c>
      <c r="G62" s="1" t="n">
        <v>2</v>
      </c>
      <c r="H62" s="1" t="n">
        <v>2</v>
      </c>
      <c r="I62" s="1" t="n">
        <f aca="false">H62-G62</f>
        <v>0</v>
      </c>
      <c r="J62" s="1" t="n">
        <v>2</v>
      </c>
      <c r="K62" s="1" t="n">
        <v>2</v>
      </c>
      <c r="L62" s="1" t="n">
        <f aca="false">K62-J62</f>
        <v>0</v>
      </c>
      <c r="M62" s="1" t="n">
        <v>4</v>
      </c>
      <c r="N62" s="1" t="n">
        <v>4</v>
      </c>
      <c r="O62" s="1" t="n">
        <f aca="false">N62-M62</f>
        <v>0</v>
      </c>
      <c r="P62" s="1" t="n">
        <v>3</v>
      </c>
      <c r="Q62" s="1" t="n">
        <v>3</v>
      </c>
      <c r="R62" s="1" t="n">
        <f aca="false">Q62-P62</f>
        <v>0</v>
      </c>
      <c r="S62" s="1" t="n">
        <v>4</v>
      </c>
      <c r="T62" s="1" t="n">
        <v>7</v>
      </c>
      <c r="U62" s="1" t="n">
        <f aca="false">T62-S62</f>
        <v>3</v>
      </c>
      <c r="V62" s="1" t="n">
        <v>6</v>
      </c>
      <c r="W62" s="1" t="n">
        <v>6</v>
      </c>
      <c r="X62" s="1" t="n">
        <f aca="false">W62-V62</f>
        <v>0</v>
      </c>
      <c r="Y62" s="1" t="n">
        <v>5</v>
      </c>
      <c r="Z62" s="1" t="n">
        <v>8</v>
      </c>
      <c r="AA62" s="1" t="n">
        <f aca="false">Z62-Y62</f>
        <v>3</v>
      </c>
      <c r="AB62" s="1" t="n">
        <v>4</v>
      </c>
      <c r="AC62" s="1" t="n">
        <v>9</v>
      </c>
      <c r="AD62" s="1" t="n">
        <f aca="false">AC62-AB62</f>
        <v>5</v>
      </c>
      <c r="AE62" s="1" t="n">
        <v>2</v>
      </c>
      <c r="AF62" s="1" t="n">
        <v>12</v>
      </c>
      <c r="AG62" s="1" t="n">
        <f aca="false">AF62-AE62</f>
        <v>10</v>
      </c>
      <c r="AI62" s="1" t="n">
        <v>4</v>
      </c>
      <c r="AJ62" s="1" t="n">
        <f aca="false">COUNTIF(K$2:K$1000,1)/COUNT(K$2:K$1000)</f>
        <v>0.154411764705882</v>
      </c>
      <c r="AK62" s="1" t="n">
        <f aca="false">AK$58*EXP(-AI62/AK$59)</f>
        <v>0.224664482058611</v>
      </c>
      <c r="AM62" s="1" t="n">
        <v>51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W62" s="1" t="n">
        <f aca="false">$AM62</f>
        <v>51</v>
      </c>
      <c r="BX62" s="1" t="n">
        <f aca="false">MAX(BX61-AN62/AN$9*100,0)</f>
        <v>0</v>
      </c>
      <c r="BY62" s="1" t="n">
        <f aca="false">MAX(BY61-AO62/AO$9*100,0)</f>
        <v>0</v>
      </c>
      <c r="BZ62" s="1" t="n">
        <f aca="false">MAX(BZ61-AQ62/AQ$9*100,0)</f>
        <v>0</v>
      </c>
      <c r="CA62" s="1" t="n">
        <f aca="false">MAX(CA61-AR62/AR$9*100,0)</f>
        <v>0</v>
      </c>
      <c r="CB62" s="1" t="n">
        <f aca="false">CB$7*EXP(-$AM62/CB$8)</f>
        <v>3.59076592396312E-027</v>
      </c>
      <c r="CC62" s="1" t="n">
        <f aca="false">(BZ62-CB62)^2</f>
        <v>1.28935999206947E-053</v>
      </c>
      <c r="CD62" s="1" t="n">
        <f aca="false">MAX(CD61-AT62/AT$9*100,0)</f>
        <v>0</v>
      </c>
      <c r="CE62" s="1" t="n">
        <f aca="false">MAX(CE61-AU62/AU$9*100,0)</f>
        <v>5.32907051820075E-015</v>
      </c>
      <c r="CF62" s="1" t="n">
        <f aca="false">CF$7*EXP(-$AM62/CF$8)</f>
        <v>1.92049822486294E-026</v>
      </c>
      <c r="CG62" s="1" t="n">
        <f aca="false">(CD62-CF62)^2</f>
        <v>3.6883134317017E-052</v>
      </c>
      <c r="CH62" s="1" t="n">
        <f aca="false">$AM62</f>
        <v>51</v>
      </c>
      <c r="CI62" s="1" t="n">
        <f aca="false">MAX(CI61-AW62/AW$9*100,0)</f>
        <v>0</v>
      </c>
      <c r="CJ62" s="1" t="n">
        <f aca="false">MAX(CJ61-AX62/AX$9*100,0)</f>
        <v>0</v>
      </c>
      <c r="CK62" s="1" t="n">
        <f aca="false">CK$7*EXP(-$AM62/CK$8)</f>
        <v>2.08754042212429E-017</v>
      </c>
      <c r="CL62" s="1" t="n">
        <f aca="false">(CI62-CK62)^2</f>
        <v>4.35782501400286E-034</v>
      </c>
      <c r="CM62" s="1" t="n">
        <f aca="false">MAX(CM61-AZ62/AZ$9*100,0)</f>
        <v>0</v>
      </c>
      <c r="CN62" s="1" t="n">
        <f aca="false">MAX(CN61-BA62/BA$9*100,0)</f>
        <v>5.32907051820075E-015</v>
      </c>
      <c r="CO62" s="1" t="n">
        <f aca="false">CO$7*EXP(-$AM62/CO$8)</f>
        <v>2.98734249920766E-009</v>
      </c>
      <c r="CP62" s="1" t="n">
        <f aca="false">(CM62-CO62)^2</f>
        <v>8.92421520757227E-018</v>
      </c>
      <c r="CQ62" s="1" t="n">
        <f aca="false">$AM62</f>
        <v>51</v>
      </c>
      <c r="CR62" s="1" t="n">
        <f aca="false">MAX(CR61-BC62/BC$9*100,0)</f>
        <v>0</v>
      </c>
      <c r="CS62" s="1" t="n">
        <f aca="false">MAX(CS61-BD62/BD$9*100,0)</f>
        <v>0</v>
      </c>
      <c r="CT62" s="1" t="n">
        <f aca="false">CT$7*EXP(-$AM62/CT$8)</f>
        <v>5.33513270961083E-016</v>
      </c>
      <c r="CU62" s="1" t="n">
        <f aca="false">(CR62-CT62)^2</f>
        <v>2.84636410291594E-031</v>
      </c>
      <c r="CV62" s="1" t="n">
        <f aca="false">MAX(CV61-BF62/BF$9*100,0)</f>
        <v>8.88178419700125E-015</v>
      </c>
      <c r="CW62" s="1" t="n">
        <f aca="false">MAX(CW61-BG62/BG$9*100,0)</f>
        <v>5.32907051820075E-015</v>
      </c>
      <c r="CX62" s="1" t="n">
        <f aca="false">CX$7*EXP(-$AM62/CX$8)</f>
        <v>9.48861612220156E-008</v>
      </c>
      <c r="CY62" s="1" t="n">
        <f aca="false">(CV62-CX62)^2</f>
        <v>9.0033819059336E-015</v>
      </c>
      <c r="CZ62" s="1" t="n">
        <f aca="false">$AM62</f>
        <v>51</v>
      </c>
      <c r="DA62" s="1" t="n">
        <f aca="false">MAX(DA61-BI62/BI$9*100,0)</f>
        <v>0</v>
      </c>
      <c r="DB62" s="1" t="n">
        <f aca="false">MAX(DB61-BJ62/BJ$9*100,0)</f>
        <v>9.88098491916389E-015</v>
      </c>
      <c r="DC62" s="1" t="n">
        <f aca="false">DC$7*EXP(-$AM62/DC$8)</f>
        <v>1.08881260024638E-014</v>
      </c>
      <c r="DD62" s="1" t="n">
        <f aca="false">(DA62-DC62)^2</f>
        <v>1.18551287845528E-028</v>
      </c>
      <c r="DE62" s="1" t="n">
        <f aca="false">MAX(DE61-BL62/BL$9*100,0)</f>
        <v>0</v>
      </c>
      <c r="DF62" s="1" t="n">
        <f aca="false">MAX(DF61-BM62/BM$9*100,0)</f>
        <v>0.636942675159225</v>
      </c>
      <c r="DG62" s="1" t="n">
        <f aca="false">DG$7*EXP(-$AM62/DG$8)</f>
        <v>0.000349729609242374</v>
      </c>
      <c r="DH62" s="1" t="n">
        <f aca="false">(DE62-DG62)^2</f>
        <v>1.22310799580824E-007</v>
      </c>
      <c r="DI62" s="1" t="n">
        <f aca="false">$AM62</f>
        <v>51</v>
      </c>
      <c r="DJ62" s="1" t="n">
        <f aca="false">MAX(DJ61-BO62/BO$9*100,0)</f>
        <v>0</v>
      </c>
      <c r="DK62" s="1" t="n">
        <f aca="false">MAX(DK61-BP62/BP$9*100,0)</f>
        <v>9.99200722162641E-015</v>
      </c>
      <c r="DL62" s="1" t="n">
        <f aca="false">DL$7*EXP(-$AM62/DL$8)</f>
        <v>3.87022580057956E-012</v>
      </c>
      <c r="DM62" s="1" t="n">
        <f aca="false">(DJ62-DL62)^2</f>
        <v>1.49786477474717E-023</v>
      </c>
      <c r="DN62" s="1" t="n">
        <f aca="false">MAX(DN61-BR62/BR$9*100,0)</f>
        <v>0</v>
      </c>
      <c r="DO62" s="1" t="n">
        <f aca="false">MAX(DO61-BS62/BS$9*100,0)</f>
        <v>0.502512562814067</v>
      </c>
      <c r="DP62" s="1" t="n">
        <f aca="false">DP$7*EXP(-$AM62/DP$8)</f>
        <v>6.48410917748271E-005</v>
      </c>
      <c r="DQ62" s="1" t="n">
        <f aca="false">(DN62-DP62)^2</f>
        <v>4.20436718255155E-009</v>
      </c>
      <c r="DS62" s="1" t="n">
        <f aca="false">$AM62</f>
        <v>51</v>
      </c>
      <c r="DT62" s="1" t="n">
        <f aca="false">CA62</f>
        <v>0</v>
      </c>
      <c r="DU62" s="1" t="n">
        <f aca="false">DU$7*EXP(-DS62/DU$8)</f>
        <v>2.38862423438241E-021</v>
      </c>
      <c r="DV62" s="1" t="n">
        <f aca="false">(DT62-DU62)^2</f>
        <v>5.70552573307895E-042</v>
      </c>
      <c r="DX62" s="1" t="n">
        <f aca="false">$AM62</f>
        <v>51</v>
      </c>
      <c r="DY62" s="1" t="n">
        <f aca="false">CM62</f>
        <v>0</v>
      </c>
      <c r="DZ62" s="1" t="n">
        <f aca="false">DZ$7*EXP(-DX62/DZ$8)</f>
        <v>5.69361665779057E-011</v>
      </c>
      <c r="EA62" s="1" t="n">
        <f aca="false">(DY62-DZ62)^2</f>
        <v>3.24172706458703E-021</v>
      </c>
      <c r="EC62" s="1" t="n">
        <f aca="false">$AM62</f>
        <v>51</v>
      </c>
      <c r="ED62" s="1" t="n">
        <f aca="false">CV62</f>
        <v>8.88178419700125E-015</v>
      </c>
      <c r="EE62" s="1" t="n">
        <f aca="false">EE$7*EXP(-EC62/EE$8)</f>
        <v>3.02153639918898E-008</v>
      </c>
      <c r="EF62" s="1" t="n">
        <f aca="false">(ED62-EE62)^2</f>
        <v>9.12967684429785E-016</v>
      </c>
      <c r="EH62" s="1" t="n">
        <f aca="false">$AM62</f>
        <v>51</v>
      </c>
      <c r="EI62" s="1" t="n">
        <f aca="false">DE62</f>
        <v>0</v>
      </c>
      <c r="EJ62" s="1" t="n">
        <f aca="false">EJ$7*EXP(-EH62/EJ$8)</f>
        <v>0.000348278449038048</v>
      </c>
      <c r="EK62" s="1" t="n">
        <f aca="false">(EI62-EJ62)^2</f>
        <v>1.21297878064348E-007</v>
      </c>
      <c r="EM62" s="1" t="n">
        <f aca="false">AM62</f>
        <v>51</v>
      </c>
      <c r="EN62" s="1" t="n">
        <f aca="false">DN62</f>
        <v>0</v>
      </c>
      <c r="EO62" s="1" t="n">
        <f aca="false">EO$7*EXP(-EM62/EO$8)</f>
        <v>0.000102555032918768</v>
      </c>
      <c r="EP62" s="1" t="n">
        <f aca="false">(EN62-EO62)^2</f>
        <v>1.05175347769696E-008</v>
      </c>
      <c r="ER62" s="1" t="n">
        <f aca="false">$AM62</f>
        <v>51</v>
      </c>
      <c r="ES62" s="1" t="n">
        <f aca="false">BZ62</f>
        <v>0</v>
      </c>
      <c r="ET62" s="1" t="n">
        <f aca="false">ET$7*EXP(-ER62/ET$8)</f>
        <v>7.84461856357875E-025</v>
      </c>
      <c r="EU62" s="1" t="n">
        <f aca="false">(ES62-ET62)^2</f>
        <v>6.15380404080443E-049</v>
      </c>
      <c r="EW62" s="1" t="n">
        <f aca="false">$AM62</f>
        <v>51</v>
      </c>
      <c r="EX62" s="1" t="n">
        <f aca="false">CI62</f>
        <v>0</v>
      </c>
      <c r="EY62" s="1" t="n">
        <f aca="false">EY$7*EXP(-EW62/EY$8)</f>
        <v>1.12094739087468E-022</v>
      </c>
      <c r="EZ62" s="1" t="n">
        <f aca="false">(EX62-EY62)^2</f>
        <v>1.25652305310875E-044</v>
      </c>
      <c r="FB62" s="1" t="n">
        <f aca="false">$AM62</f>
        <v>51</v>
      </c>
      <c r="FC62" s="1" t="n">
        <f aca="false">CR62</f>
        <v>0</v>
      </c>
      <c r="FD62" s="1" t="n">
        <f aca="false">FD$7*EXP(-FB62/FD$8)</f>
        <v>1.4325724521579E-019</v>
      </c>
      <c r="FE62" s="1" t="n">
        <f aca="false">(FC62-FD62)^2</f>
        <v>2.0522638306817E-038</v>
      </c>
      <c r="FG62" s="1" t="n">
        <f aca="false">$AM62</f>
        <v>51</v>
      </c>
      <c r="FH62" s="1" t="n">
        <f aca="false">DA62</f>
        <v>0</v>
      </c>
      <c r="FI62" s="1" t="n">
        <f aca="false">FI$7*EXP(-FG62/FI$8)</f>
        <v>9.21592461416497E-017</v>
      </c>
      <c r="FJ62" s="1" t="n">
        <f aca="false">(FH62-FI62)^2</f>
        <v>8.49332664939717E-033</v>
      </c>
      <c r="FL62" s="1" t="n">
        <f aca="false">EM62</f>
        <v>51</v>
      </c>
      <c r="FM62" s="1" t="n">
        <f aca="false">DJ62</f>
        <v>0</v>
      </c>
      <c r="FN62" s="1" t="n">
        <f aca="false">FN$7*EXP(-FL62/FN$8)</f>
        <v>2.91364433362142E-013</v>
      </c>
      <c r="FO62" s="1" t="n">
        <f aca="false">(FM62-FN62)^2</f>
        <v>8.48932330284421E-026</v>
      </c>
      <c r="FQ62" s="1" t="n">
        <f aca="false">AM62</f>
        <v>51</v>
      </c>
      <c r="FR62" s="1" t="n">
        <f aca="false">AN62/AN$9*100</f>
        <v>0</v>
      </c>
      <c r="FS62" s="1" t="n">
        <f aca="false">AO62/AO$9*100</f>
        <v>0</v>
      </c>
      <c r="FT62" s="1" t="n">
        <f aca="false">AQ62/AQ$9*100</f>
        <v>0</v>
      </c>
      <c r="FU62" s="1" t="n">
        <f aca="false">AR62/AR$9*100</f>
        <v>0</v>
      </c>
      <c r="FV62" s="1" t="n">
        <f aca="false">AT62/AT$9*100</f>
        <v>0</v>
      </c>
      <c r="FW62" s="1" t="n">
        <f aca="false">AU62/AU$9*100</f>
        <v>0</v>
      </c>
      <c r="FX62" s="1" t="n">
        <f aca="false">AW62/AW$9*100</f>
        <v>0</v>
      </c>
      <c r="FY62" s="1" t="n">
        <f aca="false">AX62/AX$9*100</f>
        <v>0</v>
      </c>
      <c r="FZ62" s="1" t="n">
        <f aca="false">AZ62/AZ$9*100</f>
        <v>0</v>
      </c>
      <c r="GA62" s="1" t="n">
        <f aca="false">BA62/BA$9*100</f>
        <v>0</v>
      </c>
      <c r="GB62" s="1" t="n">
        <f aca="false">BC62/BC$9*100</f>
        <v>0</v>
      </c>
      <c r="GC62" s="1" t="n">
        <f aca="false">BD62/BD$9*100</f>
        <v>0</v>
      </c>
      <c r="GD62" s="1" t="n">
        <f aca="false">BF62/BF$9*100</f>
        <v>0</v>
      </c>
      <c r="GE62" s="1" t="n">
        <f aca="false">BG62/BG$9*100</f>
        <v>0</v>
      </c>
      <c r="GF62" s="1" t="n">
        <f aca="false">BI62/BI$9*100</f>
        <v>0</v>
      </c>
      <c r="GG62" s="1" t="n">
        <f aca="false">BJ62/BJ$9*100</f>
        <v>0</v>
      </c>
      <c r="GH62" s="1" t="n">
        <f aca="false">BL62/BL$9*100</f>
        <v>0</v>
      </c>
      <c r="GI62" s="1" t="n">
        <f aca="false">BM62/BM$9*100</f>
        <v>0</v>
      </c>
      <c r="GJ62" s="1" t="n">
        <f aca="false">BO62/BO$9*100</f>
        <v>0</v>
      </c>
      <c r="GK62" s="1" t="n">
        <f aca="false">BP62/BP$9*100</f>
        <v>0</v>
      </c>
      <c r="GL62" s="1" t="n">
        <f aca="false">BR62/BR$9*100</f>
        <v>0</v>
      </c>
      <c r="GM62" s="1" t="n">
        <f aca="false">BS62/BS$9*100</f>
        <v>0</v>
      </c>
      <c r="GO62" s="1" t="n">
        <f aca="false">$AM62</f>
        <v>51</v>
      </c>
      <c r="GP62" s="1" t="n">
        <f aca="false">FT62</f>
        <v>0</v>
      </c>
      <c r="GQ62" s="1" t="n">
        <f aca="false">GQ$6*(1+GQ$5*(-1)^$FQ62)*EXP(-$FQ62/GQ$4)</f>
        <v>1.16678209196637E-015</v>
      </c>
      <c r="GR62" s="1" t="n">
        <f aca="false">(GP62-GQ62)^2</f>
        <v>1.36138045013342E-030</v>
      </c>
      <c r="GS62" s="1" t="n">
        <f aca="false">EXP($FQ62/$JG$4)*GP62</f>
        <v>0</v>
      </c>
      <c r="GT62" s="1" t="n">
        <f aca="false">EXP($FQ62/$JG$4)*(-1)^$FQ62*GP62</f>
        <v>-0</v>
      </c>
      <c r="GU62" s="1" t="n">
        <f aca="false">(-1)^GO62*GP62</f>
        <v>-0</v>
      </c>
      <c r="GW62" s="1" t="n">
        <f aca="false">$AM62</f>
        <v>51</v>
      </c>
      <c r="GX62" s="1" t="n">
        <f aca="false">FX62</f>
        <v>0</v>
      </c>
      <c r="GY62" s="1" t="n">
        <f aca="false">GY$6*(1+GY$5*(-1)^$FQ62)*EXP(-$FQ62/GY$4)</f>
        <v>1.16678209196637E-015</v>
      </c>
      <c r="GZ62" s="1" t="n">
        <f aca="false">(GX62-GY62)^2</f>
        <v>1.36138045013342E-030</v>
      </c>
      <c r="HA62" s="1" t="n">
        <f aca="false">EXP($FQ62/$JG$4)*GX62</f>
        <v>0</v>
      </c>
      <c r="HB62" s="1" t="n">
        <f aca="false">EXP($FQ62/$JG$4)*(-1)^$FQ62*GX62</f>
        <v>-0</v>
      </c>
      <c r="HC62" s="1" t="n">
        <f aca="false">(-1)^GW62*GX62</f>
        <v>-0</v>
      </c>
      <c r="HE62" s="1" t="n">
        <f aca="false">$AM62</f>
        <v>51</v>
      </c>
      <c r="HF62" s="1" t="n">
        <f aca="false">GB62</f>
        <v>0</v>
      </c>
      <c r="HG62" s="1" t="n">
        <f aca="false">HG$6*(1+HG$5*(-1)^$FQ62)*EXP(-$FQ62/HG$4)</f>
        <v>1.16678209196637E-015</v>
      </c>
      <c r="HH62" s="1" t="n">
        <f aca="false">(HF62-HG62)^2</f>
        <v>1.36138045013342E-030</v>
      </c>
      <c r="HI62" s="1" t="n">
        <f aca="false">EXP($FQ62/$JG$4)*HF62</f>
        <v>0</v>
      </c>
      <c r="HJ62" s="1" t="n">
        <f aca="false">EXP($FQ62/$JG$4)*(-1)^$FQ62*HF62</f>
        <v>-0</v>
      </c>
      <c r="HK62" s="1" t="n">
        <f aca="false">(-1)^HE62*HF62</f>
        <v>-0</v>
      </c>
      <c r="HM62" s="1" t="n">
        <f aca="false">$AM62</f>
        <v>51</v>
      </c>
      <c r="HN62" s="1" t="n">
        <f aca="false">GF62</f>
        <v>0</v>
      </c>
      <c r="HO62" s="1" t="n">
        <f aca="false">HO$6*(1+HO$5*(-1)^$FQ62)*EXP(-$FQ62/HO$4)</f>
        <v>1.97980010732313E-012</v>
      </c>
      <c r="HP62" s="1" t="n">
        <f aca="false">(HN62-HO62)^2</f>
        <v>3.91960846495668E-024</v>
      </c>
      <c r="HQ62" s="1" t="n">
        <f aca="false">EXP($FQ62/$JG$4)*HN62</f>
        <v>0</v>
      </c>
      <c r="HR62" s="1" t="n">
        <f aca="false">EXP($FQ62/$JG$4)*(-1)^$FQ62*HN62</f>
        <v>-0</v>
      </c>
      <c r="HS62" s="1" t="n">
        <f aca="false">(-1)^HM62*HN62</f>
        <v>-0</v>
      </c>
      <c r="HU62" s="1" t="n">
        <f aca="false">$AM62</f>
        <v>51</v>
      </c>
      <c r="HV62" s="1" t="n">
        <f aca="false">GJ62</f>
        <v>0</v>
      </c>
      <c r="HW62" s="1" t="n">
        <f aca="false">HW$6*(1+HW$5*(-1)^$FQ62)*EXP(-$FQ62/HW$4)</f>
        <v>4.94401386943549E-009</v>
      </c>
      <c r="HX62" s="1" t="n">
        <f aca="false">(HV62-HW62)^2</f>
        <v>2.44432731411705E-017</v>
      </c>
      <c r="HY62" s="1" t="n">
        <f aca="false">EXP($FQ62/$JG$4)*HV62</f>
        <v>0</v>
      </c>
      <c r="HZ62" s="1" t="n">
        <f aca="false">EXP($FQ62/$JG$4)*(-1)^$FQ62*HV62</f>
        <v>-0</v>
      </c>
      <c r="IA62" s="1" t="n">
        <f aca="false">(-1)^HU62*HV62</f>
        <v>-0</v>
      </c>
      <c r="IB62" s="1" t="n">
        <v>0</v>
      </c>
      <c r="ID62" s="1" t="n">
        <f aca="false">$AM62</f>
        <v>51</v>
      </c>
      <c r="IE62" s="1" t="n">
        <f aca="false">FZ62</f>
        <v>0</v>
      </c>
      <c r="IF62" s="1" t="n">
        <f aca="false">IF$6*(1+IF$5*(-1)^$FQ62)*EXP(-$FQ62/IF$4)</f>
        <v>1.17584900531924E-006</v>
      </c>
      <c r="IG62" s="1" t="n">
        <f aca="false">(IE62-IF62)^2</f>
        <v>1.38262088331025E-012</v>
      </c>
      <c r="IH62" s="1" t="n">
        <f aca="false">EXP($FQ62/$JG$4)*IE62</f>
        <v>0</v>
      </c>
      <c r="II62" s="1" t="n">
        <f aca="false">EXP($FQ62/$JG$4)*(-1)^$FQ62*IE62</f>
        <v>-0</v>
      </c>
      <c r="IJ62" s="1" t="n">
        <f aca="false">(-1)^ID62*IE62</f>
        <v>-0</v>
      </c>
      <c r="IK62" s="1" t="n">
        <v>0</v>
      </c>
      <c r="IM62" s="1" t="n">
        <f aca="false">$AM62</f>
        <v>51</v>
      </c>
      <c r="IN62" s="1" t="n">
        <f aca="false">GD62</f>
        <v>0</v>
      </c>
      <c r="IO62" s="1" t="n">
        <f aca="false">IO$6*(1+IO$5*(-1)^$FQ62)*EXP(-$FQ62/IO$4)</f>
        <v>1.03257294719291E-005</v>
      </c>
      <c r="IP62" s="1" t="n">
        <f aca="false">(IN62-IO62)^2</f>
        <v>1.06620689127465E-010</v>
      </c>
      <c r="IQ62" s="1" t="n">
        <f aca="false">EXP($FQ62/$JG$4)*IN62</f>
        <v>0</v>
      </c>
      <c r="IR62" s="1" t="n">
        <f aca="false">EXP($FQ62/$JG$4)*(-1)^$FQ62*IN62</f>
        <v>-0</v>
      </c>
      <c r="IS62" s="1" t="n">
        <f aca="false">(-1)^IM62*IN62</f>
        <v>-0</v>
      </c>
      <c r="IT62" s="1" t="n">
        <v>0</v>
      </c>
      <c r="IV62" s="1" t="n">
        <f aca="false">$AM62</f>
        <v>51</v>
      </c>
      <c r="IW62" s="1" t="n">
        <f aca="false">GH62</f>
        <v>0</v>
      </c>
      <c r="IX62" s="1" t="n">
        <f aca="false">IX$6*(1+IX$5*(-1)^$FQ62)*EXP(-$FQ62/IX$4)</f>
        <v>0.000507067875535582</v>
      </c>
      <c r="IY62" s="1" t="n">
        <f aca="false">(IW62-IX62)^2</f>
        <v>2.57117830400168E-007</v>
      </c>
      <c r="IZ62" s="1" t="n">
        <f aca="false">EXP($FQ62/$JG$4)*IW62</f>
        <v>0</v>
      </c>
      <c r="JA62" s="1" t="n">
        <f aca="false">EXP($FQ62/$JG$4)*(-1)^$FQ62*IW62</f>
        <v>-0</v>
      </c>
      <c r="JB62" s="1" t="n">
        <f aca="false">(-1)^IV62*IW62</f>
        <v>-0</v>
      </c>
      <c r="JE62" s="1" t="n">
        <f aca="false">$AM62</f>
        <v>51</v>
      </c>
      <c r="JF62" s="1" t="n">
        <f aca="false">GL62</f>
        <v>0</v>
      </c>
      <c r="JG62" s="1" t="n">
        <f aca="false">JG$6*(1+JG$5*(-1)^$FQ62)*EXP(-$FQ62/JG$4)</f>
        <v>5.09712612762039E-005</v>
      </c>
      <c r="JH62" s="1" t="n">
        <f aca="false">(JF62-JG62)^2</f>
        <v>2.59806947608704E-009</v>
      </c>
      <c r="JI62" s="1" t="n">
        <f aca="false">EXP($FQ62/$JG$4)*JF62</f>
        <v>0</v>
      </c>
      <c r="JJ62" s="1" t="n">
        <f aca="false">EXP($FQ62/$JG$4)*(-1)^$FQ62*JF62</f>
        <v>-0</v>
      </c>
      <c r="JK62" s="1" t="n">
        <f aca="false">(-1)^JE62*JF62</f>
        <v>-0</v>
      </c>
      <c r="JO62" s="1" t="n">
        <f aca="false">$AM62</f>
        <v>51</v>
      </c>
      <c r="JP62" s="1" t="n">
        <f aca="false">GM62</f>
        <v>0</v>
      </c>
      <c r="JQ62" s="1" t="n">
        <f aca="false">JQ$6*(1+JQ$5*(-1)^$FQ62)*EXP(-$FQ62/JQ$4)</f>
        <v>0.0463207977203217</v>
      </c>
      <c r="JR62" s="1" t="n">
        <f aca="false">(JP62-JQ62)^2</f>
        <v>0.00214561630144696</v>
      </c>
      <c r="JS62" s="1" t="n">
        <f aca="false">EXP($FQ62/$JG$4)*JP62</f>
        <v>0</v>
      </c>
      <c r="JT62" s="1" t="n">
        <f aca="false">EXP($FQ62/$JG$4)*(-1)^$FQ62*JP62</f>
        <v>-0</v>
      </c>
      <c r="JU62" s="1" t="n">
        <f aca="false">(-1)^JO62*JP62</f>
        <v>-0</v>
      </c>
    </row>
    <row r="63" customFormat="false" ht="16" hidden="false" customHeight="false" outlineLevel="0" collapsed="false">
      <c r="A63" s="1" t="n">
        <v>1</v>
      </c>
      <c r="B63" s="1" t="n">
        <v>1</v>
      </c>
      <c r="C63" s="1" t="n">
        <f aca="false">B63-A63</f>
        <v>0</v>
      </c>
      <c r="D63" s="1" t="n">
        <v>2</v>
      </c>
      <c r="E63" s="1" t="n">
        <v>2</v>
      </c>
      <c r="F63" s="1" t="n">
        <f aca="false">E63-D63</f>
        <v>0</v>
      </c>
      <c r="G63" s="1" t="n">
        <v>1</v>
      </c>
      <c r="H63" s="1" t="n">
        <v>1</v>
      </c>
      <c r="I63" s="1" t="n">
        <f aca="false">H63-G63</f>
        <v>0</v>
      </c>
      <c r="J63" s="1" t="n">
        <v>1</v>
      </c>
      <c r="K63" s="1" t="n">
        <v>3</v>
      </c>
      <c r="L63" s="1" t="n">
        <f aca="false">K63-J63</f>
        <v>2</v>
      </c>
      <c r="M63" s="1" t="n">
        <v>4</v>
      </c>
      <c r="N63" s="1" t="n">
        <v>4</v>
      </c>
      <c r="O63" s="1" t="n">
        <f aca="false">N63-M63</f>
        <v>0</v>
      </c>
      <c r="P63" s="1" t="n">
        <v>3</v>
      </c>
      <c r="Q63" s="1" t="n">
        <v>3</v>
      </c>
      <c r="R63" s="1" t="n">
        <f aca="false">Q63-P63</f>
        <v>0</v>
      </c>
      <c r="S63" s="1" t="n">
        <v>2</v>
      </c>
      <c r="T63" s="1" t="n">
        <v>2</v>
      </c>
      <c r="U63" s="1" t="n">
        <f aca="false">T63-S63</f>
        <v>0</v>
      </c>
      <c r="V63" s="1" t="n">
        <v>2</v>
      </c>
      <c r="W63" s="1" t="n">
        <v>4</v>
      </c>
      <c r="X63" s="1" t="n">
        <f aca="false">W63-V63</f>
        <v>2</v>
      </c>
      <c r="Y63" s="1" t="n">
        <v>3</v>
      </c>
      <c r="Z63" s="1" t="n">
        <v>3</v>
      </c>
      <c r="AA63" s="1" t="n">
        <f aca="false">Z63-Y63</f>
        <v>0</v>
      </c>
      <c r="AB63" s="1" t="n">
        <v>2</v>
      </c>
      <c r="AC63" s="1" t="n">
        <v>6</v>
      </c>
      <c r="AD63" s="1" t="n">
        <f aca="false">AC63-AB63</f>
        <v>4</v>
      </c>
      <c r="AE63" s="1" t="n">
        <v>4</v>
      </c>
      <c r="AF63" s="1" t="n">
        <v>6</v>
      </c>
      <c r="AG63" s="1" t="n">
        <f aca="false">AF63-AE63</f>
        <v>2</v>
      </c>
      <c r="AI63" s="1" t="n">
        <v>8</v>
      </c>
      <c r="AJ63" s="1" t="n">
        <f aca="false">COUNTIF(Q$2:Q$1000,1)/COUNT(Q$2:Q$1000)</f>
        <v>0.150943396226415</v>
      </c>
      <c r="AK63" s="1" t="n">
        <f aca="false">AK$58*EXP(-AI63/AK$59)</f>
        <v>0.100948258997328</v>
      </c>
      <c r="AM63" s="1" t="n">
        <v>52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W63" s="1" t="n">
        <f aca="false">$AM63</f>
        <v>52</v>
      </c>
      <c r="BX63" s="1" t="n">
        <f aca="false">MAX(BX62-AN63/AN$9*100,0)</f>
        <v>0</v>
      </c>
      <c r="BY63" s="1" t="n">
        <f aca="false">MAX(BY62-AO63/AO$9*100,0)</f>
        <v>0</v>
      </c>
      <c r="BZ63" s="1" t="n">
        <f aca="false">MAX(BZ62-AQ63/AQ$9*100,0)</f>
        <v>0</v>
      </c>
      <c r="CA63" s="1" t="n">
        <f aca="false">MAX(CA62-AR63/AR$9*100,0)</f>
        <v>0</v>
      </c>
      <c r="CB63" s="1" t="n">
        <f aca="false">CB$7*EXP(-$AM63/CB$8)</f>
        <v>9.79869607576301E-028</v>
      </c>
      <c r="CC63" s="1" t="n">
        <f aca="false">(BZ63-CB63)^2</f>
        <v>9.60144447851734E-055</v>
      </c>
      <c r="CD63" s="1" t="n">
        <f aca="false">MAX(CD62-AT63/AT$9*100,0)</f>
        <v>0</v>
      </c>
      <c r="CE63" s="1" t="n">
        <f aca="false">MAX(CE62-AU63/AU$9*100,0)</f>
        <v>5.32907051820075E-015</v>
      </c>
      <c r="CF63" s="1" t="n">
        <f aca="false">CF$7*EXP(-$AM63/CF$8)</f>
        <v>5.41594268314083E-027</v>
      </c>
      <c r="CG63" s="1" t="n">
        <f aca="false">(CD63-CF63)^2</f>
        <v>2.93324351470667E-053</v>
      </c>
      <c r="CH63" s="1" t="n">
        <f aca="false">$AM63</f>
        <v>52</v>
      </c>
      <c r="CI63" s="1" t="n">
        <f aca="false">MAX(CI62-AW63/AW$9*100,0)</f>
        <v>0</v>
      </c>
      <c r="CJ63" s="1" t="n">
        <f aca="false">MAX(CJ62-AX63/AX$9*100,0)</f>
        <v>0</v>
      </c>
      <c r="CK63" s="1" t="n">
        <f aca="false">CK$7*EXP(-$AM63/CK$8)</f>
        <v>8.88061471917507E-018</v>
      </c>
      <c r="CL63" s="1" t="n">
        <f aca="false">(CI63-CK63)^2</f>
        <v>7.88653177904289E-035</v>
      </c>
      <c r="CM63" s="1" t="n">
        <f aca="false">MAX(CM62-AZ63/AZ$9*100,0)</f>
        <v>0</v>
      </c>
      <c r="CN63" s="1" t="n">
        <f aca="false">MAX(CN62-BA63/BA$9*100,0)</f>
        <v>5.32907051820075E-015</v>
      </c>
      <c r="CO63" s="1" t="n">
        <f aca="false">CO$7*EXP(-$AM63/CO$8)</f>
        <v>1.84709653404021E-009</v>
      </c>
      <c r="CP63" s="1" t="n">
        <f aca="false">(CM63-CO63)^2</f>
        <v>3.41176560606336E-018</v>
      </c>
      <c r="CQ63" s="1" t="n">
        <f aca="false">$AM63</f>
        <v>52</v>
      </c>
      <c r="CR63" s="1" t="n">
        <f aca="false">MAX(CR62-BC63/BC$9*100,0)</f>
        <v>0</v>
      </c>
      <c r="CS63" s="1" t="n">
        <f aca="false">MAX(CS62-BD63/BD$9*100,0)</f>
        <v>0</v>
      </c>
      <c r="CT63" s="1" t="n">
        <f aca="false">CT$7*EXP(-$AM63/CT$8)</f>
        <v>2.4276220182865E-016</v>
      </c>
      <c r="CU63" s="1" t="n">
        <f aca="false">(CR63-CT63)^2</f>
        <v>5.89334866366942E-032</v>
      </c>
      <c r="CV63" s="1" t="n">
        <f aca="false">MAX(CV62-BF63/BF$9*100,0)</f>
        <v>8.88178419700125E-015</v>
      </c>
      <c r="CW63" s="1" t="n">
        <f aca="false">MAX(CW62-BG63/BG$9*100,0)</f>
        <v>5.32907051820075E-015</v>
      </c>
      <c r="CX63" s="1" t="n">
        <f aca="false">CX$7*EXP(-$AM63/CX$8)</f>
        <v>6.27685862666726E-008</v>
      </c>
      <c r="CY63" s="1" t="n">
        <f aca="false">(CV63-CX63)^2</f>
        <v>3.93989430692273E-015</v>
      </c>
      <c r="CZ63" s="1" t="n">
        <f aca="false">$AM63</f>
        <v>52</v>
      </c>
      <c r="DA63" s="1" t="n">
        <f aca="false">MAX(DA62-BI63/BI$9*100,0)</f>
        <v>0</v>
      </c>
      <c r="DB63" s="1" t="n">
        <f aca="false">MAX(DB62-BJ63/BJ$9*100,0)</f>
        <v>9.88098491916389E-015</v>
      </c>
      <c r="DC63" s="1" t="n">
        <f aca="false">DC$7*EXP(-$AM63/DC$8)</f>
        <v>5.24746881876454E-015</v>
      </c>
      <c r="DD63" s="1" t="n">
        <f aca="false">(DA63-DC63)^2</f>
        <v>2.75359290039061E-029</v>
      </c>
      <c r="DE63" s="1" t="n">
        <f aca="false">MAX(DE62-BL63/BL$9*100,0)</f>
        <v>0</v>
      </c>
      <c r="DF63" s="1" t="n">
        <f aca="false">MAX(DF62-BM63/BM$9*100,0)</f>
        <v>0.636942675159225</v>
      </c>
      <c r="DG63" s="1" t="n">
        <f aca="false">DG$7*EXP(-$AM63/DG$8)</f>
        <v>0.000272369693541217</v>
      </c>
      <c r="DH63" s="1" t="n">
        <f aca="false">(DE63-DG63)^2</f>
        <v>7.41852499597365E-008</v>
      </c>
      <c r="DI63" s="1" t="n">
        <f aca="false">$AM63</f>
        <v>52</v>
      </c>
      <c r="DJ63" s="1" t="n">
        <f aca="false">MAX(DJ62-BO63/BO$9*100,0)</f>
        <v>0</v>
      </c>
      <c r="DK63" s="1" t="n">
        <f aca="false">MAX(DK62-BP63/BP$9*100,0)</f>
        <v>9.99200722162641E-015</v>
      </c>
      <c r="DL63" s="1" t="n">
        <f aca="false">DL$7*EXP(-$AM63/DL$8)</f>
        <v>2.09554972857421E-012</v>
      </c>
      <c r="DM63" s="1" t="n">
        <f aca="false">(DJ63-DL63)^2</f>
        <v>4.39132866492745E-024</v>
      </c>
      <c r="DN63" s="1" t="n">
        <f aca="false">MAX(DN62-BR63/BR$9*100,0)</f>
        <v>0</v>
      </c>
      <c r="DO63" s="1" t="n">
        <f aca="false">MAX(DO62-BS63/BS$9*100,0)</f>
        <v>0.502512562814067</v>
      </c>
      <c r="DP63" s="1" t="n">
        <f aca="false">DP$7*EXP(-$AM63/DP$8)</f>
        <v>4.88450682181365E-005</v>
      </c>
      <c r="DQ63" s="1" t="n">
        <f aca="false">(DN63-DP63)^2</f>
        <v>2.38584068923441E-009</v>
      </c>
      <c r="DS63" s="1" t="n">
        <f aca="false">$AM63</f>
        <v>52</v>
      </c>
      <c r="DT63" s="1" t="n">
        <f aca="false">CA63</f>
        <v>0</v>
      </c>
      <c r="DU63" s="1" t="n">
        <f aca="false">DU$7*EXP(-DS63/DU$8)</f>
        <v>8.51964628381582E-022</v>
      </c>
      <c r="DV63" s="1" t="n">
        <f aca="false">(DT63-DU63)^2</f>
        <v>7.25843728013367E-043</v>
      </c>
      <c r="DX63" s="1" t="n">
        <f aca="false">$AM63</f>
        <v>52</v>
      </c>
      <c r="DY63" s="1" t="n">
        <f aca="false">CM63</f>
        <v>0</v>
      </c>
      <c r="DZ63" s="1" t="n">
        <f aca="false">DZ$7*EXP(-DX63/DZ$8)</f>
        <v>3.2464039599762E-011</v>
      </c>
      <c r="EA63" s="1" t="n">
        <f aca="false">(DY63-DZ63)^2</f>
        <v>1.05391386713492E-021</v>
      </c>
      <c r="EC63" s="1" t="n">
        <f aca="false">$AM63</f>
        <v>52</v>
      </c>
      <c r="ED63" s="1" t="n">
        <f aca="false">CV63</f>
        <v>8.88178419700125E-015</v>
      </c>
      <c r="EE63" s="1" t="n">
        <f aca="false">EE$7*EXP(-EC63/EE$8)</f>
        <v>1.95244848989456E-008</v>
      </c>
      <c r="EF63" s="1" t="n">
        <f aca="false">(ED63-EE63)^2</f>
        <v>3.81205163744711E-016</v>
      </c>
      <c r="EH63" s="1" t="n">
        <f aca="false">$AM63</f>
        <v>52</v>
      </c>
      <c r="EI63" s="1" t="n">
        <f aca="false">DE63</f>
        <v>0</v>
      </c>
      <c r="EJ63" s="1" t="n">
        <f aca="false">EJ$7*EXP(-EH63/EJ$8)</f>
        <v>0.000271239528837726</v>
      </c>
      <c r="EK63" s="1" t="n">
        <f aca="false">(EI63-EJ63)^2</f>
        <v>7.35708820041116E-008</v>
      </c>
      <c r="EM63" s="1" t="n">
        <f aca="false">AM63</f>
        <v>52</v>
      </c>
      <c r="EN63" s="1" t="n">
        <f aca="false">DN63</f>
        <v>0</v>
      </c>
      <c r="EO63" s="1" t="n">
        <f aca="false">EO$7*EXP(-EM63/EO$8)</f>
        <v>7.79780173623471E-005</v>
      </c>
      <c r="EP63" s="1" t="n">
        <f aca="false">(EN63-EO63)^2</f>
        <v>6.08057119176251E-009</v>
      </c>
      <c r="ER63" s="1" t="n">
        <f aca="false">$AM63</f>
        <v>52</v>
      </c>
      <c r="ES63" s="1" t="n">
        <f aca="false">BZ63</f>
        <v>0</v>
      </c>
      <c r="ET63" s="1" t="n">
        <f aca="false">ET$7*EXP(-ER63/ET$8)</f>
        <v>2.38536361760378E-025</v>
      </c>
      <c r="EU63" s="1" t="n">
        <f aca="false">(ES63-ET63)^2</f>
        <v>5.68995958818779E-050</v>
      </c>
      <c r="EW63" s="1" t="n">
        <f aca="false">$AM63</f>
        <v>52</v>
      </c>
      <c r="EX63" s="1" t="n">
        <f aca="false">CI63</f>
        <v>0</v>
      </c>
      <c r="EY63" s="1" t="n">
        <f aca="false">EY$7*EXP(-EW63/EY$8)</f>
        <v>3.73541232180974E-023</v>
      </c>
      <c r="EZ63" s="1" t="n">
        <f aca="false">(EX63-EY63)^2</f>
        <v>1.3953305213928E-045</v>
      </c>
      <c r="FB63" s="1" t="n">
        <f aca="false">$AM63</f>
        <v>52</v>
      </c>
      <c r="FC63" s="1" t="n">
        <f aca="false">CR63</f>
        <v>0</v>
      </c>
      <c r="FD63" s="1" t="n">
        <f aca="false">FD$7*EXP(-FB63/FD$8)</f>
        <v>5.52716975618968E-020</v>
      </c>
      <c r="FE63" s="1" t="n">
        <f aca="false">(FC63-FD63)^2</f>
        <v>3.05496055137379E-039</v>
      </c>
      <c r="FG63" s="1" t="n">
        <f aca="false">$AM63</f>
        <v>52</v>
      </c>
      <c r="FH63" s="1" t="n">
        <f aca="false">DA63</f>
        <v>0</v>
      </c>
      <c r="FI63" s="1" t="n">
        <f aca="false">FI$7*EXP(-FG63/FI$8)</f>
        <v>4.03290372194717E-017</v>
      </c>
      <c r="FJ63" s="1" t="n">
        <f aca="false">(FH63-FI63)^2</f>
        <v>1.62643124304953E-033</v>
      </c>
      <c r="FL63" s="1" t="n">
        <f aca="false">EM63</f>
        <v>52</v>
      </c>
      <c r="FM63" s="1" t="n">
        <f aca="false">DJ63</f>
        <v>0</v>
      </c>
      <c r="FN63" s="1" t="n">
        <f aca="false">FN$7*EXP(-FL63/FN$8)</f>
        <v>1.49591487965355E-013</v>
      </c>
      <c r="FO63" s="1" t="n">
        <f aca="false">(FM63-FN63)^2</f>
        <v>2.2377613271689E-026</v>
      </c>
      <c r="FQ63" s="1" t="n">
        <f aca="false">AM63</f>
        <v>52</v>
      </c>
      <c r="FR63" s="1" t="n">
        <f aca="false">AN63/AN$9*100</f>
        <v>0</v>
      </c>
      <c r="FS63" s="1" t="n">
        <f aca="false">AO63/AO$9*100</f>
        <v>0</v>
      </c>
      <c r="FT63" s="1" t="n">
        <f aca="false">AQ63/AQ$9*100</f>
        <v>0</v>
      </c>
      <c r="FU63" s="1" t="n">
        <f aca="false">AR63/AR$9*100</f>
        <v>0</v>
      </c>
      <c r="FV63" s="1" t="n">
        <f aca="false">AT63/AT$9*100</f>
        <v>0</v>
      </c>
      <c r="FW63" s="1" t="n">
        <f aca="false">AU63/AU$9*100</f>
        <v>0</v>
      </c>
      <c r="FX63" s="1" t="n">
        <f aca="false">AW63/AW$9*100</f>
        <v>0</v>
      </c>
      <c r="FY63" s="1" t="n">
        <f aca="false">AX63/AX$9*100</f>
        <v>0</v>
      </c>
      <c r="FZ63" s="1" t="n">
        <f aca="false">AZ63/AZ$9*100</f>
        <v>0</v>
      </c>
      <c r="GA63" s="1" t="n">
        <f aca="false">BA63/BA$9*100</f>
        <v>0</v>
      </c>
      <c r="GB63" s="1" t="n">
        <f aca="false">BC63/BC$9*100</f>
        <v>0</v>
      </c>
      <c r="GC63" s="1" t="n">
        <f aca="false">BD63/BD$9*100</f>
        <v>0</v>
      </c>
      <c r="GD63" s="1" t="n">
        <f aca="false">BF63/BF$9*100</f>
        <v>0</v>
      </c>
      <c r="GE63" s="1" t="n">
        <f aca="false">BG63/BG$9*100</f>
        <v>0</v>
      </c>
      <c r="GF63" s="1" t="n">
        <f aca="false">BI63/BI$9*100</f>
        <v>0</v>
      </c>
      <c r="GG63" s="1" t="n">
        <f aca="false">BJ63/BJ$9*100</f>
        <v>0</v>
      </c>
      <c r="GH63" s="1" t="n">
        <f aca="false">BL63/BL$9*100</f>
        <v>0</v>
      </c>
      <c r="GI63" s="1" t="n">
        <f aca="false">BM63/BM$9*100</f>
        <v>0</v>
      </c>
      <c r="GJ63" s="1" t="n">
        <f aca="false">BO63/BO$9*100</f>
        <v>0</v>
      </c>
      <c r="GK63" s="1" t="n">
        <f aca="false">BP63/BP$9*100</f>
        <v>0</v>
      </c>
      <c r="GL63" s="1" t="n">
        <f aca="false">BR63/BR$9*100</f>
        <v>0</v>
      </c>
      <c r="GM63" s="1" t="n">
        <f aca="false">BS63/BS$9*100</f>
        <v>0</v>
      </c>
      <c r="GO63" s="1" t="n">
        <f aca="false">$AM63</f>
        <v>52</v>
      </c>
      <c r="GP63" s="1" t="n">
        <f aca="false">FT63</f>
        <v>0</v>
      </c>
      <c r="GQ63" s="1" t="n">
        <f aca="false">GQ$6*(1+GQ$5*(-1)^$FQ63)*EXP(-$FQ63/GQ$4)</f>
        <v>1.598066604759E-015</v>
      </c>
      <c r="GR63" s="1" t="n">
        <f aca="false">(GP63-GQ63)^2</f>
        <v>2.55381687324596E-030</v>
      </c>
      <c r="GS63" s="1" t="n">
        <f aca="false">EXP($FQ63/$JG$4)*GP63</f>
        <v>0</v>
      </c>
      <c r="GT63" s="1" t="n">
        <f aca="false">EXP($FQ63/$JG$4)*(-1)^$FQ63*GP63</f>
        <v>0</v>
      </c>
      <c r="GU63" s="1" t="n">
        <f aca="false">(-1)^GO63*GP63</f>
        <v>0</v>
      </c>
      <c r="GW63" s="1" t="n">
        <f aca="false">$AM63</f>
        <v>52</v>
      </c>
      <c r="GX63" s="1" t="n">
        <f aca="false">FX63</f>
        <v>0</v>
      </c>
      <c r="GY63" s="1" t="n">
        <f aca="false">GY$6*(1+GY$5*(-1)^$FQ63)*EXP(-$FQ63/GY$4)</f>
        <v>1.598066604759E-015</v>
      </c>
      <c r="GZ63" s="1" t="n">
        <f aca="false">(GX63-GY63)^2</f>
        <v>2.55381687324596E-030</v>
      </c>
      <c r="HA63" s="1" t="n">
        <f aca="false">EXP($FQ63/$JG$4)*GX63</f>
        <v>0</v>
      </c>
      <c r="HB63" s="1" t="n">
        <f aca="false">EXP($FQ63/$JG$4)*(-1)^$FQ63*GX63</f>
        <v>0</v>
      </c>
      <c r="HC63" s="1" t="n">
        <f aca="false">(-1)^GW63*GX63</f>
        <v>0</v>
      </c>
      <c r="HE63" s="1" t="n">
        <f aca="false">$AM63</f>
        <v>52</v>
      </c>
      <c r="HF63" s="1" t="n">
        <f aca="false">GB63</f>
        <v>0</v>
      </c>
      <c r="HG63" s="1" t="n">
        <f aca="false">HG$6*(1+HG$5*(-1)^$FQ63)*EXP(-$FQ63/HG$4)</f>
        <v>1.598066604759E-015</v>
      </c>
      <c r="HH63" s="1" t="n">
        <f aca="false">(HF63-HG63)^2</f>
        <v>2.55381687324596E-030</v>
      </c>
      <c r="HI63" s="1" t="n">
        <f aca="false">EXP($FQ63/$JG$4)*HF63</f>
        <v>0</v>
      </c>
      <c r="HJ63" s="1" t="n">
        <f aca="false">EXP($FQ63/$JG$4)*(-1)^$FQ63*HF63</f>
        <v>0</v>
      </c>
      <c r="HK63" s="1" t="n">
        <f aca="false">(-1)^HE63*HF63</f>
        <v>0</v>
      </c>
      <c r="HM63" s="1" t="n">
        <f aca="false">$AM63</f>
        <v>52</v>
      </c>
      <c r="HN63" s="1" t="n">
        <f aca="false">GF63</f>
        <v>0</v>
      </c>
      <c r="HO63" s="1" t="n">
        <f aca="false">HO$6*(1+HO$5*(-1)^$FQ63)*EXP(-$FQ63/HO$4)</f>
        <v>4.95571263023247E-012</v>
      </c>
      <c r="HP63" s="1" t="n">
        <f aca="false">(HN63-HO63)^2</f>
        <v>2.45590876734456E-023</v>
      </c>
      <c r="HQ63" s="1" t="n">
        <f aca="false">EXP($FQ63/$JG$4)*HN63</f>
        <v>0</v>
      </c>
      <c r="HR63" s="1" t="n">
        <f aca="false">EXP($FQ63/$JG$4)*(-1)^$FQ63*HN63</f>
        <v>0</v>
      </c>
      <c r="HS63" s="1" t="n">
        <f aca="false">(-1)^HM63*HN63</f>
        <v>0</v>
      </c>
      <c r="HU63" s="1" t="n">
        <f aca="false">$AM63</f>
        <v>52</v>
      </c>
      <c r="HV63" s="1" t="n">
        <f aca="false">GJ63</f>
        <v>0</v>
      </c>
      <c r="HW63" s="1" t="n">
        <f aca="false">HW$6*(1+HW$5*(-1)^$FQ63)*EXP(-$FQ63/HW$4)</f>
        <v>9.5287346939769E-009</v>
      </c>
      <c r="HX63" s="1" t="n">
        <f aca="false">(HV63-HW63)^2</f>
        <v>9.0796784868199E-017</v>
      </c>
      <c r="HY63" s="1" t="n">
        <f aca="false">EXP($FQ63/$JG$4)*HV63</f>
        <v>0</v>
      </c>
      <c r="HZ63" s="1" t="n">
        <f aca="false">EXP($FQ63/$JG$4)*(-1)^$FQ63*HV63</f>
        <v>0</v>
      </c>
      <c r="IA63" s="1" t="n">
        <f aca="false">(-1)^HU63*HV63</f>
        <v>0</v>
      </c>
      <c r="IB63" s="1" t="n">
        <v>0</v>
      </c>
      <c r="ID63" s="1" t="n">
        <f aca="false">$AM63</f>
        <v>52</v>
      </c>
      <c r="IE63" s="1" t="n">
        <f aca="false">FZ63</f>
        <v>0</v>
      </c>
      <c r="IF63" s="1" t="n">
        <f aca="false">IF$6*(1+IF$5*(-1)^$FQ63)*EXP(-$FQ63/IF$4)</f>
        <v>1.6355045147649E-006</v>
      </c>
      <c r="IG63" s="1" t="n">
        <f aca="false">(IE63-IF63)^2</f>
        <v>2.67487501781637E-012</v>
      </c>
      <c r="IH63" s="1" t="n">
        <f aca="false">EXP($FQ63/$JG$4)*IE63</f>
        <v>0</v>
      </c>
      <c r="II63" s="1" t="n">
        <f aca="false">EXP($FQ63/$JG$4)*(-1)^$FQ63*IE63</f>
        <v>0</v>
      </c>
      <c r="IJ63" s="1" t="n">
        <f aca="false">(-1)^ID63*IE63</f>
        <v>0</v>
      </c>
      <c r="IK63" s="1" t="n">
        <v>0</v>
      </c>
      <c r="IM63" s="1" t="n">
        <f aca="false">$AM63</f>
        <v>52</v>
      </c>
      <c r="IN63" s="1" t="n">
        <f aca="false">GD63</f>
        <v>0</v>
      </c>
      <c r="IO63" s="1" t="n">
        <f aca="false">IO$6*(1+IO$5*(-1)^$FQ63)*EXP(-$FQ63/IO$4)</f>
        <v>1.68739447438927E-005</v>
      </c>
      <c r="IP63" s="1" t="n">
        <f aca="false">(IN63-IO63)^2</f>
        <v>2.84730011219944E-010</v>
      </c>
      <c r="IQ63" s="1" t="n">
        <f aca="false">EXP($FQ63/$JG$4)*IN63</f>
        <v>0</v>
      </c>
      <c r="IR63" s="1" t="n">
        <f aca="false">EXP($FQ63/$JG$4)*(-1)^$FQ63*IN63</f>
        <v>0</v>
      </c>
      <c r="IS63" s="1" t="n">
        <f aca="false">(-1)^IM63*IN63</f>
        <v>0</v>
      </c>
      <c r="IT63" s="1" t="n">
        <v>0</v>
      </c>
      <c r="IV63" s="1" t="n">
        <f aca="false">$AM63</f>
        <v>52</v>
      </c>
      <c r="IW63" s="1" t="n">
        <f aca="false">GH63</f>
        <v>0</v>
      </c>
      <c r="IX63" s="1" t="n">
        <f aca="false">IX$6*(1+IX$5*(-1)^$FQ63)*EXP(-$FQ63/IX$4)</f>
        <v>0.00162241217005397</v>
      </c>
      <c r="IY63" s="1" t="n">
        <f aca="false">(IW63-IX63)^2</f>
        <v>2.63222124953923E-006</v>
      </c>
      <c r="IZ63" s="1" t="n">
        <f aca="false">EXP($FQ63/$JG$4)*IW63</f>
        <v>0</v>
      </c>
      <c r="JA63" s="1" t="n">
        <f aca="false">EXP($FQ63/$JG$4)*(-1)^$FQ63*IW63</f>
        <v>0</v>
      </c>
      <c r="JB63" s="1" t="n">
        <f aca="false">(-1)^IV63*IW63</f>
        <v>0</v>
      </c>
      <c r="JE63" s="1" t="n">
        <f aca="false">$AM63</f>
        <v>52</v>
      </c>
      <c r="JF63" s="1" t="n">
        <f aca="false">GL63</f>
        <v>0</v>
      </c>
      <c r="JG63" s="1" t="n">
        <f aca="false">JG$6*(1+JG$5*(-1)^$FQ63)*EXP(-$FQ63/JG$4)</f>
        <v>0.000264185095313586</v>
      </c>
      <c r="JH63" s="1" t="n">
        <f aca="false">(JF63-JG63)^2</f>
        <v>6.97937645858485E-008</v>
      </c>
      <c r="JI63" s="1" t="n">
        <f aca="false">EXP($FQ63/$JG$4)*JF63</f>
        <v>0</v>
      </c>
      <c r="JJ63" s="1" t="n">
        <f aca="false">EXP($FQ63/$JG$4)*(-1)^$FQ63*JF63</f>
        <v>0</v>
      </c>
      <c r="JK63" s="1" t="n">
        <f aca="false">(-1)^JE63*JF63</f>
        <v>0</v>
      </c>
      <c r="JO63" s="1" t="n">
        <f aca="false">$AM63</f>
        <v>52</v>
      </c>
      <c r="JP63" s="1" t="n">
        <f aca="false">GM63</f>
        <v>0</v>
      </c>
      <c r="JQ63" s="1" t="n">
        <f aca="false">JQ$6*(1+JQ$5*(-1)^$FQ63)*EXP(-$FQ63/JQ$4)</f>
        <v>0.224487299154813</v>
      </c>
      <c r="JR63" s="1" t="n">
        <f aca="false">(JP63-JQ63)^2</f>
        <v>0.0503945474818225</v>
      </c>
      <c r="JS63" s="1" t="n">
        <f aca="false">EXP($FQ63/$JG$4)*JP63</f>
        <v>0</v>
      </c>
      <c r="JT63" s="1" t="n">
        <f aca="false">EXP($FQ63/$JG$4)*(-1)^$FQ63*JP63</f>
        <v>0</v>
      </c>
      <c r="JU63" s="1" t="n">
        <f aca="false">(-1)^JO63*JP63</f>
        <v>0</v>
      </c>
    </row>
    <row r="64" customFormat="false" ht="16" hidden="false" customHeight="false" outlineLevel="0" collapsed="false">
      <c r="A64" s="1" t="n">
        <v>1</v>
      </c>
      <c r="B64" s="1" t="n">
        <v>1</v>
      </c>
      <c r="C64" s="1" t="n">
        <f aca="false">B64-A64</f>
        <v>0</v>
      </c>
      <c r="D64" s="1" t="n">
        <v>1</v>
      </c>
      <c r="E64" s="1" t="n">
        <v>1</v>
      </c>
      <c r="F64" s="1" t="n">
        <f aca="false">E64-D64</f>
        <v>0</v>
      </c>
      <c r="G64" s="1" t="n">
        <v>2</v>
      </c>
      <c r="H64" s="1" t="n">
        <v>2</v>
      </c>
      <c r="I64" s="1" t="n">
        <f aca="false">H64-G64</f>
        <v>0</v>
      </c>
      <c r="J64" s="1" t="n">
        <v>2</v>
      </c>
      <c r="K64" s="1" t="n">
        <v>2</v>
      </c>
      <c r="L64" s="1" t="n">
        <f aca="false">K64-J64</f>
        <v>0</v>
      </c>
      <c r="M64" s="1" t="n">
        <v>7</v>
      </c>
      <c r="N64" s="1" t="n">
        <v>10</v>
      </c>
      <c r="O64" s="1" t="n">
        <f aca="false">N64-M64</f>
        <v>3</v>
      </c>
      <c r="P64" s="1" t="n">
        <v>2</v>
      </c>
      <c r="Q64" s="1" t="n">
        <v>2</v>
      </c>
      <c r="R64" s="1" t="n">
        <f aca="false">Q64-P64</f>
        <v>0</v>
      </c>
      <c r="S64" s="1" t="n">
        <v>3</v>
      </c>
      <c r="T64" s="1" t="n">
        <v>3</v>
      </c>
      <c r="U64" s="1" t="n">
        <f aca="false">T64-S64</f>
        <v>0</v>
      </c>
      <c r="V64" s="1" t="n">
        <v>2</v>
      </c>
      <c r="W64" s="1" t="n">
        <v>2</v>
      </c>
      <c r="X64" s="1" t="n">
        <f aca="false">W64-V64</f>
        <v>0</v>
      </c>
      <c r="Y64" s="1" t="n">
        <v>2</v>
      </c>
      <c r="Z64" s="1" t="n">
        <v>2</v>
      </c>
      <c r="AA64" s="1" t="n">
        <f aca="false">Z64-Y64</f>
        <v>0</v>
      </c>
      <c r="AB64" s="1" t="n">
        <v>3</v>
      </c>
      <c r="AC64" s="1" t="n">
        <v>8</v>
      </c>
      <c r="AD64" s="1" t="n">
        <f aca="false">AC64-AB64</f>
        <v>5</v>
      </c>
      <c r="AE64" s="1" t="n">
        <v>3</v>
      </c>
      <c r="AF64" s="1" t="n">
        <v>12</v>
      </c>
      <c r="AG64" s="1" t="n">
        <f aca="false">AF64-AE64</f>
        <v>9</v>
      </c>
      <c r="AI64" s="1" t="n">
        <v>10</v>
      </c>
      <c r="AJ64" s="1" t="n">
        <f aca="false">COUNTIF(W$2:W$1000,1)/COUNT(W$2:W$1000)</f>
        <v>0.0753424657534247</v>
      </c>
      <c r="AK64" s="1" t="n">
        <f aca="false">AK$58*EXP(-AI64/AK$59)</f>
        <v>0.0676676416183064</v>
      </c>
      <c r="AM64" s="1" t="n">
        <v>53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W64" s="1" t="n">
        <f aca="false">$AM64</f>
        <v>53</v>
      </c>
      <c r="BX64" s="1" t="n">
        <f aca="false">MAX(BX63-AN64/AN$9*100,0)</f>
        <v>0</v>
      </c>
      <c r="BY64" s="1" t="n">
        <f aca="false">MAX(BY63-AO64/AO$9*100,0)</f>
        <v>0</v>
      </c>
      <c r="BZ64" s="1" t="n">
        <f aca="false">MAX(BZ63-AQ64/AQ$9*100,0)</f>
        <v>0</v>
      </c>
      <c r="CA64" s="1" t="n">
        <f aca="false">MAX(CA63-AR64/AR$9*100,0)</f>
        <v>0</v>
      </c>
      <c r="CB64" s="1" t="n">
        <f aca="false">CB$7*EXP(-$AM64/CB$8)</f>
        <v>2.67392658887672E-028</v>
      </c>
      <c r="CC64" s="1" t="n">
        <f aca="false">(BZ64-CB64)^2</f>
        <v>7.14988340270189E-056</v>
      </c>
      <c r="CD64" s="1" t="n">
        <f aca="false">MAX(CD63-AT64/AT$9*100,0)</f>
        <v>0</v>
      </c>
      <c r="CE64" s="1" t="n">
        <f aca="false">MAX(CE63-AU64/AU$9*100,0)</f>
        <v>5.32907051820075E-015</v>
      </c>
      <c r="CF64" s="1" t="n">
        <f aca="false">CF$7*EXP(-$AM64/CF$8)</f>
        <v>1.52733466593858E-027</v>
      </c>
      <c r="CG64" s="1" t="n">
        <f aca="false">(CD64-CF64)^2</f>
        <v>2.33275118177771E-054</v>
      </c>
      <c r="CH64" s="1" t="n">
        <f aca="false">$AM64</f>
        <v>53</v>
      </c>
      <c r="CI64" s="1" t="n">
        <f aca="false">MAX(CI63-AW64/AW$9*100,0)</f>
        <v>0</v>
      </c>
      <c r="CJ64" s="1" t="n">
        <f aca="false">MAX(CJ63-AX64/AX$9*100,0)</f>
        <v>0</v>
      </c>
      <c r="CK64" s="1" t="n">
        <f aca="false">CK$7*EXP(-$AM64/CK$8)</f>
        <v>3.7779061403839E-018</v>
      </c>
      <c r="CL64" s="1" t="n">
        <f aca="false">(CI64-CK64)^2</f>
        <v>1.42725748055504E-035</v>
      </c>
      <c r="CM64" s="1" t="n">
        <f aca="false">MAX(CM63-AZ64/AZ$9*100,0)</f>
        <v>0</v>
      </c>
      <c r="CN64" s="1" t="n">
        <f aca="false">MAX(CN63-BA64/BA$9*100,0)</f>
        <v>5.32907051820075E-015</v>
      </c>
      <c r="CO64" s="1" t="n">
        <f aca="false">CO$7*EXP(-$AM64/CO$8)</f>
        <v>1.1420738020392E-009</v>
      </c>
      <c r="CP64" s="1" t="n">
        <f aca="false">(CM64-CO64)^2</f>
        <v>1.30433256930427E-018</v>
      </c>
      <c r="CQ64" s="1" t="n">
        <f aca="false">$AM64</f>
        <v>53</v>
      </c>
      <c r="CR64" s="1" t="n">
        <f aca="false">MAX(CR63-BC64/BC$9*100,0)</f>
        <v>0</v>
      </c>
      <c r="CS64" s="1" t="n">
        <f aca="false">MAX(CS63-BD64/BD$9*100,0)</f>
        <v>0</v>
      </c>
      <c r="CT64" s="1" t="n">
        <f aca="false">CT$7*EXP(-$AM64/CT$8)</f>
        <v>1.10463019093284E-016</v>
      </c>
      <c r="CU64" s="1" t="n">
        <f aca="false">(CR64-CT64)^2</f>
        <v>1.22020785872032E-032</v>
      </c>
      <c r="CV64" s="1" t="n">
        <f aca="false">MAX(CV63-BF64/BF$9*100,0)</f>
        <v>8.88178419700125E-015</v>
      </c>
      <c r="CW64" s="1" t="n">
        <f aca="false">MAX(CW63-BG64/BG$9*100,0)</f>
        <v>5.32907051820075E-015</v>
      </c>
      <c r="CX64" s="1" t="n">
        <f aca="false">CX$7*EXP(-$AM64/CX$8)</f>
        <v>4.15223397297961E-008</v>
      </c>
      <c r="CY64" s="1" t="n">
        <f aca="false">(CV64-CX64)^2</f>
        <v>1.72410395905176E-015</v>
      </c>
      <c r="CZ64" s="1" t="n">
        <f aca="false">$AM64</f>
        <v>53</v>
      </c>
      <c r="DA64" s="1" t="n">
        <f aca="false">MAX(DA63-BI64/BI$9*100,0)</f>
        <v>0</v>
      </c>
      <c r="DB64" s="1" t="n">
        <f aca="false">MAX(DB63-BJ64/BJ$9*100,0)</f>
        <v>9.88098491916389E-015</v>
      </c>
      <c r="DC64" s="1" t="n">
        <f aca="false">DC$7*EXP(-$AM64/DC$8)</f>
        <v>2.52898698983416E-015</v>
      </c>
      <c r="DD64" s="1" t="n">
        <f aca="false">(DA64-DC64)^2</f>
        <v>6.39577519475045E-030</v>
      </c>
      <c r="DE64" s="1" t="n">
        <f aca="false">MAX(DE63-BL64/BL$9*100,0)</f>
        <v>0</v>
      </c>
      <c r="DF64" s="1" t="n">
        <f aca="false">MAX(DF63-BM64/BM$9*100,0)</f>
        <v>0.636942675159225</v>
      </c>
      <c r="DG64" s="1" t="n">
        <f aca="false">DG$7*EXP(-$AM64/DG$8)</f>
        <v>0.000212121730614818</v>
      </c>
      <c r="DH64" s="1" t="n">
        <f aca="false">(DE64-DG64)^2</f>
        <v>4.49956285990254E-008</v>
      </c>
      <c r="DI64" s="1" t="n">
        <f aca="false">$AM64</f>
        <v>53</v>
      </c>
      <c r="DJ64" s="1" t="n">
        <f aca="false">MAX(DJ63-BO64/BO$9*100,0)</f>
        <v>0</v>
      </c>
      <c r="DK64" s="1" t="n">
        <f aca="false">MAX(DK63-BP64/BP$9*100,0)</f>
        <v>9.99200722162641E-015</v>
      </c>
      <c r="DL64" s="1" t="n">
        <f aca="false">DL$7*EXP(-$AM64/DL$8)</f>
        <v>1.13464404693645E-012</v>
      </c>
      <c r="DM64" s="1" t="n">
        <f aca="false">(DJ64-DL64)^2</f>
        <v>1.28741711324832E-024</v>
      </c>
      <c r="DN64" s="1" t="n">
        <f aca="false">MAX(DN63-BR64/BR$9*100,0)</f>
        <v>0</v>
      </c>
      <c r="DO64" s="1" t="n">
        <f aca="false">MAX(DO63-BS64/BS$9*100,0)</f>
        <v>0.502512562814067</v>
      </c>
      <c r="DP64" s="1" t="n">
        <f aca="false">DP$7*EXP(-$AM64/DP$8)</f>
        <v>3.67951961314854E-005</v>
      </c>
      <c r="DQ64" s="1" t="n">
        <f aca="false">(DN64-DP64)^2</f>
        <v>1.35388645835448E-009</v>
      </c>
      <c r="DS64" s="1" t="n">
        <f aca="false">$AM64</f>
        <v>53</v>
      </c>
      <c r="DT64" s="1" t="n">
        <f aca="false">CA64</f>
        <v>0</v>
      </c>
      <c r="DU64" s="1" t="n">
        <f aca="false">DU$7*EXP(-DS64/DU$8)</f>
        <v>3.03875225565161E-022</v>
      </c>
      <c r="DV64" s="1" t="n">
        <f aca="false">(DT64-DU64)^2</f>
        <v>9.23401527122775E-044</v>
      </c>
      <c r="DX64" s="1" t="n">
        <f aca="false">$AM64</f>
        <v>53</v>
      </c>
      <c r="DY64" s="1" t="n">
        <f aca="false">CM64</f>
        <v>0</v>
      </c>
      <c r="DZ64" s="1" t="n">
        <f aca="false">DZ$7*EXP(-DX64/DZ$8)</f>
        <v>1.85104465312544E-011</v>
      </c>
      <c r="EA64" s="1" t="n">
        <f aca="false">(DY64-DZ64)^2</f>
        <v>3.42636630786428E-022</v>
      </c>
      <c r="EC64" s="1" t="n">
        <f aca="false">$AM64</f>
        <v>53</v>
      </c>
      <c r="ED64" s="1" t="n">
        <f aca="false">CV64</f>
        <v>8.88178419700125E-015</v>
      </c>
      <c r="EE64" s="1" t="n">
        <f aca="false">EE$7*EXP(-EC64/EE$8)</f>
        <v>1.26162806005407E-008</v>
      </c>
      <c r="EF64" s="1" t="n">
        <f aca="false">(ED64-EE64)^2</f>
        <v>1.59170312081495E-016</v>
      </c>
      <c r="EH64" s="1" t="n">
        <f aca="false">$AM64</f>
        <v>53</v>
      </c>
      <c r="EI64" s="1" t="n">
        <f aca="false">DE64</f>
        <v>0</v>
      </c>
      <c r="EJ64" s="1" t="n">
        <f aca="false">EJ$7*EXP(-EH64/EJ$8)</f>
        <v>0.00021124155745874</v>
      </c>
      <c r="EK64" s="1" t="n">
        <f aca="false">(EI64-EJ64)^2</f>
        <v>4.46229955975942E-008</v>
      </c>
      <c r="EM64" s="1" t="n">
        <f aca="false">AM64</f>
        <v>53</v>
      </c>
      <c r="EN64" s="1" t="n">
        <f aca="false">DN64</f>
        <v>0</v>
      </c>
      <c r="EO64" s="1" t="n">
        <f aca="false">EO$7*EXP(-EM64/EO$8)</f>
        <v>5.92908121494028E-005</v>
      </c>
      <c r="EP64" s="1" t="n">
        <f aca="false">(EN64-EO64)^2</f>
        <v>3.51540040533577E-009</v>
      </c>
      <c r="ER64" s="1" t="n">
        <f aca="false">$AM64</f>
        <v>53</v>
      </c>
      <c r="ES64" s="1" t="n">
        <f aca="false">BZ64</f>
        <v>0</v>
      </c>
      <c r="ET64" s="1" t="n">
        <f aca="false">ET$7*EXP(-ER64/ET$8)</f>
        <v>7.25332856157639E-026</v>
      </c>
      <c r="EU64" s="1" t="n">
        <f aca="false">(ES64-ET64)^2</f>
        <v>5.26107752221798E-051</v>
      </c>
      <c r="EW64" s="1" t="n">
        <f aca="false">$AM64</f>
        <v>53</v>
      </c>
      <c r="EX64" s="1" t="n">
        <f aca="false">CI64</f>
        <v>0</v>
      </c>
      <c r="EY64" s="1" t="n">
        <f aca="false">EY$7*EXP(-EW64/EY$8)</f>
        <v>1.24477788409322E-023</v>
      </c>
      <c r="EZ64" s="1" t="n">
        <f aca="false">(EX64-EY64)^2</f>
        <v>1.54947198072759E-046</v>
      </c>
      <c r="FB64" s="1" t="n">
        <f aca="false">$AM64</f>
        <v>53</v>
      </c>
      <c r="FC64" s="1" t="n">
        <f aca="false">CR64</f>
        <v>0</v>
      </c>
      <c r="FD64" s="1" t="n">
        <f aca="false">FD$7*EXP(-FB64/FD$8)</f>
        <v>2.1324998583995E-020</v>
      </c>
      <c r="FE64" s="1" t="n">
        <f aca="false">(FC64-FD64)^2</f>
        <v>4.54755564607389E-040</v>
      </c>
      <c r="FG64" s="1" t="n">
        <f aca="false">$AM64</f>
        <v>53</v>
      </c>
      <c r="FH64" s="1" t="n">
        <f aca="false">DA64</f>
        <v>0</v>
      </c>
      <c r="FI64" s="1" t="n">
        <f aca="false">FI$7*EXP(-FG64/FI$8)</f>
        <v>1.76480528122995E-017</v>
      </c>
      <c r="FJ64" s="1" t="n">
        <f aca="false">(FH64-FI64)^2</f>
        <v>3.11453768065712E-034</v>
      </c>
      <c r="FL64" s="1" t="n">
        <f aca="false">EM64</f>
        <v>53</v>
      </c>
      <c r="FM64" s="1" t="n">
        <f aca="false">DJ64</f>
        <v>0</v>
      </c>
      <c r="FN64" s="1" t="n">
        <f aca="false">FN$7*EXP(-FL64/FN$8)</f>
        <v>7.68028307829709E-014</v>
      </c>
      <c r="FO64" s="1" t="n">
        <f aca="false">(FM64-FN64)^2</f>
        <v>5.89867481627766E-027</v>
      </c>
      <c r="FQ64" s="1" t="n">
        <f aca="false">AM64</f>
        <v>53</v>
      </c>
      <c r="FR64" s="1" t="n">
        <f aca="false">AN64/AN$9*100</f>
        <v>0</v>
      </c>
      <c r="FS64" s="1" t="n">
        <f aca="false">AO64/AO$9*100</f>
        <v>0</v>
      </c>
      <c r="FT64" s="1" t="n">
        <f aca="false">AQ64/AQ$9*100</f>
        <v>0</v>
      </c>
      <c r="FU64" s="1" t="n">
        <f aca="false">AR64/AR$9*100</f>
        <v>0</v>
      </c>
      <c r="FV64" s="1" t="n">
        <f aca="false">AT64/AT$9*100</f>
        <v>0</v>
      </c>
      <c r="FW64" s="1" t="n">
        <f aca="false">AU64/AU$9*100</f>
        <v>0</v>
      </c>
      <c r="FX64" s="1" t="n">
        <f aca="false">AW64/AW$9*100</f>
        <v>0</v>
      </c>
      <c r="FY64" s="1" t="n">
        <f aca="false">AX64/AX$9*100</f>
        <v>0</v>
      </c>
      <c r="FZ64" s="1" t="n">
        <f aca="false">AZ64/AZ$9*100</f>
        <v>0</v>
      </c>
      <c r="GA64" s="1" t="n">
        <f aca="false">BA64/BA$9*100</f>
        <v>0</v>
      </c>
      <c r="GB64" s="1" t="n">
        <f aca="false">BC64/BC$9*100</f>
        <v>0</v>
      </c>
      <c r="GC64" s="1" t="n">
        <f aca="false">BD64/BD$9*100</f>
        <v>0</v>
      </c>
      <c r="GD64" s="1" t="n">
        <f aca="false">BF64/BF$9*100</f>
        <v>0</v>
      </c>
      <c r="GE64" s="1" t="n">
        <f aca="false">BG64/BG$9*100</f>
        <v>0</v>
      </c>
      <c r="GF64" s="1" t="n">
        <f aca="false">BI64/BI$9*100</f>
        <v>0</v>
      </c>
      <c r="GG64" s="1" t="n">
        <f aca="false">BJ64/BJ$9*100</f>
        <v>0</v>
      </c>
      <c r="GH64" s="1" t="n">
        <f aca="false">BL64/BL$9*100</f>
        <v>0</v>
      </c>
      <c r="GI64" s="1" t="n">
        <f aca="false">BM64/BM$9*100</f>
        <v>0</v>
      </c>
      <c r="GJ64" s="1" t="n">
        <f aca="false">BO64/BO$9*100</f>
        <v>0</v>
      </c>
      <c r="GK64" s="1" t="n">
        <f aca="false">BP64/BP$9*100</f>
        <v>0</v>
      </c>
      <c r="GL64" s="1" t="n">
        <f aca="false">BR64/BR$9*100</f>
        <v>0</v>
      </c>
      <c r="GM64" s="1" t="n">
        <f aca="false">BS64/BS$9*100</f>
        <v>0</v>
      </c>
      <c r="GO64" s="1" t="n">
        <f aca="false">$AM64</f>
        <v>53</v>
      </c>
      <c r="GP64" s="1" t="n">
        <f aca="false">FT64</f>
        <v>0</v>
      </c>
      <c r="GQ64" s="1" t="n">
        <f aca="false">GQ$6*(1+GQ$5*(-1)^$FQ64)*EXP(-$FQ64/GQ$4)</f>
        <v>2.56429397865377E-016</v>
      </c>
      <c r="GR64" s="1" t="n">
        <f aca="false">(GP64-GQ64)^2</f>
        <v>6.57560360895998E-032</v>
      </c>
      <c r="GS64" s="1" t="n">
        <f aca="false">EXP($FQ64/$JG$4)*GP64</f>
        <v>0</v>
      </c>
      <c r="GT64" s="1" t="n">
        <f aca="false">EXP($FQ64/$JG$4)*(-1)^$FQ64*GP64</f>
        <v>-0</v>
      </c>
      <c r="GU64" s="1" t="n">
        <f aca="false">(-1)^GO64*GP64</f>
        <v>-0</v>
      </c>
      <c r="GW64" s="1" t="n">
        <f aca="false">$AM64</f>
        <v>53</v>
      </c>
      <c r="GX64" s="1" t="n">
        <f aca="false">FX64</f>
        <v>0</v>
      </c>
      <c r="GY64" s="1" t="n">
        <f aca="false">GY$6*(1+GY$5*(-1)^$FQ64)*EXP(-$FQ64/GY$4)</f>
        <v>2.56429397865377E-016</v>
      </c>
      <c r="GZ64" s="1" t="n">
        <f aca="false">(GX64-GY64)^2</f>
        <v>6.57560360895998E-032</v>
      </c>
      <c r="HA64" s="1" t="n">
        <f aca="false">EXP($FQ64/$JG$4)*GX64</f>
        <v>0</v>
      </c>
      <c r="HB64" s="1" t="n">
        <f aca="false">EXP($FQ64/$JG$4)*(-1)^$FQ64*GX64</f>
        <v>-0</v>
      </c>
      <c r="HC64" s="1" t="n">
        <f aca="false">(-1)^GW64*GX64</f>
        <v>-0</v>
      </c>
      <c r="HE64" s="1" t="n">
        <f aca="false">$AM64</f>
        <v>53</v>
      </c>
      <c r="HF64" s="1" t="n">
        <f aca="false">GB64</f>
        <v>0</v>
      </c>
      <c r="HG64" s="1" t="n">
        <f aca="false">HG$6*(1+HG$5*(-1)^$FQ64)*EXP(-$FQ64/HG$4)</f>
        <v>2.56429397865377E-016</v>
      </c>
      <c r="HH64" s="1" t="n">
        <f aca="false">(HF64-HG64)^2</f>
        <v>6.57560360895998E-032</v>
      </c>
      <c r="HI64" s="1" t="n">
        <f aca="false">EXP($FQ64/$JG$4)*HF64</f>
        <v>0</v>
      </c>
      <c r="HJ64" s="1" t="n">
        <f aca="false">EXP($FQ64/$JG$4)*(-1)^$FQ64*HF64</f>
        <v>-0</v>
      </c>
      <c r="HK64" s="1" t="n">
        <f aca="false">(-1)^HE64*HF64</f>
        <v>-0</v>
      </c>
      <c r="HM64" s="1" t="n">
        <f aca="false">$AM64</f>
        <v>53</v>
      </c>
      <c r="HN64" s="1" t="n">
        <f aca="false">GF64</f>
        <v>0</v>
      </c>
      <c r="HO64" s="1" t="n">
        <f aca="false">HO$6*(1+HO$5*(-1)^$FQ64)*EXP(-$FQ64/HO$4)</f>
        <v>5.97734318794644E-013</v>
      </c>
      <c r="HP64" s="1" t="n">
        <f aca="false">(HN64-HO64)^2</f>
        <v>3.57286315864897E-025</v>
      </c>
      <c r="HQ64" s="1" t="n">
        <f aca="false">EXP($FQ64/$JG$4)*HN64</f>
        <v>0</v>
      </c>
      <c r="HR64" s="1" t="n">
        <f aca="false">EXP($FQ64/$JG$4)*(-1)^$FQ64*HN64</f>
        <v>-0</v>
      </c>
      <c r="HS64" s="1" t="n">
        <f aca="false">(-1)^HM64*HN64</f>
        <v>-0</v>
      </c>
      <c r="HU64" s="1" t="n">
        <f aca="false">$AM64</f>
        <v>53</v>
      </c>
      <c r="HV64" s="1" t="n">
        <f aca="false">GJ64</f>
        <v>0</v>
      </c>
      <c r="HW64" s="1" t="n">
        <f aca="false">HW$6*(1+HW$5*(-1)^$FQ64)*EXP(-$FQ64/HW$4)</f>
        <v>2.04055488484583E-009</v>
      </c>
      <c r="HX64" s="1" t="n">
        <f aca="false">(HV64-HW64)^2</f>
        <v>4.16386423806818E-018</v>
      </c>
      <c r="HY64" s="1" t="n">
        <f aca="false">EXP($FQ64/$JG$4)*HV64</f>
        <v>0</v>
      </c>
      <c r="HZ64" s="1" t="n">
        <f aca="false">EXP($FQ64/$JG$4)*(-1)^$FQ64*HV64</f>
        <v>-0</v>
      </c>
      <c r="IA64" s="1" t="n">
        <f aca="false">(-1)^HU64*HV64</f>
        <v>-0</v>
      </c>
      <c r="IB64" s="1" t="n">
        <v>0</v>
      </c>
      <c r="ID64" s="1" t="n">
        <f aca="false">$AM64</f>
        <v>53</v>
      </c>
      <c r="IE64" s="1" t="n">
        <f aca="false">FZ64</f>
        <v>0</v>
      </c>
      <c r="IF64" s="1" t="n">
        <f aca="false">IF$6*(1+IF$5*(-1)^$FQ64)*EXP(-$FQ64/IF$4)</f>
        <v>6.03701008728343E-007</v>
      </c>
      <c r="IG64" s="1" t="n">
        <f aca="false">(IE64-IF64)^2</f>
        <v>3.64454907939619E-013</v>
      </c>
      <c r="IH64" s="1" t="n">
        <f aca="false">EXP($FQ64/$JG$4)*IE64</f>
        <v>0</v>
      </c>
      <c r="II64" s="1" t="n">
        <f aca="false">EXP($FQ64/$JG$4)*(-1)^$FQ64*IE64</f>
        <v>-0</v>
      </c>
      <c r="IJ64" s="1" t="n">
        <f aca="false">(-1)^ID64*IE64</f>
        <v>-0</v>
      </c>
      <c r="IK64" s="1" t="n">
        <v>0</v>
      </c>
      <c r="IM64" s="1" t="n">
        <f aca="false">$AM64</f>
        <v>53</v>
      </c>
      <c r="IN64" s="1" t="n">
        <f aca="false">GD64</f>
        <v>0</v>
      </c>
      <c r="IO64" s="1" t="n">
        <f aca="false">IO$6*(1+IO$5*(-1)^$FQ64)*EXP(-$FQ64/IO$4)</f>
        <v>5.831126555748E-006</v>
      </c>
      <c r="IP64" s="1" t="n">
        <f aca="false">(IN64-IO64)^2</f>
        <v>3.40020369091495E-011</v>
      </c>
      <c r="IQ64" s="1" t="n">
        <f aca="false">EXP($FQ64/$JG$4)*IN64</f>
        <v>0</v>
      </c>
      <c r="IR64" s="1" t="n">
        <f aca="false">EXP($FQ64/$JG$4)*(-1)^$FQ64*IN64</f>
        <v>-0</v>
      </c>
      <c r="IS64" s="1" t="n">
        <f aca="false">(-1)^IM64*IN64</f>
        <v>-0</v>
      </c>
      <c r="IT64" s="1" t="n">
        <v>0</v>
      </c>
      <c r="IV64" s="1" t="n">
        <f aca="false">$AM64</f>
        <v>53</v>
      </c>
      <c r="IW64" s="1" t="n">
        <f aca="false">GH64</f>
        <v>0</v>
      </c>
      <c r="IX64" s="1" t="n">
        <f aca="false">IX$6*(1+IX$5*(-1)^$FQ64)*EXP(-$FQ64/IX$4)</f>
        <v>0.00034516738966857</v>
      </c>
      <c r="IY64" s="1" t="n">
        <f aca="false">(IW64-IX64)^2</f>
        <v>1.19140526890614E-007</v>
      </c>
      <c r="IZ64" s="1" t="n">
        <f aca="false">EXP($FQ64/$JG$4)*IW64</f>
        <v>0</v>
      </c>
      <c r="JA64" s="1" t="n">
        <f aca="false">EXP($FQ64/$JG$4)*(-1)^$FQ64*IW64</f>
        <v>-0</v>
      </c>
      <c r="JB64" s="1" t="n">
        <f aca="false">(-1)^IV64*IW64</f>
        <v>-0</v>
      </c>
      <c r="JE64" s="1" t="n">
        <f aca="false">$AM64</f>
        <v>53</v>
      </c>
      <c r="JF64" s="1" t="n">
        <f aca="false">GL64</f>
        <v>0</v>
      </c>
      <c r="JG64" s="1" t="n">
        <f aca="false">JG$6*(1+JG$5*(-1)^$FQ64)*EXP(-$FQ64/JG$4)</f>
        <v>3.19436128449253E-005</v>
      </c>
      <c r="JH64" s="1" t="n">
        <f aca="false">(JF64-JG64)^2</f>
        <v>1.02039440158648E-009</v>
      </c>
      <c r="JI64" s="1" t="n">
        <f aca="false">EXP($FQ64/$JG$4)*JF64</f>
        <v>0</v>
      </c>
      <c r="JJ64" s="1" t="n">
        <f aca="false">EXP($FQ64/$JG$4)*(-1)^$FQ64*JF64</f>
        <v>-0</v>
      </c>
      <c r="JK64" s="1" t="n">
        <f aca="false">(-1)^JE64*JF64</f>
        <v>-0</v>
      </c>
      <c r="JO64" s="1" t="n">
        <f aca="false">$AM64</f>
        <v>53</v>
      </c>
      <c r="JP64" s="1" t="n">
        <f aca="false">GM64</f>
        <v>0</v>
      </c>
      <c r="JQ64" s="1" t="n">
        <f aca="false">JQ$6*(1+JQ$5*(-1)^$FQ64)*EXP(-$FQ64/JQ$4)</f>
        <v>0.0394719800773323</v>
      </c>
      <c r="JR64" s="1" t="n">
        <f aca="false">(JP64-JQ64)^2</f>
        <v>0.00155803721122532</v>
      </c>
      <c r="JS64" s="1" t="n">
        <f aca="false">EXP($FQ64/$JG$4)*JP64</f>
        <v>0</v>
      </c>
      <c r="JT64" s="1" t="n">
        <f aca="false">EXP($FQ64/$JG$4)*(-1)^$FQ64*JP64</f>
        <v>-0</v>
      </c>
      <c r="JU64" s="1" t="n">
        <f aca="false">(-1)^JO64*JP64</f>
        <v>-0</v>
      </c>
    </row>
    <row r="65" customFormat="false" ht="16" hidden="false" customHeight="false" outlineLevel="0" collapsed="false">
      <c r="A65" s="1" t="n">
        <v>2</v>
      </c>
      <c r="B65" s="1" t="n">
        <v>2</v>
      </c>
      <c r="C65" s="1" t="n">
        <f aca="false">B65-A65</f>
        <v>0</v>
      </c>
      <c r="D65" s="1" t="n">
        <v>1</v>
      </c>
      <c r="E65" s="1" t="n">
        <v>1</v>
      </c>
      <c r="F65" s="1" t="n">
        <f aca="false">E65-D65</f>
        <v>0</v>
      </c>
      <c r="G65" s="1" t="n">
        <v>2</v>
      </c>
      <c r="H65" s="1" t="n">
        <v>2</v>
      </c>
      <c r="I65" s="1" t="n">
        <f aca="false">H65-G65</f>
        <v>0</v>
      </c>
      <c r="J65" s="1" t="n">
        <v>2</v>
      </c>
      <c r="K65" s="1" t="n">
        <v>2</v>
      </c>
      <c r="L65" s="1" t="n">
        <f aca="false">K65-J65</f>
        <v>0</v>
      </c>
      <c r="M65" s="1" t="n">
        <v>3</v>
      </c>
      <c r="N65" s="1" t="n">
        <v>5</v>
      </c>
      <c r="O65" s="1" t="n">
        <f aca="false">N65-M65</f>
        <v>2</v>
      </c>
      <c r="P65" s="1" t="n">
        <v>6</v>
      </c>
      <c r="Q65" s="1" t="n">
        <v>6</v>
      </c>
      <c r="R65" s="1" t="n">
        <f aca="false">Q65-P65</f>
        <v>0</v>
      </c>
      <c r="S65" s="1" t="n">
        <v>1</v>
      </c>
      <c r="T65" s="1" t="n">
        <v>4</v>
      </c>
      <c r="U65" s="1" t="n">
        <f aca="false">T65-S65</f>
        <v>3</v>
      </c>
      <c r="V65" s="1" t="n">
        <v>2</v>
      </c>
      <c r="W65" s="1" t="n">
        <v>5</v>
      </c>
      <c r="X65" s="1" t="n">
        <f aca="false">W65-V65</f>
        <v>3</v>
      </c>
      <c r="Y65" s="1" t="n">
        <v>3</v>
      </c>
      <c r="Z65" s="1" t="n">
        <v>5</v>
      </c>
      <c r="AA65" s="1" t="n">
        <f aca="false">Z65-Y65</f>
        <v>2</v>
      </c>
      <c r="AB65" s="1" t="n">
        <v>6</v>
      </c>
      <c r="AC65" s="1" t="n">
        <v>12</v>
      </c>
      <c r="AD65" s="1" t="n">
        <f aca="false">AC65-AB65</f>
        <v>6</v>
      </c>
      <c r="AE65" s="1" t="n">
        <v>2</v>
      </c>
      <c r="AF65" s="1" t="n">
        <v>10</v>
      </c>
      <c r="AG65" s="1" t="n">
        <f aca="false">AF65-AE65</f>
        <v>8</v>
      </c>
      <c r="AI65" s="1" t="n">
        <v>14</v>
      </c>
      <c r="AJ65" s="1" t="n">
        <f aca="false">COUNTIF(AC$2:AC$1000,1)/COUNT(AC$2:AC$1000)</f>
        <v>0.0512820512820513</v>
      </c>
      <c r="AK65" s="1" t="n">
        <f aca="false">AK$58*EXP(-AI65/AK$59)</f>
        <v>0.030405031312609</v>
      </c>
      <c r="AM65" s="1" t="n">
        <v>54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W65" s="1" t="n">
        <f aca="false">$AM65</f>
        <v>54</v>
      </c>
      <c r="BX65" s="1" t="n">
        <f aca="false">MAX(BX64-AN65/AN$9*100,0)</f>
        <v>0</v>
      </c>
      <c r="BY65" s="1" t="n">
        <f aca="false">MAX(BY64-AO65/AO$9*100,0)</f>
        <v>0</v>
      </c>
      <c r="BZ65" s="1" t="n">
        <f aca="false">MAX(BZ64-AQ65/AQ$9*100,0)</f>
        <v>0</v>
      </c>
      <c r="CA65" s="1" t="n">
        <f aca="false">MAX(CA64-AR65/AR$9*100,0)</f>
        <v>0</v>
      </c>
      <c r="CB65" s="1" t="n">
        <f aca="false">CB$7*EXP(-$AM65/CB$8)</f>
        <v>7.29677025128576E-029</v>
      </c>
      <c r="CC65" s="1" t="n">
        <f aca="false">(BZ65-CB65)^2</f>
        <v>5.32428561000489E-057</v>
      </c>
      <c r="CD65" s="1" t="n">
        <f aca="false">MAX(CD64-AT65/AT$9*100,0)</f>
        <v>0</v>
      </c>
      <c r="CE65" s="1" t="n">
        <f aca="false">MAX(CE64-AU65/AU$9*100,0)</f>
        <v>5.32907051820075E-015</v>
      </c>
      <c r="CF65" s="1" t="n">
        <f aca="false">CF$7*EXP(-$AM65/CF$8)</f>
        <v>4.30719325933653E-028</v>
      </c>
      <c r="CG65" s="1" t="n">
        <f aca="false">(CD65-CF65)^2</f>
        <v>1.8551913773274E-055</v>
      </c>
      <c r="CH65" s="1" t="n">
        <f aca="false">$AM65</f>
        <v>54</v>
      </c>
      <c r="CI65" s="1" t="n">
        <f aca="false">MAX(CI64-AW65/AW$9*100,0)</f>
        <v>0</v>
      </c>
      <c r="CJ65" s="1" t="n">
        <f aca="false">MAX(CJ64-AX65/AX$9*100,0)</f>
        <v>0</v>
      </c>
      <c r="CK65" s="1" t="n">
        <f aca="false">CK$7*EXP(-$AM65/CK$8)</f>
        <v>1.60716068165112E-018</v>
      </c>
      <c r="CL65" s="1" t="n">
        <f aca="false">(CI65-CK65)^2</f>
        <v>2.58296545664529E-036</v>
      </c>
      <c r="CM65" s="1" t="n">
        <f aca="false">MAX(CM64-AZ65/AZ$9*100,0)</f>
        <v>0</v>
      </c>
      <c r="CN65" s="1" t="n">
        <f aca="false">MAX(CN64-BA65/BA$9*100,0)</f>
        <v>5.32907051820075E-015</v>
      </c>
      <c r="CO65" s="1" t="n">
        <f aca="false">CO$7*EXP(-$AM65/CO$8)</f>
        <v>7.06152897407728E-010</v>
      </c>
      <c r="CP65" s="1" t="n">
        <f aca="false">(CM65-CO65)^2</f>
        <v>4.98651914517329E-019</v>
      </c>
      <c r="CQ65" s="1" t="n">
        <f aca="false">$AM65</f>
        <v>54</v>
      </c>
      <c r="CR65" s="1" t="n">
        <f aca="false">MAX(CR64-BC65/BC$9*100,0)</f>
        <v>0</v>
      </c>
      <c r="CS65" s="1" t="n">
        <f aca="false">MAX(CS64-BD65/BD$9*100,0)</f>
        <v>0</v>
      </c>
      <c r="CT65" s="1" t="n">
        <f aca="false">CT$7*EXP(-$AM65/CT$8)</f>
        <v>5.02635027005387E-017</v>
      </c>
      <c r="CU65" s="1" t="n">
        <f aca="false">(CR65-CT65)^2</f>
        <v>2.52641970372706E-033</v>
      </c>
      <c r="CV65" s="1" t="n">
        <f aca="false">MAX(CV64-BF65/BF$9*100,0)</f>
        <v>8.88178419700125E-015</v>
      </c>
      <c r="CW65" s="1" t="n">
        <f aca="false">MAX(CW64-BG65/BG$9*100,0)</f>
        <v>5.32907051820075E-015</v>
      </c>
      <c r="CX65" s="1" t="n">
        <f aca="false">CX$7*EXP(-$AM65/CX$8)</f>
        <v>2.74676362681123E-008</v>
      </c>
      <c r="CY65" s="1" t="n">
        <f aca="false">(CV65-CX65)^2</f>
        <v>7.54470554234162E-016</v>
      </c>
      <c r="CZ65" s="1" t="n">
        <f aca="false">$AM65</f>
        <v>54</v>
      </c>
      <c r="DA65" s="1" t="n">
        <f aca="false">MAX(DA64-BI65/BI$9*100,0)</f>
        <v>0</v>
      </c>
      <c r="DB65" s="1" t="n">
        <f aca="false">MAX(DB64-BJ65/BJ$9*100,0)</f>
        <v>9.88098491916389E-015</v>
      </c>
      <c r="DC65" s="1" t="n">
        <f aca="false">DC$7*EXP(-$AM65/DC$8)</f>
        <v>1.21883052870742E-015</v>
      </c>
      <c r="DD65" s="1" t="n">
        <f aca="false">(DA65-DC65)^2</f>
        <v>1.48554785770921E-030</v>
      </c>
      <c r="DE65" s="1" t="n">
        <f aca="false">MAX(DE64-BL65/BL$9*100,0)</f>
        <v>0</v>
      </c>
      <c r="DF65" s="1" t="n">
        <f aca="false">MAX(DF64-BM65/BM$9*100,0)</f>
        <v>0.636942675159225</v>
      </c>
      <c r="DG65" s="1" t="n">
        <f aca="false">DG$7*EXP(-$AM65/DG$8)</f>
        <v>0.000165200569909282</v>
      </c>
      <c r="DH65" s="1" t="n">
        <f aca="false">(DE65-DG65)^2</f>
        <v>2.72912282983516E-008</v>
      </c>
      <c r="DI65" s="1" t="n">
        <f aca="false">$AM65</f>
        <v>54</v>
      </c>
      <c r="DJ65" s="1" t="n">
        <f aca="false">MAX(DJ64-BO65/BO$9*100,0)</f>
        <v>0</v>
      </c>
      <c r="DK65" s="1" t="n">
        <f aca="false">MAX(DK64-BP65/BP$9*100,0)</f>
        <v>9.99200722162641E-015</v>
      </c>
      <c r="DL65" s="1" t="n">
        <f aca="false">DL$7*EXP(-$AM65/DL$8)</f>
        <v>6.14357700842661E-013</v>
      </c>
      <c r="DM65" s="1" t="n">
        <f aca="false">(DJ65-DL65)^2</f>
        <v>3.77435384584681E-025</v>
      </c>
      <c r="DN65" s="1" t="n">
        <f aca="false">MAX(DN64-BR65/BR$9*100,0)</f>
        <v>0</v>
      </c>
      <c r="DO65" s="1" t="n">
        <f aca="false">MAX(DO64-BS65/BS$9*100,0)</f>
        <v>0.502512562814067</v>
      </c>
      <c r="DP65" s="1" t="n">
        <f aca="false">DP$7*EXP(-$AM65/DP$8)</f>
        <v>2.77179766093923E-005</v>
      </c>
      <c r="DQ65" s="1" t="n">
        <f aca="false">(DN65-DP65)^2</f>
        <v>7.68286227318819E-010</v>
      </c>
      <c r="DS65" s="1" t="n">
        <f aca="false">$AM65</f>
        <v>54</v>
      </c>
      <c r="DT65" s="1" t="n">
        <f aca="false">CA65</f>
        <v>0</v>
      </c>
      <c r="DU65" s="1" t="n">
        <f aca="false">DU$7*EXP(-DS65/DU$8)</f>
        <v>1.08384960638202E-022</v>
      </c>
      <c r="DV65" s="1" t="n">
        <f aca="false">(DT65-DU65)^2</f>
        <v>1.17472996925446E-044</v>
      </c>
      <c r="DX65" s="1" t="n">
        <f aca="false">$AM65</f>
        <v>54</v>
      </c>
      <c r="DY65" s="1" t="n">
        <f aca="false">CM65</f>
        <v>0</v>
      </c>
      <c r="DZ65" s="1" t="n">
        <f aca="false">DZ$7*EXP(-DX65/DZ$8)</f>
        <v>1.05543436679686E-011</v>
      </c>
      <c r="EA65" s="1" t="n">
        <f aca="false">(DY65-DZ65)^2</f>
        <v>1.11394170261589E-022</v>
      </c>
      <c r="EC65" s="1" t="n">
        <f aca="false">$AM65</f>
        <v>54</v>
      </c>
      <c r="ED65" s="1" t="n">
        <f aca="false">CV65</f>
        <v>8.88178419700125E-015</v>
      </c>
      <c r="EE65" s="1" t="n">
        <f aca="false">EE$7*EXP(-EC65/EE$8)</f>
        <v>8.15235521015844E-009</v>
      </c>
      <c r="EF65" s="1" t="n">
        <f aca="false">(ED65-EE65)^2</f>
        <v>6.6460750657757E-017</v>
      </c>
      <c r="EH65" s="1" t="n">
        <f aca="false">$AM65</f>
        <v>54</v>
      </c>
      <c r="EI65" s="1" t="n">
        <f aca="false">DE65</f>
        <v>0</v>
      </c>
      <c r="EJ65" s="1" t="n">
        <f aca="false">EJ$7*EXP(-EH65/EJ$8)</f>
        <v>0.00016451509036609</v>
      </c>
      <c r="EK65" s="1" t="n">
        <f aca="false">(EI65-EJ65)^2</f>
        <v>2.70652149581628E-008</v>
      </c>
      <c r="EM65" s="1" t="n">
        <f aca="false">AM65</f>
        <v>54</v>
      </c>
      <c r="EN65" s="1" t="n">
        <f aca="false">DN65</f>
        <v>0</v>
      </c>
      <c r="EO65" s="1" t="n">
        <f aca="false">EO$7*EXP(-EM65/EO$8)</f>
        <v>4.50819413502201E-005</v>
      </c>
      <c r="EP65" s="1" t="n">
        <f aca="false">(EN65-EO65)^2</f>
        <v>2.03238143590469E-009</v>
      </c>
      <c r="ER65" s="1" t="n">
        <f aca="false">$AM65</f>
        <v>54</v>
      </c>
      <c r="ES65" s="1" t="n">
        <f aca="false">BZ65</f>
        <v>0</v>
      </c>
      <c r="ET65" s="1" t="n">
        <f aca="false">ET$7*EXP(-ER65/ET$8)</f>
        <v>2.20556626394049E-026</v>
      </c>
      <c r="EU65" s="1" t="n">
        <f aca="false">(ES65-ET65)^2</f>
        <v>4.86452254463241E-052</v>
      </c>
      <c r="EW65" s="1" t="n">
        <f aca="false">$AM65</f>
        <v>54</v>
      </c>
      <c r="EX65" s="1" t="n">
        <f aca="false">CI65</f>
        <v>0</v>
      </c>
      <c r="EY65" s="1" t="n">
        <f aca="false">EY$7*EXP(-EW65/EY$8)</f>
        <v>4.14806143803935E-024</v>
      </c>
      <c r="EZ65" s="1" t="n">
        <f aca="false">(EX65-EY65)^2</f>
        <v>1.72064136937491E-047</v>
      </c>
      <c r="FB65" s="1" t="n">
        <f aca="false">$AM65</f>
        <v>54</v>
      </c>
      <c r="FC65" s="1" t="n">
        <f aca="false">CR65</f>
        <v>0</v>
      </c>
      <c r="FD65" s="1" t="n">
        <f aca="false">FD$7*EXP(-FB65/FD$8)</f>
        <v>8.22763882180622E-021</v>
      </c>
      <c r="FE65" s="1" t="n">
        <f aca="false">(FC65-FD65)^2</f>
        <v>6.76940405820928E-041</v>
      </c>
      <c r="FG65" s="1" t="n">
        <f aca="false">$AM65</f>
        <v>54</v>
      </c>
      <c r="FH65" s="1" t="n">
        <f aca="false">DA65</f>
        <v>0</v>
      </c>
      <c r="FI65" s="1" t="n">
        <f aca="false">FI$7*EXP(-FG65/FI$8)</f>
        <v>7.72281684709634E-018</v>
      </c>
      <c r="FJ65" s="1" t="n">
        <f aca="false">(FH65-FI65)^2</f>
        <v>5.96419000537951E-035</v>
      </c>
      <c r="FL65" s="1" t="n">
        <f aca="false">EM65</f>
        <v>54</v>
      </c>
      <c r="FM65" s="1" t="n">
        <f aca="false">DJ65</f>
        <v>0</v>
      </c>
      <c r="FN65" s="1" t="n">
        <f aca="false">FN$7*EXP(-FL65/FN$8)</f>
        <v>3.94318881141407E-014</v>
      </c>
      <c r="FO65" s="1" t="n">
        <f aca="false">(FM65-FN65)^2</f>
        <v>1.55487380024611E-027</v>
      </c>
      <c r="FQ65" s="1" t="n">
        <f aca="false">AM65</f>
        <v>54</v>
      </c>
      <c r="FR65" s="1" t="n">
        <f aca="false">AN65/AN$9*100</f>
        <v>0</v>
      </c>
      <c r="FS65" s="1" t="n">
        <f aca="false">AO65/AO$9*100</f>
        <v>0</v>
      </c>
      <c r="FT65" s="1" t="n">
        <f aca="false">AQ65/AQ$9*100</f>
        <v>0</v>
      </c>
      <c r="FU65" s="1" t="n">
        <f aca="false">AR65/AR$9*100</f>
        <v>0</v>
      </c>
      <c r="FV65" s="1" t="n">
        <f aca="false">AT65/AT$9*100</f>
        <v>0</v>
      </c>
      <c r="FW65" s="1" t="n">
        <f aca="false">AU65/AU$9*100</f>
        <v>0</v>
      </c>
      <c r="FX65" s="1" t="n">
        <f aca="false">AW65/AW$9*100</f>
        <v>0</v>
      </c>
      <c r="FY65" s="1" t="n">
        <f aca="false">AX65/AX$9*100</f>
        <v>0</v>
      </c>
      <c r="FZ65" s="1" t="n">
        <f aca="false">AZ65/AZ$9*100</f>
        <v>0</v>
      </c>
      <c r="GA65" s="1" t="n">
        <f aca="false">BA65/BA$9*100</f>
        <v>0</v>
      </c>
      <c r="GB65" s="1" t="n">
        <f aca="false">BC65/BC$9*100</f>
        <v>0</v>
      </c>
      <c r="GC65" s="1" t="n">
        <f aca="false">BD65/BD$9*100</f>
        <v>0</v>
      </c>
      <c r="GD65" s="1" t="n">
        <f aca="false">BF65/BF$9*100</f>
        <v>0</v>
      </c>
      <c r="GE65" s="1" t="n">
        <f aca="false">BG65/BG$9*100</f>
        <v>0</v>
      </c>
      <c r="GF65" s="1" t="n">
        <f aca="false">BI65/BI$9*100</f>
        <v>0</v>
      </c>
      <c r="GG65" s="1" t="n">
        <f aca="false">BJ65/BJ$9*100</f>
        <v>0</v>
      </c>
      <c r="GH65" s="1" t="n">
        <f aca="false">BL65/BL$9*100</f>
        <v>0</v>
      </c>
      <c r="GI65" s="1" t="n">
        <f aca="false">BM65/BM$9*100</f>
        <v>0</v>
      </c>
      <c r="GJ65" s="1" t="n">
        <f aca="false">BO65/BO$9*100</f>
        <v>0</v>
      </c>
      <c r="GK65" s="1" t="n">
        <f aca="false">BP65/BP$9*100</f>
        <v>0</v>
      </c>
      <c r="GL65" s="1" t="n">
        <f aca="false">BR65/BR$9*100</f>
        <v>0</v>
      </c>
      <c r="GM65" s="1" t="n">
        <f aca="false">BS65/BS$9*100</f>
        <v>0</v>
      </c>
      <c r="GO65" s="1" t="n">
        <f aca="false">$AM65</f>
        <v>54</v>
      </c>
      <c r="GP65" s="1" t="n">
        <f aca="false">FT65</f>
        <v>0</v>
      </c>
      <c r="GQ65" s="1" t="n">
        <f aca="false">GQ$6*(1+GQ$5*(-1)^$FQ65)*EXP(-$FQ65/GQ$4)</f>
        <v>3.51214901247329E-016</v>
      </c>
      <c r="GR65" s="1" t="n">
        <f aca="false">(GP65-GQ65)^2</f>
        <v>1.23351906858171E-031</v>
      </c>
      <c r="GS65" s="1" t="n">
        <f aca="false">EXP($FQ65/$JG$4)*GP65</f>
        <v>0</v>
      </c>
      <c r="GT65" s="1" t="n">
        <f aca="false">EXP($FQ65/$JG$4)*(-1)^$FQ65*GP65</f>
        <v>0</v>
      </c>
      <c r="GU65" s="1" t="n">
        <f aca="false">(-1)^GO65*GP65</f>
        <v>0</v>
      </c>
      <c r="GW65" s="1" t="n">
        <f aca="false">$AM65</f>
        <v>54</v>
      </c>
      <c r="GX65" s="1" t="n">
        <f aca="false">FX65</f>
        <v>0</v>
      </c>
      <c r="GY65" s="1" t="n">
        <f aca="false">GY$6*(1+GY$5*(-1)^$FQ65)*EXP(-$FQ65/GY$4)</f>
        <v>3.51214901247329E-016</v>
      </c>
      <c r="GZ65" s="1" t="n">
        <f aca="false">(GX65-GY65)^2</f>
        <v>1.23351906858171E-031</v>
      </c>
      <c r="HA65" s="1" t="n">
        <f aca="false">EXP($FQ65/$JG$4)*GX65</f>
        <v>0</v>
      </c>
      <c r="HB65" s="1" t="n">
        <f aca="false">EXP($FQ65/$JG$4)*(-1)^$FQ65*GX65</f>
        <v>0</v>
      </c>
      <c r="HC65" s="1" t="n">
        <f aca="false">(-1)^GW65*GX65</f>
        <v>0</v>
      </c>
      <c r="HE65" s="1" t="n">
        <f aca="false">$AM65</f>
        <v>54</v>
      </c>
      <c r="HF65" s="1" t="n">
        <f aca="false">GB65</f>
        <v>0</v>
      </c>
      <c r="HG65" s="1" t="n">
        <f aca="false">HG$6*(1+HG$5*(-1)^$FQ65)*EXP(-$FQ65/HG$4)</f>
        <v>3.51214901247329E-016</v>
      </c>
      <c r="HH65" s="1" t="n">
        <f aca="false">(HF65-HG65)^2</f>
        <v>1.23351906858171E-031</v>
      </c>
      <c r="HI65" s="1" t="n">
        <f aca="false">EXP($FQ65/$JG$4)*HF65</f>
        <v>0</v>
      </c>
      <c r="HJ65" s="1" t="n">
        <f aca="false">EXP($FQ65/$JG$4)*(-1)^$FQ65*HF65</f>
        <v>0</v>
      </c>
      <c r="HK65" s="1" t="n">
        <f aca="false">(-1)^HE65*HF65</f>
        <v>0</v>
      </c>
      <c r="HM65" s="1" t="n">
        <f aca="false">$AM65</f>
        <v>54</v>
      </c>
      <c r="HN65" s="1" t="n">
        <f aca="false">GF65</f>
        <v>0</v>
      </c>
      <c r="HO65" s="1" t="n">
        <f aca="false">HO$6*(1+HO$5*(-1)^$FQ65)*EXP(-$FQ65/HO$4)</f>
        <v>1.49621141155467E-012</v>
      </c>
      <c r="HP65" s="1" t="n">
        <f aca="false">(HN65-HO65)^2</f>
        <v>2.23864858806642E-024</v>
      </c>
      <c r="HQ65" s="1" t="n">
        <f aca="false">EXP($FQ65/$JG$4)*HN65</f>
        <v>0</v>
      </c>
      <c r="HR65" s="1" t="n">
        <f aca="false">EXP($FQ65/$JG$4)*(-1)^$FQ65*HN65</f>
        <v>0</v>
      </c>
      <c r="HS65" s="1" t="n">
        <f aca="false">(-1)^HM65*HN65</f>
        <v>0</v>
      </c>
      <c r="HU65" s="1" t="n">
        <f aca="false">$AM65</f>
        <v>54</v>
      </c>
      <c r="HV65" s="1" t="n">
        <f aca="false">GJ65</f>
        <v>0</v>
      </c>
      <c r="HW65" s="1" t="n">
        <f aca="false">HW$6*(1+HW$5*(-1)^$FQ65)*EXP(-$FQ65/HW$4)</f>
        <v>3.93281787626027E-009</v>
      </c>
      <c r="HX65" s="1" t="n">
        <f aca="false">(HV65-HW65)^2</f>
        <v>1.54670564478323E-017</v>
      </c>
      <c r="HY65" s="1" t="n">
        <f aca="false">EXP($FQ65/$JG$4)*HV65</f>
        <v>0</v>
      </c>
      <c r="HZ65" s="1" t="n">
        <f aca="false">EXP($FQ65/$JG$4)*(-1)^$FQ65*HV65</f>
        <v>0</v>
      </c>
      <c r="IA65" s="1" t="n">
        <f aca="false">(-1)^HU65*HV65</f>
        <v>0</v>
      </c>
      <c r="IB65" s="1" t="n">
        <v>0</v>
      </c>
      <c r="ID65" s="1" t="n">
        <f aca="false">$AM65</f>
        <v>54</v>
      </c>
      <c r="IE65" s="1" t="n">
        <f aca="false">FZ65</f>
        <v>0</v>
      </c>
      <c r="IF65" s="1" t="n">
        <f aca="false">IF$6*(1+IF$5*(-1)^$FQ65)*EXP(-$FQ65/IF$4)</f>
        <v>8.39696016135393E-007</v>
      </c>
      <c r="IG65" s="1" t="n">
        <f aca="false">(IE65-IF65)^2</f>
        <v>7.0508939951365E-013</v>
      </c>
      <c r="IH65" s="1" t="n">
        <f aca="false">EXP($FQ65/$JG$4)*IE65</f>
        <v>0</v>
      </c>
      <c r="II65" s="1" t="n">
        <f aca="false">EXP($FQ65/$JG$4)*(-1)^$FQ65*IE65</f>
        <v>0</v>
      </c>
      <c r="IJ65" s="1" t="n">
        <f aca="false">(-1)^ID65*IE65</f>
        <v>0</v>
      </c>
      <c r="IK65" s="1" t="n">
        <v>0</v>
      </c>
      <c r="IM65" s="1" t="n">
        <f aca="false">$AM65</f>
        <v>54</v>
      </c>
      <c r="IN65" s="1" t="n">
        <f aca="false">GD65</f>
        <v>0</v>
      </c>
      <c r="IO65" s="1" t="n">
        <f aca="false">IO$6*(1+IO$5*(-1)^$FQ65)*EXP(-$FQ65/IO$4)</f>
        <v>9.52902238663381E-006</v>
      </c>
      <c r="IP65" s="1" t="n">
        <f aca="false">(IN65-IO65)^2</f>
        <v>9.08022676449683E-011</v>
      </c>
      <c r="IQ65" s="1" t="n">
        <f aca="false">EXP($FQ65/$JG$4)*IN65</f>
        <v>0</v>
      </c>
      <c r="IR65" s="1" t="n">
        <f aca="false">EXP($FQ65/$JG$4)*(-1)^$FQ65*IN65</f>
        <v>0</v>
      </c>
      <c r="IS65" s="1" t="n">
        <f aca="false">(-1)^IM65*IN65</f>
        <v>0</v>
      </c>
      <c r="IT65" s="1" t="n">
        <v>0</v>
      </c>
      <c r="IV65" s="1" t="n">
        <f aca="false">$AM65</f>
        <v>54</v>
      </c>
      <c r="IW65" s="1" t="n">
        <f aca="false">GH65</f>
        <v>0</v>
      </c>
      <c r="IX65" s="1" t="n">
        <f aca="false">IX$6*(1+IX$5*(-1)^$FQ65)*EXP(-$FQ65/IX$4)</f>
        <v>0.00110439607934648</v>
      </c>
      <c r="IY65" s="1" t="n">
        <f aca="false">(IW65-IX65)^2</f>
        <v>1.21969070007588E-006</v>
      </c>
      <c r="IZ65" s="1" t="n">
        <f aca="false">EXP($FQ65/$JG$4)*IW65</f>
        <v>0</v>
      </c>
      <c r="JA65" s="1" t="n">
        <f aca="false">EXP($FQ65/$JG$4)*(-1)^$FQ65*IW65</f>
        <v>0</v>
      </c>
      <c r="JB65" s="1" t="n">
        <f aca="false">(-1)^IV65*IW65</f>
        <v>0</v>
      </c>
      <c r="JE65" s="1" t="n">
        <f aca="false">$AM65</f>
        <v>54</v>
      </c>
      <c r="JF65" s="1" t="n">
        <f aca="false">GL65</f>
        <v>0</v>
      </c>
      <c r="JG65" s="1" t="n">
        <f aca="false">JG$6*(1+JG$5*(-1)^$FQ65)*EXP(-$FQ65/JG$4)</f>
        <v>0.000165564402229864</v>
      </c>
      <c r="JH65" s="1" t="n">
        <f aca="false">(JF65-JG65)^2</f>
        <v>2.74115712857322E-008</v>
      </c>
      <c r="JI65" s="1" t="n">
        <f aca="false">EXP($FQ65/$JG$4)*JF65</f>
        <v>0</v>
      </c>
      <c r="JJ65" s="1" t="n">
        <f aca="false">EXP($FQ65/$JG$4)*(-1)^$FQ65*JF65</f>
        <v>0</v>
      </c>
      <c r="JK65" s="1" t="n">
        <f aca="false">(-1)^JE65*JF65</f>
        <v>0</v>
      </c>
      <c r="JO65" s="1" t="n">
        <f aca="false">$AM65</f>
        <v>54</v>
      </c>
      <c r="JP65" s="1" t="n">
        <f aca="false">GM65</f>
        <v>0</v>
      </c>
      <c r="JQ65" s="1" t="n">
        <f aca="false">JQ$6*(1+JQ$5*(-1)^$FQ65)*EXP(-$FQ65/JQ$4)</f>
        <v>0.191295457676574</v>
      </c>
      <c r="JR65" s="1" t="n">
        <f aca="false">(JP65-JQ65)^2</f>
        <v>0.0365939521276899</v>
      </c>
      <c r="JS65" s="1" t="n">
        <f aca="false">EXP($FQ65/$JG$4)*JP65</f>
        <v>0</v>
      </c>
      <c r="JT65" s="1" t="n">
        <f aca="false">EXP($FQ65/$JG$4)*(-1)^$FQ65*JP65</f>
        <v>0</v>
      </c>
      <c r="JU65" s="1" t="n">
        <f aca="false">(-1)^JO65*JP65</f>
        <v>0</v>
      </c>
    </row>
    <row r="66" customFormat="false" ht="16" hidden="false" customHeight="false" outlineLevel="0" collapsed="false">
      <c r="A66" s="1" t="n">
        <v>1</v>
      </c>
      <c r="B66" s="1" t="n">
        <v>1</v>
      </c>
      <c r="C66" s="1" t="n">
        <f aca="false">B66-A66</f>
        <v>0</v>
      </c>
      <c r="D66" s="1" t="n">
        <v>3</v>
      </c>
      <c r="E66" s="1" t="n">
        <v>3</v>
      </c>
      <c r="F66" s="1" t="n">
        <f aca="false">E66-D66</f>
        <v>0</v>
      </c>
      <c r="G66" s="1" t="n">
        <v>2</v>
      </c>
      <c r="H66" s="1" t="n">
        <v>2</v>
      </c>
      <c r="I66" s="1" t="n">
        <f aca="false">H66-G66</f>
        <v>0</v>
      </c>
      <c r="J66" s="1" t="n">
        <v>1</v>
      </c>
      <c r="K66" s="1" t="n">
        <v>1</v>
      </c>
      <c r="L66" s="1" t="n">
        <f aca="false">K66-J66</f>
        <v>0</v>
      </c>
      <c r="M66" s="1" t="n">
        <v>8</v>
      </c>
      <c r="N66" s="1" t="n">
        <v>8</v>
      </c>
      <c r="O66" s="1" t="n">
        <f aca="false">N66-M66</f>
        <v>0</v>
      </c>
      <c r="P66" s="1" t="n">
        <v>5</v>
      </c>
      <c r="Q66" s="1" t="n">
        <v>5</v>
      </c>
      <c r="R66" s="1" t="n">
        <f aca="false">Q66-P66</f>
        <v>0</v>
      </c>
      <c r="S66" s="1" t="n">
        <v>2</v>
      </c>
      <c r="T66" s="1" t="n">
        <v>4</v>
      </c>
      <c r="U66" s="1" t="n">
        <f aca="false">T66-S66</f>
        <v>2</v>
      </c>
      <c r="V66" s="1" t="n">
        <v>3</v>
      </c>
      <c r="W66" s="1" t="n">
        <v>5</v>
      </c>
      <c r="X66" s="1" t="n">
        <f aca="false">W66-V66</f>
        <v>2</v>
      </c>
      <c r="Y66" s="1" t="n">
        <v>5</v>
      </c>
      <c r="Z66" s="1" t="n">
        <v>9</v>
      </c>
      <c r="AA66" s="1" t="n">
        <f aca="false">Z66-Y66</f>
        <v>4</v>
      </c>
      <c r="AB66" s="1" t="n">
        <v>6</v>
      </c>
      <c r="AC66" s="1" t="n">
        <v>9</v>
      </c>
      <c r="AD66" s="1" t="n">
        <f aca="false">AC66-AB66</f>
        <v>3</v>
      </c>
      <c r="AE66" s="1" t="n">
        <v>4</v>
      </c>
      <c r="AF66" s="1" t="n">
        <v>20</v>
      </c>
      <c r="AG66" s="1" t="n">
        <f aca="false">AF66-AE66</f>
        <v>16</v>
      </c>
      <c r="AM66" s="1" t="n">
        <v>55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W66" s="1" t="n">
        <f aca="false">$AM66</f>
        <v>55</v>
      </c>
      <c r="BX66" s="1" t="n">
        <f aca="false">MAX(BX65-AN66/AN$9*100,0)</f>
        <v>0</v>
      </c>
      <c r="BY66" s="1" t="n">
        <f aca="false">MAX(BY65-AO66/AO$9*100,0)</f>
        <v>0</v>
      </c>
      <c r="BZ66" s="1" t="n">
        <f aca="false">MAX(BZ65-AQ66/AQ$9*100,0)</f>
        <v>0</v>
      </c>
      <c r="CA66" s="1" t="n">
        <f aca="false">MAX(CA65-AR66/AR$9*100,0)</f>
        <v>0</v>
      </c>
      <c r="CB66" s="1" t="n">
        <f aca="false">CB$7*EXP(-$AM66/CB$8)</f>
        <v>1.99118615752332E-029</v>
      </c>
      <c r="CC66" s="1" t="n">
        <f aca="false">(BZ66-CB66)^2</f>
        <v>3.96482231391248E-058</v>
      </c>
      <c r="CD66" s="1" t="n">
        <f aca="false">MAX(CD65-AT66/AT$9*100,0)</f>
        <v>0</v>
      </c>
      <c r="CE66" s="1" t="n">
        <f aca="false">MAX(CE65-AU66/AU$9*100,0)</f>
        <v>5.32907051820075E-015</v>
      </c>
      <c r="CF66" s="1" t="n">
        <f aca="false">CF$7*EXP(-$AM66/CF$8)</f>
        <v>1.21465937930987E-028</v>
      </c>
      <c r="CG66" s="1" t="n">
        <f aca="false">(CD66-CF66)^2</f>
        <v>1.47539740774544E-056</v>
      </c>
      <c r="CH66" s="1" t="n">
        <f aca="false">$AM66</f>
        <v>55</v>
      </c>
      <c r="CI66" s="1" t="n">
        <f aca="false">MAX(CI65-AW66/AW$9*100,0)</f>
        <v>0</v>
      </c>
      <c r="CJ66" s="1" t="n">
        <f aca="false">MAX(CJ65-AX66/AX$9*100,0)</f>
        <v>0</v>
      </c>
      <c r="CK66" s="1" t="n">
        <f aca="false">CK$7*EXP(-$AM66/CK$8)</f>
        <v>6.83702919200316E-019</v>
      </c>
      <c r="CL66" s="1" t="n">
        <f aca="false">(CI66-CK66)^2</f>
        <v>4.67449681723034E-037</v>
      </c>
      <c r="CM66" s="1" t="n">
        <f aca="false">MAX(CM65-AZ66/AZ$9*100,0)</f>
        <v>0</v>
      </c>
      <c r="CN66" s="1" t="n">
        <f aca="false">MAX(CN65-BA66/BA$9*100,0)</f>
        <v>5.32907051820075E-015</v>
      </c>
      <c r="CO66" s="1" t="n">
        <f aca="false">CO$7*EXP(-$AM66/CO$8)</f>
        <v>4.3661969447769E-010</v>
      </c>
      <c r="CP66" s="1" t="n">
        <f aca="false">(CM66-CO66)^2</f>
        <v>1.90636757605791E-019</v>
      </c>
      <c r="CQ66" s="1" t="n">
        <f aca="false">$AM66</f>
        <v>55</v>
      </c>
      <c r="CR66" s="1" t="n">
        <f aca="false">MAX(CR65-BC66/BC$9*100,0)</f>
        <v>0</v>
      </c>
      <c r="CS66" s="1" t="n">
        <f aca="false">MAX(CS65-BD66/BD$9*100,0)</f>
        <v>0</v>
      </c>
      <c r="CT66" s="1" t="n">
        <f aca="false">CT$7*EXP(-$AM66/CT$8)</f>
        <v>2.28711810021557E-017</v>
      </c>
      <c r="CU66" s="1" t="n">
        <f aca="false">(CR66-CT66)^2</f>
        <v>5.23090920433368E-034</v>
      </c>
      <c r="CV66" s="1" t="n">
        <f aca="false">MAX(CV65-BF66/BF$9*100,0)</f>
        <v>8.88178419700125E-015</v>
      </c>
      <c r="CW66" s="1" t="n">
        <f aca="false">MAX(CW65-BG66/BG$9*100,0)</f>
        <v>5.32907051820075E-015</v>
      </c>
      <c r="CX66" s="1" t="n">
        <f aca="false">CX$7*EXP(-$AM66/CX$8)</f>
        <v>1.81702439474026E-008</v>
      </c>
      <c r="CY66" s="1" t="n">
        <f aca="false">(CV66-CX66)^2</f>
        <v>3.30157442339829E-016</v>
      </c>
      <c r="CZ66" s="1" t="n">
        <f aca="false">$AM66</f>
        <v>55</v>
      </c>
      <c r="DA66" s="1" t="n">
        <f aca="false">MAX(DA65-BI66/BI$9*100,0)</f>
        <v>0</v>
      </c>
      <c r="DB66" s="1" t="n">
        <f aca="false">MAX(DB65-BJ66/BJ$9*100,0)</f>
        <v>9.88098491916389E-015</v>
      </c>
      <c r="DC66" s="1" t="n">
        <f aca="false">DC$7*EXP(-$AM66/DC$8)</f>
        <v>5.87408264131331E-016</v>
      </c>
      <c r="DD66" s="1" t="n">
        <f aca="false">(DA66-DC66)^2</f>
        <v>3.45048468769784E-031</v>
      </c>
      <c r="DE66" s="1" t="n">
        <f aca="false">MAX(DE65-BL66/BL$9*100,0)</f>
        <v>0</v>
      </c>
      <c r="DF66" s="1" t="n">
        <f aca="false">MAX(DF65-BM66/BM$9*100,0)</f>
        <v>0.636942675159225</v>
      </c>
      <c r="DG66" s="1" t="n">
        <f aca="false">DG$7*EXP(-$AM66/DG$8)</f>
        <v>0.000128658333209191</v>
      </c>
      <c r="DH66" s="1" t="n">
        <f aca="false">(DE66-DG66)^2</f>
        <v>1.65529667041672E-008</v>
      </c>
      <c r="DI66" s="1" t="n">
        <f aca="false">$AM66</f>
        <v>55</v>
      </c>
      <c r="DJ66" s="1" t="n">
        <f aca="false">MAX(DJ65-BO66/BO$9*100,0)</f>
        <v>0</v>
      </c>
      <c r="DK66" s="1" t="n">
        <f aca="false">MAX(DK65-BP66/BP$9*100,0)</f>
        <v>9.99200722162641E-015</v>
      </c>
      <c r="DL66" s="1" t="n">
        <f aca="false">DL$7*EXP(-$AM66/DL$8)</f>
        <v>3.32646512008558E-013</v>
      </c>
      <c r="DM66" s="1" t="n">
        <f aca="false">(DJ66-DL66)^2</f>
        <v>1.1065370195146E-025</v>
      </c>
      <c r="DN66" s="1" t="n">
        <f aca="false">MAX(DN65-BR66/BR$9*100,0)</f>
        <v>0</v>
      </c>
      <c r="DO66" s="1" t="n">
        <f aca="false">MAX(DO65-BS66/BS$9*100,0)</f>
        <v>0.502512562814067</v>
      </c>
      <c r="DP66" s="1" t="n">
        <f aca="false">DP$7*EXP(-$AM66/DP$8)</f>
        <v>2.08800688158692E-005</v>
      </c>
      <c r="DQ66" s="1" t="n">
        <f aca="false">(DN66-DP66)^2</f>
        <v>4.35977273755433E-010</v>
      </c>
      <c r="DS66" s="1" t="n">
        <f aca="false">$AM66</f>
        <v>55</v>
      </c>
      <c r="DT66" s="1" t="n">
        <f aca="false">CA66</f>
        <v>0</v>
      </c>
      <c r="DU66" s="1" t="n">
        <f aca="false">DU$7*EXP(-DS66/DU$8)</f>
        <v>3.86583001977091E-023</v>
      </c>
      <c r="DV66" s="1" t="n">
        <f aca="false">(DT66-DU66)^2</f>
        <v>1.4944641741762E-045</v>
      </c>
      <c r="DX66" s="1" t="n">
        <f aca="false">$AM66</f>
        <v>55</v>
      </c>
      <c r="DY66" s="1" t="n">
        <f aca="false">CM66</f>
        <v>0</v>
      </c>
      <c r="DZ66" s="1" t="n">
        <f aca="false">DZ$7*EXP(-DX66/DZ$8)</f>
        <v>6.01790832401053E-012</v>
      </c>
      <c r="EA66" s="1" t="n">
        <f aca="false">(DY66-DZ66)^2</f>
        <v>3.62152205961952E-023</v>
      </c>
      <c r="EC66" s="1" t="n">
        <f aca="false">$AM66</f>
        <v>55</v>
      </c>
      <c r="ED66" s="1" t="n">
        <f aca="false">CV66</f>
        <v>8.88178419700125E-015</v>
      </c>
      <c r="EE66" s="1" t="n">
        <f aca="false">EE$7*EXP(-EC66/EE$8)</f>
        <v>5.26786757340743E-009</v>
      </c>
      <c r="EF66" s="1" t="n">
        <f aca="false">(ED66-EE66)^2</f>
        <v>2.77503351949104E-017</v>
      </c>
      <c r="EH66" s="1" t="n">
        <f aca="false">$AM66</f>
        <v>55</v>
      </c>
      <c r="EI66" s="1" t="n">
        <f aca="false">DE66</f>
        <v>0</v>
      </c>
      <c r="EJ66" s="1" t="n">
        <f aca="false">EJ$7*EXP(-EH66/EJ$8)</f>
        <v>0.000128124481204174</v>
      </c>
      <c r="EK66" s="1" t="n">
        <f aca="false">(EI66-EJ66)^2</f>
        <v>1.64158826838387E-008</v>
      </c>
      <c r="EM66" s="1" t="n">
        <f aca="false">AM66</f>
        <v>55</v>
      </c>
      <c r="EN66" s="1" t="n">
        <f aca="false">DN66</f>
        <v>0</v>
      </c>
      <c r="EO66" s="1" t="n">
        <f aca="false">EO$7*EXP(-EM66/EO$8)</f>
        <v>3.42781851390975E-005</v>
      </c>
      <c r="EP66" s="1" t="n">
        <f aca="false">(EN66-EO66)^2</f>
        <v>1.17499397643024E-009</v>
      </c>
      <c r="ER66" s="1" t="n">
        <f aca="false">$AM66</f>
        <v>55</v>
      </c>
      <c r="ES66" s="1" t="n">
        <f aca="false">BZ66</f>
        <v>0</v>
      </c>
      <c r="ET66" s="1" t="n">
        <f aca="false">ET$7*EXP(-ER66/ET$8)</f>
        <v>6.70660718501247E-027</v>
      </c>
      <c r="EU66" s="1" t="n">
        <f aca="false">(ES66-ET66)^2</f>
        <v>4.49785799340609E-053</v>
      </c>
      <c r="EW66" s="1" t="n">
        <f aca="false">$AM66</f>
        <v>55</v>
      </c>
      <c r="EX66" s="1" t="n">
        <f aca="false">CI66</f>
        <v>0</v>
      </c>
      <c r="EY66" s="1" t="n">
        <f aca="false">EY$7*EXP(-EW66/EY$8)</f>
        <v>1.38228786947667E-024</v>
      </c>
      <c r="EZ66" s="1" t="n">
        <f aca="false">(EX66-EY66)^2</f>
        <v>1.91071975410235E-048</v>
      </c>
      <c r="FB66" s="1" t="n">
        <f aca="false">$AM66</f>
        <v>55</v>
      </c>
      <c r="FC66" s="1" t="n">
        <f aca="false">CR66</f>
        <v>0</v>
      </c>
      <c r="FD66" s="1" t="n">
        <f aca="false">FD$7*EXP(-FB66/FD$8)</f>
        <v>3.1743983623473E-021</v>
      </c>
      <c r="FE66" s="1" t="n">
        <f aca="false">(FC66-FD66)^2</f>
        <v>1.00768049628732E-041</v>
      </c>
      <c r="FG66" s="1" t="n">
        <f aca="false">$AM66</f>
        <v>55</v>
      </c>
      <c r="FH66" s="1" t="n">
        <f aca="false">DA66</f>
        <v>0</v>
      </c>
      <c r="FI66" s="1" t="n">
        <f aca="false">FI$7*EXP(-FG66/FI$8)</f>
        <v>3.37951731492037E-018</v>
      </c>
      <c r="FJ66" s="1" t="n">
        <f aca="false">(FH66-FI66)^2</f>
        <v>1.14211372818466E-035</v>
      </c>
      <c r="FL66" s="1" t="n">
        <f aca="false">EM66</f>
        <v>55</v>
      </c>
      <c r="FM66" s="1" t="n">
        <f aca="false">DJ66</f>
        <v>0</v>
      </c>
      <c r="FN66" s="1" t="n">
        <f aca="false">FN$7*EXP(-FL66/FN$8)</f>
        <v>2.02450063935777E-014</v>
      </c>
      <c r="FO66" s="1" t="n">
        <f aca="false">(FM66-FN66)^2</f>
        <v>4.09860283876002E-028</v>
      </c>
      <c r="FQ66" s="1" t="n">
        <f aca="false">AM66</f>
        <v>55</v>
      </c>
      <c r="FR66" s="1" t="n">
        <f aca="false">AN66/AN$9*100</f>
        <v>0</v>
      </c>
      <c r="FS66" s="1" t="n">
        <f aca="false">AO66/AO$9*100</f>
        <v>0</v>
      </c>
      <c r="FT66" s="1" t="n">
        <f aca="false">AQ66/AQ$9*100</f>
        <v>0</v>
      </c>
      <c r="FU66" s="1" t="n">
        <f aca="false">AR66/AR$9*100</f>
        <v>0</v>
      </c>
      <c r="FV66" s="1" t="n">
        <f aca="false">AT66/AT$9*100</f>
        <v>0</v>
      </c>
      <c r="FW66" s="1" t="n">
        <f aca="false">AU66/AU$9*100</f>
        <v>0</v>
      </c>
      <c r="FX66" s="1" t="n">
        <f aca="false">AW66/AW$9*100</f>
        <v>0</v>
      </c>
      <c r="FY66" s="1" t="n">
        <f aca="false">AX66/AX$9*100</f>
        <v>0</v>
      </c>
      <c r="FZ66" s="1" t="n">
        <f aca="false">AZ66/AZ$9*100</f>
        <v>0</v>
      </c>
      <c r="GA66" s="1" t="n">
        <f aca="false">BA66/BA$9*100</f>
        <v>0</v>
      </c>
      <c r="GB66" s="1" t="n">
        <f aca="false">BC66/BC$9*100</f>
        <v>0</v>
      </c>
      <c r="GC66" s="1" t="n">
        <f aca="false">BD66/BD$9*100</f>
        <v>0</v>
      </c>
      <c r="GD66" s="1" t="n">
        <f aca="false">BF66/BF$9*100</f>
        <v>0</v>
      </c>
      <c r="GE66" s="1" t="n">
        <f aca="false">BG66/BG$9*100</f>
        <v>0</v>
      </c>
      <c r="GF66" s="1" t="n">
        <f aca="false">BI66/BI$9*100</f>
        <v>0</v>
      </c>
      <c r="GG66" s="1" t="n">
        <f aca="false">BJ66/BJ$9*100</f>
        <v>0</v>
      </c>
      <c r="GH66" s="1" t="n">
        <f aca="false">BL66/BL$9*100</f>
        <v>0</v>
      </c>
      <c r="GI66" s="1" t="n">
        <f aca="false">BM66/BM$9*100</f>
        <v>0</v>
      </c>
      <c r="GJ66" s="1" t="n">
        <f aca="false">BO66/BO$9*100</f>
        <v>0</v>
      </c>
      <c r="GK66" s="1" t="n">
        <f aca="false">BP66/BP$9*100</f>
        <v>0</v>
      </c>
      <c r="GL66" s="1" t="n">
        <f aca="false">BR66/BR$9*100</f>
        <v>0</v>
      </c>
      <c r="GM66" s="1" t="n">
        <f aca="false">BS66/BS$9*100</f>
        <v>0</v>
      </c>
      <c r="GO66" s="1" t="n">
        <f aca="false">$AM66</f>
        <v>55</v>
      </c>
      <c r="GP66" s="1" t="n">
        <f aca="false">FT66</f>
        <v>0</v>
      </c>
      <c r="GQ66" s="1" t="n">
        <f aca="false">GQ$6*(1+GQ$5*(-1)^$FQ66)*EXP(-$FQ66/GQ$4)</f>
        <v>5.63567409393316E-017</v>
      </c>
      <c r="GR66" s="1" t="n">
        <f aca="false">(GP66-GQ66)^2</f>
        <v>3.17608224930294E-033</v>
      </c>
      <c r="GS66" s="1" t="n">
        <f aca="false">EXP($FQ66/$JG$4)*GP66</f>
        <v>0</v>
      </c>
      <c r="GT66" s="1" t="n">
        <f aca="false">EXP($FQ66/$JG$4)*(-1)^$FQ66*GP66</f>
        <v>-0</v>
      </c>
      <c r="GU66" s="1" t="n">
        <f aca="false">(-1)^GO66*GP66</f>
        <v>-0</v>
      </c>
      <c r="GW66" s="1" t="n">
        <f aca="false">$AM66</f>
        <v>55</v>
      </c>
      <c r="GX66" s="1" t="n">
        <f aca="false">FX66</f>
        <v>0</v>
      </c>
      <c r="GY66" s="1" t="n">
        <f aca="false">GY$6*(1+GY$5*(-1)^$FQ66)*EXP(-$FQ66/GY$4)</f>
        <v>5.63567409393316E-017</v>
      </c>
      <c r="GZ66" s="1" t="n">
        <f aca="false">(GX66-GY66)^2</f>
        <v>3.17608224930294E-033</v>
      </c>
      <c r="HA66" s="1" t="n">
        <f aca="false">EXP($FQ66/$JG$4)*GX66</f>
        <v>0</v>
      </c>
      <c r="HB66" s="1" t="n">
        <f aca="false">EXP($FQ66/$JG$4)*(-1)^$FQ66*GX66</f>
        <v>-0</v>
      </c>
      <c r="HC66" s="1" t="n">
        <f aca="false">(-1)^GW66*GX66</f>
        <v>-0</v>
      </c>
      <c r="HE66" s="1" t="n">
        <f aca="false">$AM66</f>
        <v>55</v>
      </c>
      <c r="HF66" s="1" t="n">
        <f aca="false">GB66</f>
        <v>0</v>
      </c>
      <c r="HG66" s="1" t="n">
        <f aca="false">HG$6*(1+HG$5*(-1)^$FQ66)*EXP(-$FQ66/HG$4)</f>
        <v>5.63567409393316E-017</v>
      </c>
      <c r="HH66" s="1" t="n">
        <f aca="false">(HF66-HG66)^2</f>
        <v>3.17608224930294E-033</v>
      </c>
      <c r="HI66" s="1" t="n">
        <f aca="false">EXP($FQ66/$JG$4)*HF66</f>
        <v>0</v>
      </c>
      <c r="HJ66" s="1" t="n">
        <f aca="false">EXP($FQ66/$JG$4)*(-1)^$FQ66*HF66</f>
        <v>-0</v>
      </c>
      <c r="HK66" s="1" t="n">
        <f aca="false">(-1)^HE66*HF66</f>
        <v>-0</v>
      </c>
      <c r="HM66" s="1" t="n">
        <f aca="false">$AM66</f>
        <v>55</v>
      </c>
      <c r="HN66" s="1" t="n">
        <f aca="false">GF66</f>
        <v>0</v>
      </c>
      <c r="HO66" s="1" t="n">
        <f aca="false">HO$6*(1+HO$5*(-1)^$FQ66)*EXP(-$FQ66/HO$4)</f>
        <v>1.80465853367379E-013</v>
      </c>
      <c r="HP66" s="1" t="n">
        <f aca="false">(HN66-HO66)^2</f>
        <v>3.25679242316163E-026</v>
      </c>
      <c r="HQ66" s="1" t="n">
        <f aca="false">EXP($FQ66/$JG$4)*HN66</f>
        <v>0</v>
      </c>
      <c r="HR66" s="1" t="n">
        <f aca="false">EXP($FQ66/$JG$4)*(-1)^$FQ66*HN66</f>
        <v>-0</v>
      </c>
      <c r="HS66" s="1" t="n">
        <f aca="false">(-1)^HM66*HN66</f>
        <v>-0</v>
      </c>
      <c r="HU66" s="1" t="n">
        <f aca="false">$AM66</f>
        <v>55</v>
      </c>
      <c r="HV66" s="1" t="n">
        <f aca="false">GJ66</f>
        <v>0</v>
      </c>
      <c r="HW66" s="1" t="n">
        <f aca="false">HW$6*(1+HW$5*(-1)^$FQ66)*EXP(-$FQ66/HW$4)</f>
        <v>8.42203187132976E-010</v>
      </c>
      <c r="HX66" s="1" t="n">
        <f aca="false">(HV66-HW66)^2</f>
        <v>7.09306208416943E-019</v>
      </c>
      <c r="HY66" s="1" t="n">
        <f aca="false">EXP($FQ66/$JG$4)*HV66</f>
        <v>0</v>
      </c>
      <c r="HZ66" s="1" t="n">
        <f aca="false">EXP($FQ66/$JG$4)*(-1)^$FQ66*HV66</f>
        <v>-0</v>
      </c>
      <c r="IA66" s="1" t="n">
        <f aca="false">(-1)^HU66*HV66</f>
        <v>-0</v>
      </c>
      <c r="IB66" s="1" t="n">
        <v>0</v>
      </c>
      <c r="ID66" s="1" t="n">
        <f aca="false">$AM66</f>
        <v>55</v>
      </c>
      <c r="IE66" s="1" t="n">
        <f aca="false">FZ66</f>
        <v>0</v>
      </c>
      <c r="IF66" s="1" t="n">
        <f aca="false">IF$6*(1+IF$5*(-1)^$FQ66)*EXP(-$FQ66/IF$4)</f>
        <v>3.09950432658376E-007</v>
      </c>
      <c r="IG66" s="1" t="n">
        <f aca="false">(IE66-IF66)^2</f>
        <v>9.60692707051145E-014</v>
      </c>
      <c r="IH66" s="1" t="n">
        <f aca="false">EXP($FQ66/$JG$4)*IE66</f>
        <v>0</v>
      </c>
      <c r="II66" s="1" t="n">
        <f aca="false">EXP($FQ66/$JG$4)*(-1)^$FQ66*IE66</f>
        <v>-0</v>
      </c>
      <c r="IJ66" s="1" t="n">
        <f aca="false">(-1)^ID66*IE66</f>
        <v>-0</v>
      </c>
      <c r="IK66" s="1" t="n">
        <v>0</v>
      </c>
      <c r="IM66" s="1" t="n">
        <f aca="false">$AM66</f>
        <v>55</v>
      </c>
      <c r="IN66" s="1" t="n">
        <f aca="false">GD66</f>
        <v>0</v>
      </c>
      <c r="IO66" s="1" t="n">
        <f aca="false">IO$6*(1+IO$5*(-1)^$FQ66)*EXP(-$FQ66/IO$4)</f>
        <v>3.29294283775158E-006</v>
      </c>
      <c r="IP66" s="1" t="n">
        <f aca="false">(IN66-IO66)^2</f>
        <v>1.08434725326994E-011</v>
      </c>
      <c r="IQ66" s="1" t="n">
        <f aca="false">EXP($FQ66/$JG$4)*IN66</f>
        <v>0</v>
      </c>
      <c r="IR66" s="1" t="n">
        <f aca="false">EXP($FQ66/$JG$4)*(-1)^$FQ66*IN66</f>
        <v>-0</v>
      </c>
      <c r="IS66" s="1" t="n">
        <f aca="false">(-1)^IM66*IN66</f>
        <v>-0</v>
      </c>
      <c r="IT66" s="1" t="n">
        <v>0</v>
      </c>
      <c r="IV66" s="1" t="n">
        <f aca="false">$AM66</f>
        <v>55</v>
      </c>
      <c r="IW66" s="1" t="n">
        <f aca="false">GH66</f>
        <v>0</v>
      </c>
      <c r="IX66" s="1" t="n">
        <f aca="false">IX$6*(1+IX$5*(-1)^$FQ66)*EXP(-$FQ66/IX$4)</f>
        <v>0.000234959721644315</v>
      </c>
      <c r="IY66" s="1" t="n">
        <f aca="false">(IW66-IX66)^2</f>
        <v>5.5206070795174E-008</v>
      </c>
      <c r="IZ66" s="1" t="n">
        <f aca="false">EXP($FQ66/$JG$4)*IW66</f>
        <v>0</v>
      </c>
      <c r="JA66" s="1" t="n">
        <f aca="false">EXP($FQ66/$JG$4)*(-1)^$FQ66*IW66</f>
        <v>-0</v>
      </c>
      <c r="JB66" s="1" t="n">
        <f aca="false">(-1)^IV66*IW66</f>
        <v>-0</v>
      </c>
      <c r="JE66" s="1" t="n">
        <f aca="false">$AM66</f>
        <v>55</v>
      </c>
      <c r="JF66" s="1" t="n">
        <f aca="false">GL66</f>
        <v>0</v>
      </c>
      <c r="JG66" s="1" t="n">
        <f aca="false">JG$6*(1+JG$5*(-1)^$FQ66)*EXP(-$FQ66/JG$4)</f>
        <v>2.00190141667703E-005</v>
      </c>
      <c r="JH66" s="1" t="n">
        <f aca="false">(JF66-JG66)^2</f>
        <v>4.0076092820935E-010</v>
      </c>
      <c r="JI66" s="1" t="n">
        <f aca="false">EXP($FQ66/$JG$4)*JF66</f>
        <v>0</v>
      </c>
      <c r="JJ66" s="1" t="n">
        <f aca="false">EXP($FQ66/$JG$4)*(-1)^$FQ66*JF66</f>
        <v>-0</v>
      </c>
      <c r="JK66" s="1" t="n">
        <f aca="false">(-1)^JE66*JF66</f>
        <v>-0</v>
      </c>
      <c r="JO66" s="1" t="n">
        <f aca="false">$AM66</f>
        <v>55</v>
      </c>
      <c r="JP66" s="1" t="n">
        <f aca="false">GM66</f>
        <v>0</v>
      </c>
      <c r="JQ66" s="1" t="n">
        <f aca="false">JQ$6*(1+JQ$5*(-1)^$FQ66)*EXP(-$FQ66/JQ$4)</f>
        <v>0.0336358026610968</v>
      </c>
      <c r="JR66" s="1" t="n">
        <f aca="false">(JP66-JQ66)^2</f>
        <v>0.00113136722065625</v>
      </c>
      <c r="JS66" s="1" t="n">
        <f aca="false">EXP($FQ66/$JG$4)*JP66</f>
        <v>0</v>
      </c>
      <c r="JT66" s="1" t="n">
        <f aca="false">EXP($FQ66/$JG$4)*(-1)^$FQ66*JP66</f>
        <v>-0</v>
      </c>
      <c r="JU66" s="1" t="n">
        <f aca="false">(-1)^JO66*JP66</f>
        <v>-0</v>
      </c>
    </row>
    <row r="67" customFormat="false" ht="16" hidden="false" customHeight="false" outlineLevel="0" collapsed="false">
      <c r="A67" s="1" t="n">
        <v>1</v>
      </c>
      <c r="B67" s="1" t="n">
        <v>1</v>
      </c>
      <c r="C67" s="1" t="n">
        <f aca="false">B67-A67</f>
        <v>0</v>
      </c>
      <c r="D67" s="1" t="n">
        <v>1</v>
      </c>
      <c r="E67" s="1" t="n">
        <v>1</v>
      </c>
      <c r="F67" s="1" t="n">
        <f aca="false">E67-D67</f>
        <v>0</v>
      </c>
      <c r="G67" s="1" t="n">
        <v>2</v>
      </c>
      <c r="H67" s="1" t="n">
        <v>2</v>
      </c>
      <c r="I67" s="1" t="n">
        <f aca="false">H67-G67</f>
        <v>0</v>
      </c>
      <c r="J67" s="1" t="n">
        <v>1</v>
      </c>
      <c r="K67" s="1" t="n">
        <v>1</v>
      </c>
      <c r="L67" s="1" t="n">
        <f aca="false">K67-J67</f>
        <v>0</v>
      </c>
      <c r="M67" s="1" t="n">
        <v>2</v>
      </c>
      <c r="N67" s="1" t="n">
        <v>4</v>
      </c>
      <c r="O67" s="1" t="n">
        <f aca="false">N67-M67</f>
        <v>2</v>
      </c>
      <c r="P67" s="1" t="n">
        <v>4</v>
      </c>
      <c r="Q67" s="1" t="n">
        <v>4</v>
      </c>
      <c r="R67" s="1" t="n">
        <f aca="false">Q67-P67</f>
        <v>0</v>
      </c>
      <c r="S67" s="1" t="n">
        <v>1</v>
      </c>
      <c r="T67" s="1" t="n">
        <v>3</v>
      </c>
      <c r="U67" s="1" t="n">
        <f aca="false">T67-S67</f>
        <v>2</v>
      </c>
      <c r="V67" s="1" t="n">
        <v>6</v>
      </c>
      <c r="W67" s="1" t="n">
        <v>10</v>
      </c>
      <c r="X67" s="1" t="n">
        <f aca="false">W67-V67</f>
        <v>4</v>
      </c>
      <c r="Y67" s="1" t="n">
        <v>3</v>
      </c>
      <c r="Z67" s="1" t="n">
        <v>7</v>
      </c>
      <c r="AA67" s="1" t="n">
        <f aca="false">Z67-Y67</f>
        <v>4</v>
      </c>
      <c r="AB67" s="1" t="n">
        <v>4</v>
      </c>
      <c r="AC67" s="1" t="n">
        <v>14</v>
      </c>
      <c r="AD67" s="1" t="n">
        <f aca="false">AC67-AB67</f>
        <v>10</v>
      </c>
      <c r="AE67" s="1" t="n">
        <v>1</v>
      </c>
      <c r="AF67" s="1" t="n">
        <v>7</v>
      </c>
      <c r="AG67" s="1" t="n">
        <f aca="false">AF67-AE67</f>
        <v>6</v>
      </c>
      <c r="AM67" s="1" t="n">
        <v>56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1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W67" s="1" t="n">
        <f aca="false">$AM67</f>
        <v>56</v>
      </c>
      <c r="BX67" s="1" t="n">
        <f aca="false">MAX(BX66-AN67/AN$9*100,0)</f>
        <v>0</v>
      </c>
      <c r="BY67" s="1" t="n">
        <f aca="false">MAX(BY66-AO67/AO$9*100,0)</f>
        <v>0</v>
      </c>
      <c r="BZ67" s="1" t="n">
        <f aca="false">MAX(BZ66-AQ67/AQ$9*100,0)</f>
        <v>0</v>
      </c>
      <c r="CA67" s="1" t="n">
        <f aca="false">MAX(CA66-AR67/AR$9*100,0)</f>
        <v>0</v>
      </c>
      <c r="CB67" s="1" t="n">
        <f aca="false">CB$7*EXP(-$AM67/CB$8)</f>
        <v>5.43366746844455E-030</v>
      </c>
      <c r="CC67" s="1" t="n">
        <f aca="false">(BZ67-CB67)^2</f>
        <v>2.95247421576326E-059</v>
      </c>
      <c r="CD67" s="1" t="n">
        <f aca="false">MAX(CD66-AT67/AT$9*100,0)</f>
        <v>0</v>
      </c>
      <c r="CE67" s="1" t="n">
        <f aca="false">MAX(CE66-AU67/AU$9*100,0)</f>
        <v>5.32907051820075E-015</v>
      </c>
      <c r="CF67" s="1" t="n">
        <f aca="false">CF$7*EXP(-$AM67/CF$8)</f>
        <v>3.42542653396681E-029</v>
      </c>
      <c r="CG67" s="1" t="n">
        <f aca="false">(CD67-CF67)^2</f>
        <v>1.17335469396039E-057</v>
      </c>
      <c r="CH67" s="1" t="n">
        <f aca="false">$AM67</f>
        <v>56</v>
      </c>
      <c r="CI67" s="1" t="n">
        <f aca="false">MAX(CI66-AW67/AW$9*100,0)</f>
        <v>0</v>
      </c>
      <c r="CJ67" s="1" t="n">
        <f aca="false">MAX(CJ66-AX67/AX$9*100,0)</f>
        <v>0</v>
      </c>
      <c r="CK67" s="1" t="n">
        <f aca="false">CK$7*EXP(-$AM67/CK$8)</f>
        <v>2.90854353929815E-019</v>
      </c>
      <c r="CL67" s="1" t="n">
        <f aca="false">(CI67-CK67)^2</f>
        <v>8.45962551999301E-038</v>
      </c>
      <c r="CM67" s="1" t="n">
        <f aca="false">MAX(CM66-AZ67/AZ$9*100,0)</f>
        <v>0</v>
      </c>
      <c r="CN67" s="1" t="n">
        <f aca="false">MAX(CN66-BA67/BA$9*100,0)</f>
        <v>5.32907051820075E-015</v>
      </c>
      <c r="CO67" s="1" t="n">
        <f aca="false">CO$7*EXP(-$AM67/CO$8)</f>
        <v>2.69965269994097E-010</v>
      </c>
      <c r="CP67" s="1" t="n">
        <f aca="false">(CM67-CO67)^2</f>
        <v>7.28812470029857E-020</v>
      </c>
      <c r="CQ67" s="1" t="n">
        <f aca="false">$AM67</f>
        <v>56</v>
      </c>
      <c r="CR67" s="1" t="n">
        <f aca="false">MAX(CR66-BC67/BC$9*100,0)</f>
        <v>0</v>
      </c>
      <c r="CS67" s="1" t="n">
        <f aca="false">MAX(CS66-BD67/BD$9*100,0)</f>
        <v>0</v>
      </c>
      <c r="CT67" s="1" t="n">
        <f aca="false">CT$7*EXP(-$AM67/CT$8)</f>
        <v>1.04069730983504E-017</v>
      </c>
      <c r="CU67" s="1" t="n">
        <f aca="false">(CR67-CT67)^2</f>
        <v>1.08305089069789E-034</v>
      </c>
      <c r="CV67" s="1" t="n">
        <f aca="false">MAX(CV66-BF67/BF$9*100,0)</f>
        <v>8.88178419700125E-015</v>
      </c>
      <c r="CW67" s="1" t="n">
        <f aca="false">MAX(CW66-BG67/BG$9*100,0)</f>
        <v>5.32907051820075E-015</v>
      </c>
      <c r="CX67" s="1" t="n">
        <f aca="false">CX$7*EXP(-$AM67/CX$8)</f>
        <v>1.20198826679312E-008</v>
      </c>
      <c r="CY67" s="1" t="n">
        <f aca="false">(CV67-CX67)^2</f>
        <v>1.44477365834904E-016</v>
      </c>
      <c r="CZ67" s="1" t="n">
        <f aca="false">$AM67</f>
        <v>56</v>
      </c>
      <c r="DA67" s="1" t="n">
        <f aca="false">MAX(DA66-BI67/BI$9*100,0)</f>
        <v>0</v>
      </c>
      <c r="DB67" s="1" t="n">
        <f aca="false">MAX(DB66-BJ67/BJ$9*100,0)</f>
        <v>9.88098491916389E-015</v>
      </c>
      <c r="DC67" s="1" t="n">
        <f aca="false">DC$7*EXP(-$AM67/DC$8)</f>
        <v>2.83097986670642E-016</v>
      </c>
      <c r="DD67" s="1" t="n">
        <f aca="false">(DA67-DC67)^2</f>
        <v>8.0144470056971E-032</v>
      </c>
      <c r="DE67" s="1" t="n">
        <f aca="false">MAX(DE66-BL67/BL$9*100,0)</f>
        <v>0</v>
      </c>
      <c r="DF67" s="1" t="n">
        <f aca="false">MAX(DF66-BM67/BM$9*100,0)</f>
        <v>0</v>
      </c>
      <c r="DG67" s="1" t="n">
        <f aca="false">DG$7*EXP(-$AM67/DG$8)</f>
        <v>0.00010019921065198</v>
      </c>
      <c r="DH67" s="1" t="n">
        <f aca="false">(DE67-DG67)^2</f>
        <v>1.00398818152799E-008</v>
      </c>
      <c r="DI67" s="1" t="n">
        <f aca="false">$AM67</f>
        <v>56</v>
      </c>
      <c r="DJ67" s="1" t="n">
        <f aca="false">MAX(DJ66-BO67/BO$9*100,0)</f>
        <v>0</v>
      </c>
      <c r="DK67" s="1" t="n">
        <f aca="false">MAX(DK66-BP67/BP$9*100,0)</f>
        <v>9.99200722162641E-015</v>
      </c>
      <c r="DL67" s="1" t="n">
        <f aca="false">DL$7*EXP(-$AM67/DL$8)</f>
        <v>1.80112826452219E-013</v>
      </c>
      <c r="DM67" s="1" t="n">
        <f aca="false">(DJ67-DL67)^2</f>
        <v>3.24406302526072E-026</v>
      </c>
      <c r="DN67" s="1" t="n">
        <f aca="false">MAX(DN66-BR67/BR$9*100,0)</f>
        <v>0</v>
      </c>
      <c r="DO67" s="1" t="n">
        <f aca="false">MAX(DO66-BS67/BS$9*100,0)</f>
        <v>0.502512562814067</v>
      </c>
      <c r="DP67" s="1" t="n">
        <f aca="false">DP$7*EXP(-$AM67/DP$8)</f>
        <v>1.57290440027178E-005</v>
      </c>
      <c r="DQ67" s="1" t="n">
        <f aca="false">(DN67-DP67)^2</f>
        <v>2.47402825239433E-010</v>
      </c>
      <c r="DS67" s="1" t="n">
        <f aca="false">$AM67</f>
        <v>56</v>
      </c>
      <c r="DT67" s="1" t="n">
        <f aca="false">CA67</f>
        <v>0</v>
      </c>
      <c r="DU67" s="1" t="n">
        <f aca="false">DU$7*EXP(-DS67/DU$8)</f>
        <v>1.37884828796944E-023</v>
      </c>
      <c r="DV67" s="1" t="n">
        <f aca="false">(DT67-DU67)^2</f>
        <v>1.90122260123626E-046</v>
      </c>
      <c r="DX67" s="1" t="n">
        <f aca="false">$AM67</f>
        <v>56</v>
      </c>
      <c r="DY67" s="1" t="n">
        <f aca="false">CM67</f>
        <v>0</v>
      </c>
      <c r="DZ67" s="1" t="n">
        <f aca="false">DZ$7*EXP(-DX67/DZ$8)</f>
        <v>3.43130958546528E-012</v>
      </c>
      <c r="EA67" s="1" t="n">
        <f aca="false">(DY67-DZ67)^2</f>
        <v>1.17738854713059E-023</v>
      </c>
      <c r="EC67" s="1" t="n">
        <f aca="false">$AM67</f>
        <v>56</v>
      </c>
      <c r="ED67" s="1" t="n">
        <f aca="false">CV67</f>
        <v>8.88178419700125E-015</v>
      </c>
      <c r="EE67" s="1" t="n">
        <f aca="false">EE$7*EXP(-EC67/EE$8)</f>
        <v>3.4039768944781E-009</v>
      </c>
      <c r="EF67" s="1" t="n">
        <f aca="false">(ED67-EE67)^2</f>
        <v>1.15869982314433E-017</v>
      </c>
      <c r="EH67" s="1" t="n">
        <f aca="false">$AM67</f>
        <v>56</v>
      </c>
      <c r="EI67" s="1" t="n">
        <f aca="false">DE67</f>
        <v>0</v>
      </c>
      <c r="EJ67" s="1" t="n">
        <f aca="false">EJ$7*EXP(-EH67/EJ$8)</f>
        <v>9.97834462924281E-005</v>
      </c>
      <c r="EK67" s="1" t="n">
        <f aca="false">(EI67-EJ67)^2</f>
        <v>9.95673615399389E-009</v>
      </c>
      <c r="EM67" s="1" t="n">
        <f aca="false">AM67</f>
        <v>56</v>
      </c>
      <c r="EN67" s="1" t="n">
        <f aca="false">DN67</f>
        <v>0</v>
      </c>
      <c r="EO67" s="1" t="n">
        <f aca="false">EO$7*EXP(-EM67/EO$8)</f>
        <v>2.60635177021832E-005</v>
      </c>
      <c r="EP67" s="1" t="n">
        <f aca="false">(EN67-EO67)^2</f>
        <v>6.79306955012017E-010</v>
      </c>
      <c r="ER67" s="1" t="n">
        <f aca="false">$AM67</f>
        <v>56</v>
      </c>
      <c r="ES67" s="1" t="n">
        <f aca="false">BZ67</f>
        <v>0</v>
      </c>
      <c r="ET67" s="1" t="n">
        <f aca="false">ET$7*EXP(-ER67/ET$8)</f>
        <v>2.03932117884782E-027</v>
      </c>
      <c r="EU67" s="1" t="n">
        <f aca="false">(ES67-ET67)^2</f>
        <v>4.15883087049726E-054</v>
      </c>
      <c r="EW67" s="1" t="n">
        <f aca="false">$AM67</f>
        <v>56</v>
      </c>
      <c r="EX67" s="1" t="n">
        <f aca="false">CI67</f>
        <v>0</v>
      </c>
      <c r="EY67" s="1" t="n">
        <f aca="false">EY$7*EXP(-EW67/EY$8)</f>
        <v>4.60629569412911E-025</v>
      </c>
      <c r="EZ67" s="1" t="n">
        <f aca="false">(EX67-EY67)^2</f>
        <v>2.12179600217524E-049</v>
      </c>
      <c r="FB67" s="1" t="n">
        <f aca="false">$AM67</f>
        <v>56</v>
      </c>
      <c r="FC67" s="1" t="n">
        <f aca="false">CR67</f>
        <v>0</v>
      </c>
      <c r="FD67" s="1" t="n">
        <f aca="false">FD$7*EXP(-FB67/FD$8)</f>
        <v>1.22475052455707E-021</v>
      </c>
      <c r="FE67" s="1" t="n">
        <f aca="false">(FC67-FD67)^2</f>
        <v>1.50001384740282E-042</v>
      </c>
      <c r="FG67" s="1" t="n">
        <f aca="false">$AM67</f>
        <v>56</v>
      </c>
      <c r="FH67" s="1" t="n">
        <f aca="false">DA67</f>
        <v>0</v>
      </c>
      <c r="FI67" s="1" t="n">
        <f aca="false">FI$7*EXP(-FG67/FI$8)</f>
        <v>1.47888231819724E-018</v>
      </c>
      <c r="FJ67" s="1" t="n">
        <f aca="false">(FH67-FI67)^2</f>
        <v>2.18709291107644E-036</v>
      </c>
      <c r="FL67" s="1" t="n">
        <f aca="false">EM67</f>
        <v>56</v>
      </c>
      <c r="FM67" s="1" t="n">
        <f aca="false">DJ67</f>
        <v>0</v>
      </c>
      <c r="FN67" s="1" t="n">
        <f aca="false">FN$7*EXP(-FL67/FN$8)</f>
        <v>1.0394132857387E-014</v>
      </c>
      <c r="FO67" s="1" t="n">
        <f aca="false">(FM67-FN67)^2</f>
        <v>1.08037997857012E-028</v>
      </c>
      <c r="FQ67" s="1" t="n">
        <f aca="false">AM67</f>
        <v>56</v>
      </c>
      <c r="FR67" s="1" t="n">
        <f aca="false">AN67/AN$9*100</f>
        <v>0</v>
      </c>
      <c r="FS67" s="1" t="n">
        <f aca="false">AO67/AO$9*100</f>
        <v>0</v>
      </c>
      <c r="FT67" s="1" t="n">
        <f aca="false">AQ67/AQ$9*100</f>
        <v>0</v>
      </c>
      <c r="FU67" s="1" t="n">
        <f aca="false">AR67/AR$9*100</f>
        <v>0</v>
      </c>
      <c r="FV67" s="1" t="n">
        <f aca="false">AT67/AT$9*100</f>
        <v>0</v>
      </c>
      <c r="FW67" s="1" t="n">
        <f aca="false">AU67/AU$9*100</f>
        <v>0</v>
      </c>
      <c r="FX67" s="1" t="n">
        <f aca="false">AW67/AW$9*100</f>
        <v>0</v>
      </c>
      <c r="FY67" s="1" t="n">
        <f aca="false">AX67/AX$9*100</f>
        <v>0</v>
      </c>
      <c r="FZ67" s="1" t="n">
        <f aca="false">AZ67/AZ$9*100</f>
        <v>0</v>
      </c>
      <c r="GA67" s="1" t="n">
        <f aca="false">BA67/BA$9*100</f>
        <v>0</v>
      </c>
      <c r="GB67" s="1" t="n">
        <f aca="false">BC67/BC$9*100</f>
        <v>0</v>
      </c>
      <c r="GC67" s="1" t="n">
        <f aca="false">BD67/BD$9*100</f>
        <v>0</v>
      </c>
      <c r="GD67" s="1" t="n">
        <f aca="false">BF67/BF$9*100</f>
        <v>0</v>
      </c>
      <c r="GE67" s="1" t="n">
        <f aca="false">BG67/BG$9*100</f>
        <v>0</v>
      </c>
      <c r="GF67" s="1" t="n">
        <f aca="false">BI67/BI$9*100</f>
        <v>0</v>
      </c>
      <c r="GG67" s="1" t="n">
        <f aca="false">BJ67/BJ$9*100</f>
        <v>0</v>
      </c>
      <c r="GH67" s="1" t="n">
        <f aca="false">BL67/BL$9*100</f>
        <v>0</v>
      </c>
      <c r="GI67" s="1" t="n">
        <f aca="false">BM67/BM$9*100</f>
        <v>0.636942675159236</v>
      </c>
      <c r="GJ67" s="1" t="n">
        <f aca="false">BO67/BO$9*100</f>
        <v>0</v>
      </c>
      <c r="GK67" s="1" t="n">
        <f aca="false">BP67/BP$9*100</f>
        <v>0</v>
      </c>
      <c r="GL67" s="1" t="n">
        <f aca="false">BR67/BR$9*100</f>
        <v>0</v>
      </c>
      <c r="GM67" s="1" t="n">
        <f aca="false">BS67/BS$9*100</f>
        <v>0</v>
      </c>
      <c r="GO67" s="1" t="n">
        <f aca="false">$AM67</f>
        <v>56</v>
      </c>
      <c r="GP67" s="1" t="n">
        <f aca="false">FT67</f>
        <v>0</v>
      </c>
      <c r="GQ67" s="1" t="n">
        <f aca="false">GQ$6*(1+GQ$5*(-1)^$FQ67)*EXP(-$FQ67/GQ$4)</f>
        <v>7.71882138646988E-017</v>
      </c>
      <c r="GR67" s="1" t="n">
        <f aca="false">(GP67-GQ67)^2</f>
        <v>5.95802035962248E-033</v>
      </c>
      <c r="GS67" s="1" t="n">
        <f aca="false">EXP($FQ67/$JG$4)*GP67</f>
        <v>0</v>
      </c>
      <c r="GT67" s="1" t="n">
        <f aca="false">EXP($FQ67/$JG$4)*(-1)^$FQ67*GP67</f>
        <v>0</v>
      </c>
      <c r="GU67" s="1" t="n">
        <f aca="false">(-1)^GO67*GP67</f>
        <v>0</v>
      </c>
      <c r="GW67" s="1" t="n">
        <f aca="false">$AM67</f>
        <v>56</v>
      </c>
      <c r="GX67" s="1" t="n">
        <f aca="false">FX67</f>
        <v>0</v>
      </c>
      <c r="GY67" s="1" t="n">
        <f aca="false">GY$6*(1+GY$5*(-1)^$FQ67)*EXP(-$FQ67/GY$4)</f>
        <v>7.71882138646988E-017</v>
      </c>
      <c r="GZ67" s="1" t="n">
        <f aca="false">(GX67-GY67)^2</f>
        <v>5.95802035962248E-033</v>
      </c>
      <c r="HA67" s="1" t="n">
        <f aca="false">EXP($FQ67/$JG$4)*GX67</f>
        <v>0</v>
      </c>
      <c r="HB67" s="1" t="n">
        <f aca="false">EXP($FQ67/$JG$4)*(-1)^$FQ67*GX67</f>
        <v>0</v>
      </c>
      <c r="HC67" s="1" t="n">
        <f aca="false">(-1)^GW67*GX67</f>
        <v>0</v>
      </c>
      <c r="HE67" s="1" t="n">
        <f aca="false">$AM67</f>
        <v>56</v>
      </c>
      <c r="HF67" s="1" t="n">
        <f aca="false">GB67</f>
        <v>0</v>
      </c>
      <c r="HG67" s="1" t="n">
        <f aca="false">HG$6*(1+HG$5*(-1)^$FQ67)*EXP(-$FQ67/HG$4)</f>
        <v>7.71882138646988E-017</v>
      </c>
      <c r="HH67" s="1" t="n">
        <f aca="false">(HF67-HG67)^2</f>
        <v>5.95802035962248E-033</v>
      </c>
      <c r="HI67" s="1" t="n">
        <f aca="false">EXP($FQ67/$JG$4)*HF67</f>
        <v>0</v>
      </c>
      <c r="HJ67" s="1" t="n">
        <f aca="false">EXP($FQ67/$JG$4)*(-1)^$FQ67*HF67</f>
        <v>0</v>
      </c>
      <c r="HK67" s="1" t="n">
        <f aca="false">(-1)^HE67*HF67</f>
        <v>0</v>
      </c>
      <c r="HM67" s="1" t="n">
        <f aca="false">$AM67</f>
        <v>56</v>
      </c>
      <c r="HN67" s="1" t="n">
        <f aca="false">GF67</f>
        <v>0</v>
      </c>
      <c r="HO67" s="1" t="n">
        <f aca="false">HO$6*(1+HO$5*(-1)^$FQ67)*EXP(-$FQ67/HO$4)</f>
        <v>4.51730912403892E-013</v>
      </c>
      <c r="HP67" s="1" t="n">
        <f aca="false">(HN67-HO67)^2</f>
        <v>2.04060817221253E-025</v>
      </c>
      <c r="HQ67" s="1" t="n">
        <f aca="false">EXP($FQ67/$JG$4)*HN67</f>
        <v>0</v>
      </c>
      <c r="HR67" s="1" t="n">
        <f aca="false">EXP($FQ67/$JG$4)*(-1)^$FQ67*HN67</f>
        <v>0</v>
      </c>
      <c r="HS67" s="1" t="n">
        <f aca="false">(-1)^HM67*HN67</f>
        <v>0</v>
      </c>
      <c r="HU67" s="1" t="n">
        <f aca="false">$AM67</f>
        <v>56</v>
      </c>
      <c r="HV67" s="1" t="n">
        <f aca="false">GJ67</f>
        <v>0</v>
      </c>
      <c r="HW67" s="1" t="n">
        <f aca="false">HW$6*(1+HW$5*(-1)^$FQ67)*EXP(-$FQ67/HW$4)</f>
        <v>1.62320149994406E-009</v>
      </c>
      <c r="HX67" s="1" t="n">
        <f aca="false">(HV67-HW67)^2</f>
        <v>2.63478310942065E-018</v>
      </c>
      <c r="HY67" s="1" t="n">
        <f aca="false">EXP($FQ67/$JG$4)*HV67</f>
        <v>0</v>
      </c>
      <c r="HZ67" s="1" t="n">
        <f aca="false">EXP($FQ67/$JG$4)*(-1)^$FQ67*HV67</f>
        <v>0</v>
      </c>
      <c r="IA67" s="1" t="n">
        <f aca="false">(-1)^HU67*HV67</f>
        <v>0</v>
      </c>
      <c r="IB67" s="1" t="n">
        <v>0</v>
      </c>
      <c r="ID67" s="1" t="n">
        <f aca="false">$AM67</f>
        <v>56</v>
      </c>
      <c r="IE67" s="1" t="n">
        <f aca="false">FZ67</f>
        <v>0</v>
      </c>
      <c r="IF67" s="1" t="n">
        <f aca="false">IF$6*(1+IF$5*(-1)^$FQ67)*EXP(-$FQ67/IF$4)</f>
        <v>4.31114309467378E-007</v>
      </c>
      <c r="IG67" s="1" t="n">
        <f aca="false">(IE67-IF67)^2</f>
        <v>1.85859547827534E-013</v>
      </c>
      <c r="IH67" s="1" t="n">
        <f aca="false">EXP($FQ67/$JG$4)*IE67</f>
        <v>0</v>
      </c>
      <c r="II67" s="1" t="n">
        <f aca="false">EXP($FQ67/$JG$4)*(-1)^$FQ67*IE67</f>
        <v>0</v>
      </c>
      <c r="IJ67" s="1" t="n">
        <f aca="false">(-1)^ID67*IE67</f>
        <v>0</v>
      </c>
      <c r="IK67" s="1" t="n">
        <v>0</v>
      </c>
      <c r="IM67" s="1" t="n">
        <f aca="false">$AM67</f>
        <v>56</v>
      </c>
      <c r="IN67" s="1" t="n">
        <f aca="false">GD67</f>
        <v>0</v>
      </c>
      <c r="IO67" s="1" t="n">
        <f aca="false">IO$6*(1+IO$5*(-1)^$FQ67)*EXP(-$FQ67/IO$4)</f>
        <v>5.38121162674974E-006</v>
      </c>
      <c r="IP67" s="1" t="n">
        <f aca="false">(IN67-IO67)^2</f>
        <v>2.89574385718666E-011</v>
      </c>
      <c r="IQ67" s="1" t="n">
        <f aca="false">EXP($FQ67/$JG$4)*IN67</f>
        <v>0</v>
      </c>
      <c r="IR67" s="1" t="n">
        <f aca="false">EXP($FQ67/$JG$4)*(-1)^$FQ67*IN67</f>
        <v>0</v>
      </c>
      <c r="IS67" s="1" t="n">
        <f aca="false">(-1)^IM67*IN67</f>
        <v>0</v>
      </c>
      <c r="IT67" s="1" t="n">
        <v>0</v>
      </c>
      <c r="IV67" s="1" t="n">
        <f aca="false">$AM67</f>
        <v>56</v>
      </c>
      <c r="IW67" s="1" t="n">
        <f aca="false">GH67</f>
        <v>0</v>
      </c>
      <c r="IX67" s="1" t="n">
        <f aca="false">IX$6*(1+IX$5*(-1)^$FQ67)*EXP(-$FQ67/IX$4)</f>
        <v>0.00075177610387089</v>
      </c>
      <c r="IY67" s="1" t="n">
        <f aca="false">(IW67-IX67)^2</f>
        <v>5.65167310351295E-007</v>
      </c>
      <c r="IZ67" s="1" t="n">
        <f aca="false">EXP($FQ67/$JG$4)*IW67</f>
        <v>0</v>
      </c>
      <c r="JA67" s="1" t="n">
        <f aca="false">EXP($FQ67/$JG$4)*(-1)^$FQ67*IW67</f>
        <v>0</v>
      </c>
      <c r="JB67" s="1" t="n">
        <f aca="false">(-1)^IV67*IW67</f>
        <v>0</v>
      </c>
      <c r="JE67" s="1" t="n">
        <f aca="false">$AM67</f>
        <v>56</v>
      </c>
      <c r="JF67" s="1" t="n">
        <f aca="false">GL67</f>
        <v>0</v>
      </c>
      <c r="JG67" s="1" t="n">
        <f aca="false">JG$6*(1+JG$5*(-1)^$FQ67)*EXP(-$FQ67/JG$4)</f>
        <v>0.000103758962076171</v>
      </c>
      <c r="JH67" s="1" t="n">
        <f aca="false">(JF67-JG67)^2</f>
        <v>1.07659222111243E-008</v>
      </c>
      <c r="JI67" s="1" t="n">
        <f aca="false">EXP($FQ67/$JG$4)*JF67</f>
        <v>0</v>
      </c>
      <c r="JJ67" s="1" t="n">
        <f aca="false">EXP($FQ67/$JG$4)*(-1)^$FQ67*JF67</f>
        <v>0</v>
      </c>
      <c r="JK67" s="1" t="n">
        <f aca="false">(-1)^JE67*JF67</f>
        <v>0</v>
      </c>
      <c r="JO67" s="1" t="n">
        <f aca="false">$AM67</f>
        <v>56</v>
      </c>
      <c r="JP67" s="1" t="n">
        <f aca="false">GM67</f>
        <v>0</v>
      </c>
      <c r="JQ67" s="1" t="n">
        <f aca="false">JQ$6*(1+JQ$5*(-1)^$FQ67)*EXP(-$FQ67/JQ$4)</f>
        <v>0.163011236116541</v>
      </c>
      <c r="JR67" s="1" t="n">
        <f aca="false">(JP67-JQ67)^2</f>
        <v>0.0265726631002427</v>
      </c>
      <c r="JS67" s="1" t="n">
        <f aca="false">EXP($FQ67/$JG$4)*JP67</f>
        <v>0</v>
      </c>
      <c r="JT67" s="1" t="n">
        <f aca="false">EXP($FQ67/$JG$4)*(-1)^$FQ67*JP67</f>
        <v>0</v>
      </c>
      <c r="JU67" s="1" t="n">
        <f aca="false">(-1)^JO67*JP67</f>
        <v>0</v>
      </c>
    </row>
    <row r="68" customFormat="false" ht="16" hidden="false" customHeight="false" outlineLevel="0" collapsed="false">
      <c r="A68" s="1" t="n">
        <v>1</v>
      </c>
      <c r="B68" s="1" t="n">
        <v>1</v>
      </c>
      <c r="C68" s="1" t="n">
        <f aca="false">B68-A68</f>
        <v>0</v>
      </c>
      <c r="D68" s="1" t="n">
        <v>1</v>
      </c>
      <c r="E68" s="1" t="n">
        <v>2</v>
      </c>
      <c r="F68" s="1" t="n">
        <f aca="false">E68-D68</f>
        <v>1</v>
      </c>
      <c r="G68" s="1" t="n">
        <v>1</v>
      </c>
      <c r="H68" s="1" t="n">
        <v>1</v>
      </c>
      <c r="I68" s="1" t="n">
        <f aca="false">H68-G68</f>
        <v>0</v>
      </c>
      <c r="J68" s="1" t="n">
        <v>2</v>
      </c>
      <c r="K68" s="1" t="n">
        <v>2</v>
      </c>
      <c r="L68" s="1" t="n">
        <f aca="false">K68-J68</f>
        <v>0</v>
      </c>
      <c r="M68" s="1" t="n">
        <v>2</v>
      </c>
      <c r="N68" s="1" t="n">
        <v>3</v>
      </c>
      <c r="O68" s="1" t="n">
        <f aca="false">N68-M68</f>
        <v>1</v>
      </c>
      <c r="P68" s="1" t="n">
        <v>1</v>
      </c>
      <c r="Q68" s="1" t="n">
        <v>1</v>
      </c>
      <c r="R68" s="1" t="n">
        <f aca="false">Q68-P68</f>
        <v>0</v>
      </c>
      <c r="S68" s="1" t="n">
        <v>4</v>
      </c>
      <c r="T68" s="1" t="n">
        <v>4</v>
      </c>
      <c r="U68" s="1" t="n">
        <f aca="false">T68-S68</f>
        <v>0</v>
      </c>
      <c r="V68" s="1" t="n">
        <v>5</v>
      </c>
      <c r="W68" s="1" t="n">
        <v>8</v>
      </c>
      <c r="X68" s="1" t="n">
        <f aca="false">W68-V68</f>
        <v>3</v>
      </c>
      <c r="Y68" s="1" t="n">
        <v>5</v>
      </c>
      <c r="Z68" s="1" t="n">
        <v>5</v>
      </c>
      <c r="AA68" s="1" t="n">
        <f aca="false">Z68-Y68</f>
        <v>0</v>
      </c>
      <c r="AB68" s="1" t="n">
        <v>2</v>
      </c>
      <c r="AC68" s="1" t="n">
        <v>8</v>
      </c>
      <c r="AD68" s="1" t="n">
        <f aca="false">AC68-AB68</f>
        <v>6</v>
      </c>
      <c r="AE68" s="1" t="n">
        <v>4</v>
      </c>
      <c r="AF68" s="1" t="n">
        <v>20</v>
      </c>
      <c r="AG68" s="1" t="n">
        <f aca="false">AF68-AE68</f>
        <v>16</v>
      </c>
      <c r="AM68" s="1" t="n">
        <v>57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W68" s="1" t="n">
        <f aca="false">$AM68</f>
        <v>57</v>
      </c>
      <c r="BX68" s="1" t="n">
        <f aca="false">MAX(BX67-AN68/AN$9*100,0)</f>
        <v>0</v>
      </c>
      <c r="BY68" s="1" t="n">
        <f aca="false">MAX(BY67-AO68/AO$9*100,0)</f>
        <v>0</v>
      </c>
      <c r="BZ68" s="1" t="n">
        <f aca="false">MAX(BZ67-AQ68/AQ$9*100,0)</f>
        <v>0</v>
      </c>
      <c r="CA68" s="1" t="n">
        <f aca="false">MAX(CA67-AR68/AR$9*100,0)</f>
        <v>0</v>
      </c>
      <c r="CB68" s="1" t="n">
        <f aca="false">CB$7*EXP(-$AM68/CB$8)</f>
        <v>1.48277156538471E-030</v>
      </c>
      <c r="CC68" s="1" t="n">
        <f aca="false">(BZ68-CB68)^2</f>
        <v>2.19861151511342E-060</v>
      </c>
      <c r="CD68" s="1" t="n">
        <f aca="false">MAX(CD67-AT68/AT$9*100,0)</f>
        <v>0</v>
      </c>
      <c r="CE68" s="1" t="n">
        <f aca="false">MAX(CE67-AU68/AU$9*100,0)</f>
        <v>5.32907051820075E-015</v>
      </c>
      <c r="CF68" s="1" t="n">
        <f aca="false">CF$7*EXP(-$AM68/CF$8)</f>
        <v>9.65994840979248E-030</v>
      </c>
      <c r="CG68" s="1" t="n">
        <f aca="false">(CD68-CF68)^2</f>
        <v>9.33146032798523E-059</v>
      </c>
      <c r="CH68" s="1" t="n">
        <f aca="false">$AM68</f>
        <v>57</v>
      </c>
      <c r="CI68" s="1" t="n">
        <f aca="false">MAX(CI67-AW68/AW$9*100,0)</f>
        <v>0</v>
      </c>
      <c r="CJ68" s="1" t="n">
        <f aca="false">MAX(CJ67-AX68/AX$9*100,0)</f>
        <v>0</v>
      </c>
      <c r="CK68" s="1" t="n">
        <f aca="false">CK$7*EXP(-$AM68/CK$8)</f>
        <v>1.23732476232333E-019</v>
      </c>
      <c r="CL68" s="1" t="n">
        <f aca="false">(CI68-CK68)^2</f>
        <v>1.53097256745849E-038</v>
      </c>
      <c r="CM68" s="1" t="n">
        <f aca="false">MAX(CM67-AZ68/AZ$9*100,0)</f>
        <v>0</v>
      </c>
      <c r="CN68" s="1" t="n">
        <f aca="false">MAX(CN67-BA68/BA$9*100,0)</f>
        <v>5.32907051820075E-015</v>
      </c>
      <c r="CO68" s="1" t="n">
        <f aca="false">CO$7*EXP(-$AM68/CO$8)</f>
        <v>1.66921574827656E-010</v>
      </c>
      <c r="CP68" s="1" t="n">
        <f aca="false">(CM68-CO68)^2</f>
        <v>2.78628121429448E-020</v>
      </c>
      <c r="CQ68" s="1" t="n">
        <f aca="false">$AM68</f>
        <v>57</v>
      </c>
      <c r="CR68" s="1" t="n">
        <f aca="false">MAX(CR67-BC68/BC$9*100,0)</f>
        <v>0</v>
      </c>
      <c r="CS68" s="1" t="n">
        <f aca="false">MAX(CS67-BD68/BD$9*100,0)</f>
        <v>0</v>
      </c>
      <c r="CT68" s="1" t="n">
        <f aca="false">CT$7*EXP(-$AM68/CT$8)</f>
        <v>4.73543928752874E-018</v>
      </c>
      <c r="CU68" s="1" t="n">
        <f aca="false">(CR68-CT68)^2</f>
        <v>2.24243852458707E-035</v>
      </c>
      <c r="CV68" s="1" t="n">
        <f aca="false">MAX(CV67-BF68/BF$9*100,0)</f>
        <v>8.88178419700125E-015</v>
      </c>
      <c r="CW68" s="1" t="n">
        <f aca="false">MAX(CW67-BG68/BG$9*100,0)</f>
        <v>5.32907051820075E-015</v>
      </c>
      <c r="CX68" s="1" t="n">
        <f aca="false">CX$7*EXP(-$AM68/CX$8)</f>
        <v>7.95132854402239E-009</v>
      </c>
      <c r="CY68" s="1" t="n">
        <f aca="false">(CV68-CX68)^2</f>
        <v>6.32234843710957E-017</v>
      </c>
      <c r="CZ68" s="1" t="n">
        <f aca="false">$AM68</f>
        <v>57</v>
      </c>
      <c r="DA68" s="1" t="n">
        <f aca="false">MAX(DA67-BI68/BI$9*100,0)</f>
        <v>0</v>
      </c>
      <c r="DB68" s="1" t="n">
        <f aca="false">MAX(DB67-BJ68/BJ$9*100,0)</f>
        <v>9.88098491916389E-015</v>
      </c>
      <c r="DC68" s="1" t="n">
        <f aca="false">DC$7*EXP(-$AM68/DC$8)</f>
        <v>1.36437423425579E-016</v>
      </c>
      <c r="DD68" s="1" t="n">
        <f aca="false">(DA68-DC68)^2</f>
        <v>1.86151705110107E-032</v>
      </c>
      <c r="DE68" s="1" t="n">
        <f aca="false">MAX(DE67-BL68/BL$9*100,0)</f>
        <v>0</v>
      </c>
      <c r="DF68" s="1" t="n">
        <f aca="false">MAX(DF67-BM68/BM$9*100,0)</f>
        <v>0</v>
      </c>
      <c r="DG68" s="1" t="n">
        <f aca="false">DG$7*EXP(-$AM68/DG$8)</f>
        <v>7.80352237188986E-005</v>
      </c>
      <c r="DH68" s="1" t="n">
        <f aca="false">(DE68-DG68)^2</f>
        <v>6.08949614085855E-009</v>
      </c>
      <c r="DI68" s="1" t="n">
        <f aca="false">$AM68</f>
        <v>57</v>
      </c>
      <c r="DJ68" s="1" t="n">
        <f aca="false">MAX(DJ67-BO68/BO$9*100,0)</f>
        <v>0</v>
      </c>
      <c r="DK68" s="1" t="n">
        <f aca="false">MAX(DK67-BP68/BP$9*100,0)</f>
        <v>9.99200722162641E-015</v>
      </c>
      <c r="DL68" s="1" t="n">
        <f aca="false">DL$7*EXP(-$AM68/DL$8)</f>
        <v>9.75228330419793E-014</v>
      </c>
      <c r="DM68" s="1" t="n">
        <f aca="false">(DJ68-DL68)^2</f>
        <v>9.51070296453377E-027</v>
      </c>
      <c r="DN68" s="1" t="n">
        <f aca="false">MAX(DN67-BR68/BR$9*100,0)</f>
        <v>0</v>
      </c>
      <c r="DO68" s="1" t="n">
        <f aca="false">MAX(DO67-BS68/BS$9*100,0)</f>
        <v>0.502512562814067</v>
      </c>
      <c r="DP68" s="1" t="n">
        <f aca="false">DP$7*EXP(-$AM68/DP$8)</f>
        <v>1.18487552613525E-005</v>
      </c>
      <c r="DQ68" s="1" t="n">
        <f aca="false">(DN68-DP68)^2</f>
        <v>1.40393001243429E-010</v>
      </c>
      <c r="DS68" s="1" t="n">
        <f aca="false">$AM68</f>
        <v>57</v>
      </c>
      <c r="DT68" s="1" t="n">
        <f aca="false">CA68</f>
        <v>0</v>
      </c>
      <c r="DU68" s="1" t="n">
        <f aca="false">DU$7*EXP(-DS68/DU$8)</f>
        <v>4.91801913563937E-024</v>
      </c>
      <c r="DV68" s="1" t="n">
        <f aca="false">(DT68-DU68)^2</f>
        <v>2.4186912218515E-047</v>
      </c>
      <c r="DX68" s="1" t="n">
        <f aca="false">$AM68</f>
        <v>57</v>
      </c>
      <c r="DY68" s="1" t="n">
        <f aca="false">CM68</f>
        <v>0</v>
      </c>
      <c r="DZ68" s="1" t="n">
        <f aca="false">DZ$7*EXP(-DX68/DZ$8)</f>
        <v>1.95647471469944E-012</v>
      </c>
      <c r="EA68" s="1" t="n">
        <f aca="false">(DY68-DZ68)^2</f>
        <v>3.82779330925826E-024</v>
      </c>
      <c r="EC68" s="1" t="n">
        <f aca="false">$AM68</f>
        <v>57</v>
      </c>
      <c r="ED68" s="1" t="n">
        <f aca="false">CV68</f>
        <v>8.88178419700125E-015</v>
      </c>
      <c r="EE68" s="1" t="n">
        <f aca="false">EE$7*EXP(-EC68/EE$8)</f>
        <v>2.19957288915786E-009</v>
      </c>
      <c r="EF68" s="1" t="n">
        <f aca="false">(ED68-EE68)^2</f>
        <v>4.83808182253369E-018</v>
      </c>
      <c r="EH68" s="1" t="n">
        <f aca="false">$AM68</f>
        <v>57</v>
      </c>
      <c r="EI68" s="1" t="n">
        <f aca="false">DE68</f>
        <v>0</v>
      </c>
      <c r="EJ68" s="1" t="n">
        <f aca="false">EJ$7*EXP(-EH68/EJ$8)</f>
        <v>7.77114261101065E-005</v>
      </c>
      <c r="EK68" s="1" t="n">
        <f aca="false">(EI68-EJ68)^2</f>
        <v>6.03906574806654E-009</v>
      </c>
      <c r="EM68" s="1" t="n">
        <f aca="false">AM68</f>
        <v>57</v>
      </c>
      <c r="EN68" s="1" t="n">
        <f aca="false">DN68</f>
        <v>0</v>
      </c>
      <c r="EO68" s="1" t="n">
        <f aca="false">EO$7*EXP(-EM68/EO$8)</f>
        <v>1.98174714400852E-005</v>
      </c>
      <c r="EP68" s="1" t="n">
        <f aca="false">(EN68-EO68)^2</f>
        <v>3.92732174278593E-010</v>
      </c>
      <c r="ER68" s="1" t="n">
        <f aca="false">$AM68</f>
        <v>57</v>
      </c>
      <c r="ES68" s="1" t="n">
        <f aca="false">BZ68</f>
        <v>0</v>
      </c>
      <c r="ET68" s="1" t="n">
        <f aca="false">ET$7*EXP(-ER68/ET$8)</f>
        <v>6.20109506307624E-028</v>
      </c>
      <c r="EU68" s="1" t="n">
        <f aca="false">(ES68-ET68)^2</f>
        <v>3.84535799813085E-055</v>
      </c>
      <c r="EW68" s="1" t="n">
        <f aca="false">$AM68</f>
        <v>57</v>
      </c>
      <c r="EX68" s="1" t="n">
        <f aca="false">CI68</f>
        <v>0</v>
      </c>
      <c r="EY68" s="1" t="n">
        <f aca="false">EY$7*EXP(-EW68/EY$8)</f>
        <v>1.53498851362888E-025</v>
      </c>
      <c r="EZ68" s="1" t="n">
        <f aca="false">(EX68-EY68)^2</f>
        <v>2.3561897369726E-050</v>
      </c>
      <c r="FB68" s="1" t="n">
        <f aca="false">$AM68</f>
        <v>57</v>
      </c>
      <c r="FC68" s="1" t="n">
        <f aca="false">CR68</f>
        <v>0</v>
      </c>
      <c r="FD68" s="1" t="n">
        <f aca="false">FD$7*EXP(-FB68/FD$8)</f>
        <v>4.72534847924262E-022</v>
      </c>
      <c r="FE68" s="1" t="n">
        <f aca="false">(FC68-FD68)^2</f>
        <v>2.23289182502805E-043</v>
      </c>
      <c r="FG68" s="1" t="n">
        <f aca="false">$AM68</f>
        <v>57</v>
      </c>
      <c r="FH68" s="1" t="n">
        <f aca="false">DA68</f>
        <v>0</v>
      </c>
      <c r="FI68" s="1" t="n">
        <f aca="false">FI$7*EXP(-FG68/FI$8)</f>
        <v>6.47161327276108E-019</v>
      </c>
      <c r="FJ68" s="1" t="n">
        <f aca="false">(FH68-FI68)^2</f>
        <v>4.18817783521774E-037</v>
      </c>
      <c r="FL68" s="1" t="n">
        <f aca="false">EM68</f>
        <v>57</v>
      </c>
      <c r="FM68" s="1" t="n">
        <f aca="false">DJ68</f>
        <v>0</v>
      </c>
      <c r="FN68" s="1" t="n">
        <f aca="false">FN$7*EXP(-FL68/FN$8)</f>
        <v>5.33652574648165E-015</v>
      </c>
      <c r="FO68" s="1" t="n">
        <f aca="false">(FM68-FN68)^2</f>
        <v>2.84785070428615E-029</v>
      </c>
      <c r="FQ68" s="1" t="n">
        <f aca="false">AM68</f>
        <v>57</v>
      </c>
      <c r="FR68" s="1" t="n">
        <f aca="false">AN68/AN$9*100</f>
        <v>0</v>
      </c>
      <c r="FS68" s="1" t="n">
        <f aca="false">AO68/AO$9*100</f>
        <v>0</v>
      </c>
      <c r="FT68" s="1" t="n">
        <f aca="false">AQ68/AQ$9*100</f>
        <v>0</v>
      </c>
      <c r="FU68" s="1" t="n">
        <f aca="false">AR68/AR$9*100</f>
        <v>0</v>
      </c>
      <c r="FV68" s="1" t="n">
        <f aca="false">AT68/AT$9*100</f>
        <v>0</v>
      </c>
      <c r="FW68" s="1" t="n">
        <f aca="false">AU68/AU$9*100</f>
        <v>0</v>
      </c>
      <c r="FX68" s="1" t="n">
        <f aca="false">AW68/AW$9*100</f>
        <v>0</v>
      </c>
      <c r="FY68" s="1" t="n">
        <f aca="false">AX68/AX$9*100</f>
        <v>0</v>
      </c>
      <c r="FZ68" s="1" t="n">
        <f aca="false">AZ68/AZ$9*100</f>
        <v>0</v>
      </c>
      <c r="GA68" s="1" t="n">
        <f aca="false">BA68/BA$9*100</f>
        <v>0</v>
      </c>
      <c r="GB68" s="1" t="n">
        <f aca="false">BC68/BC$9*100</f>
        <v>0</v>
      </c>
      <c r="GC68" s="1" t="n">
        <f aca="false">BD68/BD$9*100</f>
        <v>0</v>
      </c>
      <c r="GD68" s="1" t="n">
        <f aca="false">BF68/BF$9*100</f>
        <v>0</v>
      </c>
      <c r="GE68" s="1" t="n">
        <f aca="false">BG68/BG$9*100</f>
        <v>0</v>
      </c>
      <c r="GF68" s="1" t="n">
        <f aca="false">BI68/BI$9*100</f>
        <v>0</v>
      </c>
      <c r="GG68" s="1" t="n">
        <f aca="false">BJ68/BJ$9*100</f>
        <v>0</v>
      </c>
      <c r="GH68" s="1" t="n">
        <f aca="false">BL68/BL$9*100</f>
        <v>0</v>
      </c>
      <c r="GI68" s="1" t="n">
        <f aca="false">BM68/BM$9*100</f>
        <v>0</v>
      </c>
      <c r="GJ68" s="1" t="n">
        <f aca="false">BO68/BO$9*100</f>
        <v>0</v>
      </c>
      <c r="GK68" s="1" t="n">
        <f aca="false">BP68/BP$9*100</f>
        <v>0</v>
      </c>
      <c r="GL68" s="1" t="n">
        <f aca="false">BR68/BR$9*100</f>
        <v>0</v>
      </c>
      <c r="GM68" s="1" t="n">
        <f aca="false">BS68/BS$9*100</f>
        <v>0</v>
      </c>
      <c r="GO68" s="1" t="n">
        <f aca="false">$AM68</f>
        <v>57</v>
      </c>
      <c r="GP68" s="1" t="n">
        <f aca="false">FT68</f>
        <v>0</v>
      </c>
      <c r="GQ68" s="1" t="n">
        <f aca="false">GQ$6*(1+GQ$5*(-1)^$FQ68)*EXP(-$FQ68/GQ$4)</f>
        <v>1.23857961518529E-017</v>
      </c>
      <c r="GR68" s="1" t="n">
        <f aca="false">(GP68-GQ68)^2</f>
        <v>1.53407946315254E-034</v>
      </c>
      <c r="GS68" s="1" t="n">
        <f aca="false">EXP($FQ68/$JG$4)*GP68</f>
        <v>0</v>
      </c>
      <c r="GT68" s="1" t="n">
        <f aca="false">EXP($FQ68/$JG$4)*(-1)^$FQ68*GP68</f>
        <v>-0</v>
      </c>
      <c r="GU68" s="1" t="n">
        <f aca="false">(-1)^GO68*GP68</f>
        <v>-0</v>
      </c>
      <c r="GW68" s="1" t="n">
        <f aca="false">$AM68</f>
        <v>57</v>
      </c>
      <c r="GX68" s="1" t="n">
        <f aca="false">FX68</f>
        <v>0</v>
      </c>
      <c r="GY68" s="1" t="n">
        <f aca="false">GY$6*(1+GY$5*(-1)^$FQ68)*EXP(-$FQ68/GY$4)</f>
        <v>1.23857961518529E-017</v>
      </c>
      <c r="GZ68" s="1" t="n">
        <f aca="false">(GX68-GY68)^2</f>
        <v>1.53407946315254E-034</v>
      </c>
      <c r="HA68" s="1" t="n">
        <f aca="false">EXP($FQ68/$JG$4)*GX68</f>
        <v>0</v>
      </c>
      <c r="HB68" s="1" t="n">
        <f aca="false">EXP($FQ68/$JG$4)*(-1)^$FQ68*GX68</f>
        <v>-0</v>
      </c>
      <c r="HC68" s="1" t="n">
        <f aca="false">(-1)^GW68*GX68</f>
        <v>-0</v>
      </c>
      <c r="HE68" s="1" t="n">
        <f aca="false">$AM68</f>
        <v>57</v>
      </c>
      <c r="HF68" s="1" t="n">
        <f aca="false">GB68</f>
        <v>0</v>
      </c>
      <c r="HG68" s="1" t="n">
        <f aca="false">HG$6*(1+HG$5*(-1)^$FQ68)*EXP(-$FQ68/HG$4)</f>
        <v>1.23857961518529E-017</v>
      </c>
      <c r="HH68" s="1" t="n">
        <f aca="false">(HF68-HG68)^2</f>
        <v>1.53407946315254E-034</v>
      </c>
      <c r="HI68" s="1" t="n">
        <f aca="false">EXP($FQ68/$JG$4)*HF68</f>
        <v>0</v>
      </c>
      <c r="HJ68" s="1" t="n">
        <f aca="false">EXP($FQ68/$JG$4)*(-1)^$FQ68*HF68</f>
        <v>-0</v>
      </c>
      <c r="HK68" s="1" t="n">
        <f aca="false">(-1)^HE68*HF68</f>
        <v>-0</v>
      </c>
      <c r="HM68" s="1" t="n">
        <f aca="false">$AM68</f>
        <v>57</v>
      </c>
      <c r="HN68" s="1" t="n">
        <f aca="false">GF68</f>
        <v>0</v>
      </c>
      <c r="HO68" s="1" t="n">
        <f aca="false">HO$6*(1+HO$5*(-1)^$FQ68)*EXP(-$FQ68/HO$4)</f>
        <v>5.44856187901192E-014</v>
      </c>
      <c r="HP68" s="1" t="n">
        <f aca="false">(HN68-HO68)^2</f>
        <v>2.96868265494219E-027</v>
      </c>
      <c r="HQ68" s="1" t="n">
        <f aca="false">EXP($FQ68/$JG$4)*HN68</f>
        <v>0</v>
      </c>
      <c r="HR68" s="1" t="n">
        <f aca="false">EXP($FQ68/$JG$4)*(-1)^$FQ68*HN68</f>
        <v>-0</v>
      </c>
      <c r="HS68" s="1" t="n">
        <f aca="false">(-1)^HM68*HN68</f>
        <v>-0</v>
      </c>
      <c r="HU68" s="1" t="n">
        <f aca="false">$AM68</f>
        <v>57</v>
      </c>
      <c r="HV68" s="1" t="n">
        <f aca="false">GJ68</f>
        <v>0</v>
      </c>
      <c r="HW68" s="1" t="n">
        <f aca="false">HW$6*(1+HW$5*(-1)^$FQ68)*EXP(-$FQ68/HW$4)</f>
        <v>3.47604572503586E-010</v>
      </c>
      <c r="HX68" s="1" t="n">
        <f aca="false">(HV68-HW68)^2</f>
        <v>1.20828938825401E-019</v>
      </c>
      <c r="HY68" s="1" t="n">
        <f aca="false">EXP($FQ68/$JG$4)*HV68</f>
        <v>0</v>
      </c>
      <c r="HZ68" s="1" t="n">
        <f aca="false">EXP($FQ68/$JG$4)*(-1)^$FQ68*HV68</f>
        <v>-0</v>
      </c>
      <c r="IA68" s="1" t="n">
        <f aca="false">(-1)^HU68*HV68</f>
        <v>-0</v>
      </c>
      <c r="ID68" s="1" t="n">
        <f aca="false">$AM68</f>
        <v>57</v>
      </c>
      <c r="IE68" s="1" t="n">
        <f aca="false">FZ68</f>
        <v>0</v>
      </c>
      <c r="IF68" s="1" t="n">
        <f aca="false">IF$6*(1+IF$5*(-1)^$FQ68)*EXP(-$FQ68/IF$4)</f>
        <v>1.59133858178369E-007</v>
      </c>
      <c r="IG68" s="1" t="n">
        <f aca="false">(IE68-IF68)^2</f>
        <v>2.53235848187333E-014</v>
      </c>
      <c r="IH68" s="1" t="n">
        <f aca="false">EXP($FQ68/$JG$4)*IE68</f>
        <v>0</v>
      </c>
      <c r="II68" s="1" t="n">
        <f aca="false">EXP($FQ68/$JG$4)*(-1)^$FQ68*IE68</f>
        <v>-0</v>
      </c>
      <c r="IJ68" s="1" t="n">
        <f aca="false">(-1)^ID68*IE68</f>
        <v>-0</v>
      </c>
      <c r="IK68" s="1" t="n">
        <v>0</v>
      </c>
      <c r="IM68" s="1" t="n">
        <f aca="false">$AM68</f>
        <v>57</v>
      </c>
      <c r="IN68" s="1" t="n">
        <f aca="false">GD68</f>
        <v>0</v>
      </c>
      <c r="IO68" s="1" t="n">
        <f aca="false">IO$6*(1+IO$5*(-1)^$FQ68)*EXP(-$FQ68/IO$4)</f>
        <v>1.85958449521398E-006</v>
      </c>
      <c r="IP68" s="1" t="n">
        <f aca="false">(IN68-IO68)^2</f>
        <v>3.45805449484023E-012</v>
      </c>
      <c r="IQ68" s="1" t="n">
        <f aca="false">EXP($FQ68/$JG$4)*IN68</f>
        <v>0</v>
      </c>
      <c r="IR68" s="1" t="n">
        <f aca="false">EXP($FQ68/$JG$4)*(-1)^$FQ68*IN68</f>
        <v>-0</v>
      </c>
      <c r="IS68" s="1" t="n">
        <f aca="false">(-1)^IM68*IN68</f>
        <v>-0</v>
      </c>
      <c r="IT68" s="1" t="n">
        <v>0</v>
      </c>
      <c r="IV68" s="1" t="n">
        <f aca="false">$AM68</f>
        <v>57</v>
      </c>
      <c r="IW68" s="1" t="n">
        <f aca="false">GH68</f>
        <v>0</v>
      </c>
      <c r="IX68" s="1" t="n">
        <f aca="false">IX$6*(1+IX$5*(-1)^$FQ68)*EXP(-$FQ68/IX$4)</f>
        <v>0.000159939995629896</v>
      </c>
      <c r="IY68" s="1" t="n">
        <f aca="false">(IW68-IX68)^2</f>
        <v>2.55808022020911E-008</v>
      </c>
      <c r="IZ68" s="1" t="n">
        <f aca="false">EXP($FQ68/$JG$4)*IW68</f>
        <v>0</v>
      </c>
      <c r="JA68" s="1" t="n">
        <f aca="false">EXP($FQ68/$JG$4)*(-1)^$FQ68*IW68</f>
        <v>-0</v>
      </c>
      <c r="JB68" s="1" t="n">
        <f aca="false">(-1)^IV68*IW68</f>
        <v>-0</v>
      </c>
      <c r="JE68" s="1" t="n">
        <f aca="false">$AM68</f>
        <v>57</v>
      </c>
      <c r="JF68" s="1" t="n">
        <f aca="false">GL68</f>
        <v>0</v>
      </c>
      <c r="JG68" s="1" t="n">
        <f aca="false">JG$6*(1+JG$5*(-1)^$FQ68)*EXP(-$FQ68/JG$4)</f>
        <v>1.25458860948165E-005</v>
      </c>
      <c r="JH68" s="1" t="n">
        <f aca="false">(JF68-JG68)^2</f>
        <v>1.5739925790411E-010</v>
      </c>
      <c r="JI68" s="1" t="n">
        <f aca="false">EXP($FQ68/$JG$4)*JF68</f>
        <v>0</v>
      </c>
      <c r="JJ68" s="1" t="n">
        <f aca="false">EXP($FQ68/$JG$4)*(-1)^$FQ68*JF68</f>
        <v>-0</v>
      </c>
      <c r="JK68" s="1" t="n">
        <f aca="false">(-1)^JE68*JF68</f>
        <v>-0</v>
      </c>
      <c r="JO68" s="1" t="n">
        <f aca="false">$AM68</f>
        <v>57</v>
      </c>
      <c r="JP68" s="1" t="n">
        <f aca="false">GM68</f>
        <v>0</v>
      </c>
      <c r="JQ68" s="1" t="n">
        <f aca="false">JQ$6*(1+JQ$5*(-1)^$FQ68)*EXP(-$FQ68/JQ$4)</f>
        <v>0.0286625403245468</v>
      </c>
      <c r="JR68" s="1" t="n">
        <f aca="false">(JP68-JQ68)^2</f>
        <v>0.000821541217856271</v>
      </c>
      <c r="JS68" s="1" t="n">
        <f aca="false">EXP($FQ68/$JG$4)*JP68</f>
        <v>0</v>
      </c>
      <c r="JT68" s="1" t="n">
        <f aca="false">EXP($FQ68/$JG$4)*(-1)^$FQ68*JP68</f>
        <v>-0</v>
      </c>
      <c r="JU68" s="1" t="n">
        <f aca="false">(-1)^JO68*JP68</f>
        <v>-0</v>
      </c>
    </row>
    <row r="69" customFormat="false" ht="16" hidden="false" customHeight="false" outlineLevel="0" collapsed="false">
      <c r="A69" s="1" t="n">
        <v>2</v>
      </c>
      <c r="B69" s="1" t="n">
        <v>2</v>
      </c>
      <c r="C69" s="1" t="n">
        <f aca="false">B69-A69</f>
        <v>0</v>
      </c>
      <c r="D69" s="1" t="n">
        <v>1</v>
      </c>
      <c r="E69" s="1" t="n">
        <v>1</v>
      </c>
      <c r="F69" s="1" t="n">
        <f aca="false">E69-D69</f>
        <v>0</v>
      </c>
      <c r="G69" s="1" t="n">
        <v>1</v>
      </c>
      <c r="H69" s="1" t="n">
        <v>1</v>
      </c>
      <c r="I69" s="1" t="n">
        <f aca="false">H69-G69</f>
        <v>0</v>
      </c>
      <c r="J69" s="1" t="n">
        <v>1</v>
      </c>
      <c r="K69" s="1" t="n">
        <v>1</v>
      </c>
      <c r="L69" s="1" t="n">
        <f aca="false">K69-J69</f>
        <v>0</v>
      </c>
      <c r="M69" s="1" t="n">
        <v>1</v>
      </c>
      <c r="N69" s="1" t="n">
        <v>1</v>
      </c>
      <c r="O69" s="1" t="n">
        <f aca="false">N69-M69</f>
        <v>0</v>
      </c>
      <c r="P69" s="1" t="n">
        <v>4</v>
      </c>
      <c r="Q69" s="1" t="n">
        <v>6</v>
      </c>
      <c r="R69" s="1" t="n">
        <f aca="false">Q69-P69</f>
        <v>2</v>
      </c>
      <c r="S69" s="1" t="n">
        <v>3</v>
      </c>
      <c r="T69" s="1" t="n">
        <v>5</v>
      </c>
      <c r="U69" s="1" t="n">
        <f aca="false">T69-S69</f>
        <v>2</v>
      </c>
      <c r="V69" s="1" t="n">
        <v>5</v>
      </c>
      <c r="W69" s="1" t="n">
        <v>8</v>
      </c>
      <c r="X69" s="1" t="n">
        <f aca="false">W69-V69</f>
        <v>3</v>
      </c>
      <c r="Y69" s="1" t="n">
        <v>6</v>
      </c>
      <c r="Z69" s="1" t="n">
        <v>8</v>
      </c>
      <c r="AA69" s="1" t="n">
        <f aca="false">Z69-Y69</f>
        <v>2</v>
      </c>
      <c r="AB69" s="1" t="n">
        <v>2</v>
      </c>
      <c r="AC69" s="1" t="n">
        <v>4</v>
      </c>
      <c r="AD69" s="1" t="n">
        <f aca="false">AC69-AB69</f>
        <v>2</v>
      </c>
      <c r="AE69" s="1" t="n">
        <v>1</v>
      </c>
      <c r="AF69" s="1" t="n">
        <v>9</v>
      </c>
      <c r="AG69" s="1" t="n">
        <f aca="false">AF69-AE69</f>
        <v>8</v>
      </c>
      <c r="AM69" s="1" t="n">
        <v>58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0</v>
      </c>
      <c r="BQ69" s="1" t="n">
        <v>0</v>
      </c>
      <c r="BR69" s="1" t="n">
        <v>0</v>
      </c>
      <c r="BS69" s="1" t="n">
        <v>0</v>
      </c>
      <c r="BT69" s="1" t="n">
        <v>0</v>
      </c>
      <c r="BW69" s="1" t="n">
        <f aca="false">$AM69</f>
        <v>58</v>
      </c>
      <c r="BX69" s="1" t="n">
        <f aca="false">MAX(BX68-AN69/AN$9*100,0)</f>
        <v>0</v>
      </c>
      <c r="BY69" s="1" t="n">
        <f aca="false">MAX(BY68-AO69/AO$9*100,0)</f>
        <v>0</v>
      </c>
      <c r="BZ69" s="1" t="n">
        <f aca="false">MAX(BZ68-AQ69/AQ$9*100,0)</f>
        <v>0</v>
      </c>
      <c r="CA69" s="1" t="n">
        <f aca="false">MAX(CA68-AR69/AR$9*100,0)</f>
        <v>0</v>
      </c>
      <c r="CB69" s="1" t="n">
        <f aca="false">CB$7*EXP(-$AM69/CB$8)</f>
        <v>4.04627542609413E-031</v>
      </c>
      <c r="CC69" s="1" t="n">
        <f aca="false">(BZ69-CB69)^2</f>
        <v>1.63723448238132E-061</v>
      </c>
      <c r="CD69" s="1" t="n">
        <f aca="false">MAX(CD68-AT69/AT$9*100,0)</f>
        <v>0</v>
      </c>
      <c r="CE69" s="1" t="n">
        <f aca="false">MAX(CE68-AU69/AU$9*100,0)</f>
        <v>5.32907051820075E-015</v>
      </c>
      <c r="CF69" s="1" t="n">
        <f aca="false">CF$7*EXP(-$AM69/CF$8)</f>
        <v>2.72417470801189E-030</v>
      </c>
      <c r="CG69" s="1" t="n">
        <f aca="false">(CD69-CF69)^2</f>
        <v>7.42112783977167E-060</v>
      </c>
      <c r="CH69" s="1" t="n">
        <f aca="false">$AM69</f>
        <v>58</v>
      </c>
      <c r="CI69" s="1" t="n">
        <f aca="false">MAX(CI68-AW69/AW$9*100,0)</f>
        <v>0</v>
      </c>
      <c r="CJ69" s="1" t="n">
        <f aca="false">MAX(CJ68-AX69/AX$9*100,0)</f>
        <v>0</v>
      </c>
      <c r="CK69" s="1" t="n">
        <f aca="false">CK$7*EXP(-$AM69/CK$8)</f>
        <v>5.26370861145135E-020</v>
      </c>
      <c r="CL69" s="1" t="n">
        <f aca="false">(CI69-CK69)^2</f>
        <v>2.77066283462671E-039</v>
      </c>
      <c r="CM69" s="1" t="n">
        <f aca="false">MAX(CM68-AZ69/AZ$9*100,0)</f>
        <v>0</v>
      </c>
      <c r="CN69" s="1" t="n">
        <f aca="false">MAX(CN68-BA69/BA$9*100,0)</f>
        <v>5.32907051820075E-015</v>
      </c>
      <c r="CO69" s="1" t="n">
        <f aca="false">CO$7*EXP(-$AM69/CO$8)</f>
        <v>1.03208876251208E-010</v>
      </c>
      <c r="CP69" s="1" t="n">
        <f aca="false">(CM69-CO69)^2</f>
        <v>1.06520721370372E-020</v>
      </c>
      <c r="CQ69" s="1" t="n">
        <f aca="false">$AM69</f>
        <v>58</v>
      </c>
      <c r="CR69" s="1" t="n">
        <f aca="false">MAX(CR68-BC69/BC$9*100,0)</f>
        <v>0</v>
      </c>
      <c r="CS69" s="1" t="n">
        <f aca="false">MAX(CS68-BD69/BD$9*100,0)</f>
        <v>0</v>
      </c>
      <c r="CT69" s="1" t="n">
        <f aca="false">CT$7*EXP(-$AM69/CT$8)</f>
        <v>2.15474615279107E-018</v>
      </c>
      <c r="CU69" s="1" t="n">
        <f aca="false">(CR69-CT69)^2</f>
        <v>4.64293098296792E-036</v>
      </c>
      <c r="CV69" s="1" t="n">
        <f aca="false">MAX(CV68-BF69/BF$9*100,0)</f>
        <v>8.88178419700125E-015</v>
      </c>
      <c r="CW69" s="1" t="n">
        <f aca="false">MAX(CW68-BG69/BG$9*100,0)</f>
        <v>5.32907051820075E-015</v>
      </c>
      <c r="CX69" s="1" t="n">
        <f aca="false">CX$7*EXP(-$AM69/CX$8)</f>
        <v>5.259920363754E-009</v>
      </c>
      <c r="CY69" s="1" t="n">
        <f aca="false">(CV69-CX69)^2</f>
        <v>2.76666687981578E-017</v>
      </c>
      <c r="CZ69" s="1" t="n">
        <f aca="false">$AM69</f>
        <v>58</v>
      </c>
      <c r="DA69" s="1" t="n">
        <f aca="false">MAX(DA68-BI69/BI$9*100,0)</f>
        <v>0</v>
      </c>
      <c r="DB69" s="1" t="n">
        <f aca="false">MAX(DB68-BJ69/BJ$9*100,0)</f>
        <v>9.88098491916389E-015</v>
      </c>
      <c r="DC69" s="1" t="n">
        <f aca="false">DC$7*EXP(-$AM69/DC$8)</f>
        <v>6.57552204094894E-017</v>
      </c>
      <c r="DD69" s="1" t="n">
        <f aca="false">(DA69-DC69)^2</f>
        <v>4.32374901110053E-033</v>
      </c>
      <c r="DE69" s="1" t="n">
        <f aca="false">MAX(DE68-BL69/BL$9*100,0)</f>
        <v>0</v>
      </c>
      <c r="DF69" s="1" t="n">
        <f aca="false">MAX(DF68-BM69/BM$9*100,0)</f>
        <v>0</v>
      </c>
      <c r="DG69" s="1" t="n">
        <f aca="false">DG$7*EXP(-$AM69/DG$8)</f>
        <v>6.07738933394305E-005</v>
      </c>
      <c r="DH69" s="1" t="n">
        <f aca="false">(DE69-DG69)^2</f>
        <v>3.69346611163248E-009</v>
      </c>
      <c r="DI69" s="1" t="n">
        <f aca="false">$AM69</f>
        <v>58</v>
      </c>
      <c r="DJ69" s="1" t="n">
        <f aca="false">MAX(DJ68-BO69/BO$9*100,0)</f>
        <v>0</v>
      </c>
      <c r="DK69" s="1" t="n">
        <f aca="false">MAX(DK68-BP69/BP$9*100,0)</f>
        <v>9.99200722162641E-015</v>
      </c>
      <c r="DL69" s="1" t="n">
        <f aca="false">DL$7*EXP(-$AM69/DL$8)</f>
        <v>5.28041403373167E-014</v>
      </c>
      <c r="DM69" s="1" t="n">
        <f aca="false">(DJ69-DL69)^2</f>
        <v>2.78827723676304E-027</v>
      </c>
      <c r="DN69" s="1" t="n">
        <f aca="false">MAX(DN68-BR69/BR$9*100,0)</f>
        <v>0</v>
      </c>
      <c r="DO69" s="1" t="n">
        <f aca="false">MAX(DO68-BS69/BS$9*100,0)</f>
        <v>0.502512562814067</v>
      </c>
      <c r="DP69" s="1" t="n">
        <f aca="false">DP$7*EXP(-$AM69/DP$8)</f>
        <v>8.92571736840265E-006</v>
      </c>
      <c r="DQ69" s="1" t="n">
        <f aca="false">(DN69-DP69)^2</f>
        <v>7.96684305406047E-011</v>
      </c>
      <c r="DS69" s="1" t="n">
        <f aca="false">$AM69</f>
        <v>58</v>
      </c>
      <c r="DT69" s="1" t="n">
        <f aca="false">CA69</f>
        <v>0</v>
      </c>
      <c r="DU69" s="1" t="n">
        <f aca="false">DU$7*EXP(-DS69/DU$8)</f>
        <v>1.75413875692837E-024</v>
      </c>
      <c r="DV69" s="1" t="n">
        <f aca="false">(DT69-DU69)^2</f>
        <v>3.07700277855821E-048</v>
      </c>
      <c r="DX69" s="1" t="n">
        <f aca="false">$AM69</f>
        <v>58</v>
      </c>
      <c r="DY69" s="1" t="n">
        <f aca="false">CM69</f>
        <v>0</v>
      </c>
      <c r="DZ69" s="1" t="n">
        <f aca="false">DZ$7*EXP(-DX69/DZ$8)</f>
        <v>1.11554880546845E-012</v>
      </c>
      <c r="EA69" s="1" t="n">
        <f aca="false">(DY69-DZ69)^2</f>
        <v>1.24444913738209E-024</v>
      </c>
      <c r="EC69" s="1" t="n">
        <f aca="false">$AM69</f>
        <v>58</v>
      </c>
      <c r="ED69" s="1" t="n">
        <f aca="false">CV69</f>
        <v>8.88178419700125E-015</v>
      </c>
      <c r="EE69" s="1" t="n">
        <f aca="false">EE$7*EXP(-EC69/EE$8)</f>
        <v>1.42131425820387E-009</v>
      </c>
      <c r="EF69" s="1" t="n">
        <f aca="false">(ED69-EE69)^2</f>
        <v>2.02010897303947E-018</v>
      </c>
      <c r="EH69" s="1" t="n">
        <f aca="false">$AM69</f>
        <v>58</v>
      </c>
      <c r="EI69" s="1" t="n">
        <f aca="false">DE69</f>
        <v>0</v>
      </c>
      <c r="EJ69" s="1" t="n">
        <f aca="false">EJ$7*EXP(-EH69/EJ$8)</f>
        <v>6.05217195081466E-005</v>
      </c>
      <c r="EK69" s="1" t="n">
        <f aca="false">(EI69-EJ69)^2</f>
        <v>3.66287853222277E-009</v>
      </c>
      <c r="EM69" s="1" t="n">
        <f aca="false">AM69</f>
        <v>58</v>
      </c>
      <c r="EN69" s="1" t="n">
        <f aca="false">DN69</f>
        <v>0</v>
      </c>
      <c r="EO69" s="1" t="n">
        <f aca="false">EO$7*EXP(-EM69/EO$8)</f>
        <v>1.50682720101782E-005</v>
      </c>
      <c r="EP69" s="1" t="n">
        <f aca="false">(EN69-EO69)^2</f>
        <v>2.2705282137272E-010</v>
      </c>
      <c r="ER69" s="1" t="n">
        <f aca="false">$AM69</f>
        <v>58</v>
      </c>
      <c r="ES69" s="1" t="n">
        <f aca="false">BZ69</f>
        <v>0</v>
      </c>
      <c r="ET69" s="1" t="n">
        <f aca="false">ET$7*EXP(-ER69/ET$8)</f>
        <v>1.88560685683822E-028</v>
      </c>
      <c r="EU69" s="1" t="n">
        <f aca="false">(ES69-ET69)^2</f>
        <v>3.55551321855531E-056</v>
      </c>
      <c r="EW69" s="1" t="n">
        <f aca="false">$AM69</f>
        <v>58</v>
      </c>
      <c r="EX69" s="1" t="n">
        <f aca="false">CI69</f>
        <v>0</v>
      </c>
      <c r="EY69" s="1" t="n">
        <f aca="false">EY$7*EXP(-EW69/EY$8)</f>
        <v>5.11515085750063E-026</v>
      </c>
      <c r="EZ69" s="1" t="n">
        <f aca="false">(EX69-EY69)^2</f>
        <v>2.61647682949894E-051</v>
      </c>
      <c r="FB69" s="1" t="n">
        <f aca="false">$AM69</f>
        <v>58</v>
      </c>
      <c r="FC69" s="1" t="n">
        <f aca="false">CR69</f>
        <v>0</v>
      </c>
      <c r="FD69" s="1" t="n">
        <f aca="false">FD$7*EXP(-FB69/FD$8)</f>
        <v>1.82314012548441E-022</v>
      </c>
      <c r="FE69" s="1" t="n">
        <f aca="false">(FC69-FD69)^2</f>
        <v>3.32383991715131E-044</v>
      </c>
      <c r="FG69" s="1" t="n">
        <f aca="false">$AM69</f>
        <v>58</v>
      </c>
      <c r="FH69" s="1" t="n">
        <f aca="false">DA69</f>
        <v>0</v>
      </c>
      <c r="FI69" s="1" t="n">
        <f aca="false">FI$7*EXP(-FG69/FI$8)</f>
        <v>2.83198857926917E-019</v>
      </c>
      <c r="FJ69" s="1" t="n">
        <f aca="false">(FH69-FI69)^2</f>
        <v>8.02015931311101E-038</v>
      </c>
      <c r="FL69" s="1" t="n">
        <f aca="false">EM69</f>
        <v>58</v>
      </c>
      <c r="FM69" s="1" t="n">
        <f aca="false">DJ69</f>
        <v>0</v>
      </c>
      <c r="FN69" s="1" t="n">
        <f aca="false">FN$7*EXP(-FL69/FN$8)</f>
        <v>2.73986367440187E-015</v>
      </c>
      <c r="FO69" s="1" t="n">
        <f aca="false">(FM69-FN69)^2</f>
        <v>7.50685295430692E-030</v>
      </c>
      <c r="FQ69" s="1" t="n">
        <f aca="false">AM69</f>
        <v>58</v>
      </c>
      <c r="FR69" s="1" t="n">
        <f aca="false">AN69/AN$9*100</f>
        <v>0</v>
      </c>
      <c r="FS69" s="1" t="n">
        <f aca="false">AO69/AO$9*100</f>
        <v>0</v>
      </c>
      <c r="FT69" s="1" t="n">
        <f aca="false">AQ69/AQ$9*100</f>
        <v>0</v>
      </c>
      <c r="FU69" s="1" t="n">
        <f aca="false">AR69/AR$9*100</f>
        <v>0</v>
      </c>
      <c r="FV69" s="1" t="n">
        <f aca="false">AT69/AT$9*100</f>
        <v>0</v>
      </c>
      <c r="FW69" s="1" t="n">
        <f aca="false">AU69/AU$9*100</f>
        <v>0</v>
      </c>
      <c r="FX69" s="1" t="n">
        <f aca="false">AW69/AW$9*100</f>
        <v>0</v>
      </c>
      <c r="FY69" s="1" t="n">
        <f aca="false">AX69/AX$9*100</f>
        <v>0</v>
      </c>
      <c r="FZ69" s="1" t="n">
        <f aca="false">AZ69/AZ$9*100</f>
        <v>0</v>
      </c>
      <c r="GA69" s="1" t="n">
        <f aca="false">BA69/BA$9*100</f>
        <v>0</v>
      </c>
      <c r="GB69" s="1" t="n">
        <f aca="false">BC69/BC$9*100</f>
        <v>0</v>
      </c>
      <c r="GC69" s="1" t="n">
        <f aca="false">BD69/BD$9*100</f>
        <v>0</v>
      </c>
      <c r="GD69" s="1" t="n">
        <f aca="false">BF69/BF$9*100</f>
        <v>0</v>
      </c>
      <c r="GE69" s="1" t="n">
        <f aca="false">BG69/BG$9*100</f>
        <v>0</v>
      </c>
      <c r="GF69" s="1" t="n">
        <f aca="false">BI69/BI$9*100</f>
        <v>0</v>
      </c>
      <c r="GG69" s="1" t="n">
        <f aca="false">BJ69/BJ$9*100</f>
        <v>0</v>
      </c>
      <c r="GH69" s="1" t="n">
        <f aca="false">BL69/BL$9*100</f>
        <v>0</v>
      </c>
      <c r="GI69" s="1" t="n">
        <f aca="false">BM69/BM$9*100</f>
        <v>0</v>
      </c>
      <c r="GJ69" s="1" t="n">
        <f aca="false">BO69/BO$9*100</f>
        <v>0</v>
      </c>
      <c r="GK69" s="1" t="n">
        <f aca="false">BP69/BP$9*100</f>
        <v>0</v>
      </c>
      <c r="GL69" s="1" t="n">
        <f aca="false">BR69/BR$9*100</f>
        <v>0</v>
      </c>
      <c r="GM69" s="1" t="n">
        <f aca="false">BS69/BS$9*100</f>
        <v>0</v>
      </c>
      <c r="GO69" s="1" t="n">
        <f aca="false">$AM69</f>
        <v>58</v>
      </c>
      <c r="GP69" s="1" t="n">
        <f aca="false">FT69</f>
        <v>0</v>
      </c>
      <c r="GQ69" s="1" t="n">
        <f aca="false">GQ$6*(1+GQ$5*(-1)^$FQ69)*EXP(-$FQ69/GQ$4)</f>
        <v>1.69640306788316E-017</v>
      </c>
      <c r="GR69" s="1" t="n">
        <f aca="false">(GP69-GQ69)^2</f>
        <v>2.8777833687234E-034</v>
      </c>
      <c r="GS69" s="1" t="n">
        <f aca="false">EXP($FQ69/$JG$4)*GP69</f>
        <v>0</v>
      </c>
      <c r="GT69" s="1" t="n">
        <f aca="false">EXP($FQ69/$JG$4)*(-1)^$FQ69*GP69</f>
        <v>0</v>
      </c>
      <c r="GU69" s="1" t="n">
        <f aca="false">(-1)^GO69*GP69</f>
        <v>0</v>
      </c>
      <c r="GW69" s="1" t="n">
        <f aca="false">$AM69</f>
        <v>58</v>
      </c>
      <c r="GX69" s="1" t="n">
        <f aca="false">FX69</f>
        <v>0</v>
      </c>
      <c r="GY69" s="1" t="n">
        <f aca="false">GY$6*(1+GY$5*(-1)^$FQ69)*EXP(-$FQ69/GY$4)</f>
        <v>1.69640306788316E-017</v>
      </c>
      <c r="GZ69" s="1" t="n">
        <f aca="false">(GX69-GY69)^2</f>
        <v>2.8777833687234E-034</v>
      </c>
      <c r="HA69" s="1" t="n">
        <f aca="false">EXP($FQ69/$JG$4)*GX69</f>
        <v>0</v>
      </c>
      <c r="HB69" s="1" t="n">
        <f aca="false">EXP($FQ69/$JG$4)*(-1)^$FQ69*GX69</f>
        <v>0</v>
      </c>
      <c r="HC69" s="1" t="n">
        <f aca="false">(-1)^GW69*GX69</f>
        <v>0</v>
      </c>
      <c r="HE69" s="1" t="n">
        <f aca="false">$AM69</f>
        <v>58</v>
      </c>
      <c r="HF69" s="1" t="n">
        <f aca="false">GB69</f>
        <v>0</v>
      </c>
      <c r="HG69" s="1" t="n">
        <f aca="false">HG$6*(1+HG$5*(-1)^$FQ69)*EXP(-$FQ69/HG$4)</f>
        <v>1.69640306788316E-017</v>
      </c>
      <c r="HH69" s="1" t="n">
        <f aca="false">(HF69-HG69)^2</f>
        <v>2.8777833687234E-034</v>
      </c>
      <c r="HI69" s="1" t="n">
        <f aca="false">EXP($FQ69/$JG$4)*HF69</f>
        <v>0</v>
      </c>
      <c r="HJ69" s="1" t="n">
        <f aca="false">EXP($FQ69/$JG$4)*(-1)^$FQ69*HF69</f>
        <v>0</v>
      </c>
      <c r="HK69" s="1" t="n">
        <f aca="false">(-1)^HE69*HF69</f>
        <v>0</v>
      </c>
      <c r="HM69" s="1" t="n">
        <f aca="false">$AM69</f>
        <v>58</v>
      </c>
      <c r="HN69" s="1" t="n">
        <f aca="false">GF69</f>
        <v>0</v>
      </c>
      <c r="HO69" s="1" t="n">
        <f aca="false">HO$6*(1+HO$5*(-1)^$FQ69)*EXP(-$FQ69/HO$4)</f>
        <v>1.36385015944519E-013</v>
      </c>
      <c r="HP69" s="1" t="n">
        <f aca="false">(HN69-HO69)^2</f>
        <v>1.86008725741867E-026</v>
      </c>
      <c r="HQ69" s="1" t="n">
        <f aca="false">EXP($FQ69/$JG$4)*HN69</f>
        <v>0</v>
      </c>
      <c r="HR69" s="1" t="n">
        <f aca="false">EXP($FQ69/$JG$4)*(-1)^$FQ69*HN69</f>
        <v>0</v>
      </c>
      <c r="HS69" s="1" t="n">
        <f aca="false">(-1)^HM69*HN69</f>
        <v>0</v>
      </c>
      <c r="HU69" s="1" t="n">
        <f aca="false">$AM69</f>
        <v>58</v>
      </c>
      <c r="HV69" s="1" t="n">
        <f aca="false">GJ69</f>
        <v>0</v>
      </c>
      <c r="HW69" s="1" t="n">
        <f aca="false">HW$6*(1+HW$5*(-1)^$FQ69)*EXP(-$FQ69/HW$4)</f>
        <v>6.69947908171652E-010</v>
      </c>
      <c r="HX69" s="1" t="n">
        <f aca="false">(HV69-HW69)^2</f>
        <v>4.48830199663572E-019</v>
      </c>
      <c r="HY69" s="1" t="n">
        <f aca="false">EXP($FQ69/$JG$4)*HV69</f>
        <v>0</v>
      </c>
      <c r="HZ69" s="1" t="n">
        <f aca="false">EXP($FQ69/$JG$4)*(-1)^$FQ69*HV69</f>
        <v>0</v>
      </c>
      <c r="IA69" s="1" t="n">
        <f aca="false">(-1)^HU69*HV69</f>
        <v>0</v>
      </c>
      <c r="ID69" s="1" t="n">
        <f aca="false">$AM69</f>
        <v>58</v>
      </c>
      <c r="IE69" s="1" t="n">
        <f aca="false">FZ69</f>
        <v>0</v>
      </c>
      <c r="IF69" s="1" t="n">
        <f aca="false">IF$6*(1+IF$5*(-1)^$FQ69)*EXP(-$FQ69/IF$4)</f>
        <v>2.21341466740467E-007</v>
      </c>
      <c r="IG69" s="1" t="n">
        <f aca="false">(IE69-IF69)^2</f>
        <v>4.89920448988213E-014</v>
      </c>
      <c r="IH69" s="1" t="n">
        <f aca="false">EXP($FQ69/$JG$4)*IE69</f>
        <v>0</v>
      </c>
      <c r="II69" s="1" t="n">
        <f aca="false">EXP($FQ69/$JG$4)*(-1)^$FQ69*IE69</f>
        <v>0</v>
      </c>
      <c r="IJ69" s="1" t="n">
        <f aca="false">(-1)^ID69*IE69</f>
        <v>0</v>
      </c>
      <c r="IK69" s="1" t="n">
        <v>0</v>
      </c>
      <c r="IM69" s="1" t="n">
        <f aca="false">$AM69</f>
        <v>58</v>
      </c>
      <c r="IN69" s="1" t="n">
        <f aca="false">GD69</f>
        <v>0</v>
      </c>
      <c r="IO69" s="1" t="n">
        <f aca="false">IO$6*(1+IO$5*(-1)^$FQ69)*EXP(-$FQ69/IO$4)</f>
        <v>3.03886772398443E-006</v>
      </c>
      <c r="IP69" s="1" t="n">
        <f aca="false">(IN69-IO69)^2</f>
        <v>9.23471704387431E-012</v>
      </c>
      <c r="IQ69" s="1" t="n">
        <f aca="false">EXP($FQ69/$JG$4)*IN69</f>
        <v>0</v>
      </c>
      <c r="IR69" s="1" t="n">
        <f aca="false">EXP($FQ69/$JG$4)*(-1)^$FQ69*IN69</f>
        <v>0</v>
      </c>
      <c r="IS69" s="1" t="n">
        <f aca="false">(-1)^IM69*IN69</f>
        <v>0</v>
      </c>
      <c r="IT69" s="1" t="n">
        <v>0</v>
      </c>
      <c r="IV69" s="1" t="n">
        <f aca="false">$AM69</f>
        <v>58</v>
      </c>
      <c r="IW69" s="1" t="n">
        <f aca="false">GH69</f>
        <v>0</v>
      </c>
      <c r="IX69" s="1" t="n">
        <f aca="false">IX$6*(1+IX$5*(-1)^$FQ69)*EXP(-$FQ69/IX$4)</f>
        <v>0.000511743314668164</v>
      </c>
      <c r="IY69" s="1" t="n">
        <f aca="false">(IW69-IX69)^2</f>
        <v>2.61881220107559E-007</v>
      </c>
      <c r="IZ69" s="1" t="n">
        <f aca="false">EXP($FQ69/$JG$4)*IW69</f>
        <v>0</v>
      </c>
      <c r="JA69" s="1" t="n">
        <f aca="false">EXP($FQ69/$JG$4)*(-1)^$FQ69*IW69</f>
        <v>0</v>
      </c>
      <c r="JB69" s="1" t="n">
        <f aca="false">(-1)^IV69*IW69</f>
        <v>0</v>
      </c>
      <c r="JE69" s="1" t="n">
        <f aca="false">$AM69</f>
        <v>58</v>
      </c>
      <c r="JF69" s="1" t="n">
        <f aca="false">GL69</f>
        <v>0</v>
      </c>
      <c r="JG69" s="1" t="n">
        <f aca="false">JG$6*(1+JG$5*(-1)^$FQ69)*EXP(-$FQ69/JG$4)</f>
        <v>6.50255856097455E-005</v>
      </c>
      <c r="JH69" s="1" t="n">
        <f aca="false">(JF69-JG69)^2</f>
        <v>4.22832678389034E-009</v>
      </c>
      <c r="JI69" s="1" t="n">
        <f aca="false">EXP($FQ69/$JG$4)*JF69</f>
        <v>0</v>
      </c>
      <c r="JJ69" s="1" t="n">
        <f aca="false">EXP($FQ69/$JG$4)*(-1)^$FQ69*JF69</f>
        <v>0</v>
      </c>
      <c r="JK69" s="1" t="n">
        <f aca="false">(-1)^JE69*JF69</f>
        <v>0</v>
      </c>
      <c r="JO69" s="1" t="n">
        <f aca="false">$AM69</f>
        <v>58</v>
      </c>
      <c r="JP69" s="1" t="n">
        <f aca="false">GM69</f>
        <v>0</v>
      </c>
      <c r="JQ69" s="1" t="n">
        <f aca="false">JQ$6*(1+JQ$5*(-1)^$FQ69)*EXP(-$FQ69/JQ$4)</f>
        <v>0.138909012388415</v>
      </c>
      <c r="JR69" s="1" t="n">
        <f aca="false">(JP69-JQ69)^2</f>
        <v>0.0192957137227248</v>
      </c>
      <c r="JS69" s="1" t="n">
        <f aca="false">EXP($FQ69/$JG$4)*JP69</f>
        <v>0</v>
      </c>
      <c r="JT69" s="1" t="n">
        <f aca="false">EXP($FQ69/$JG$4)*(-1)^$FQ69*JP69</f>
        <v>0</v>
      </c>
      <c r="JU69" s="1" t="n">
        <f aca="false">(-1)^JO69*JP69</f>
        <v>0</v>
      </c>
    </row>
    <row r="70" customFormat="false" ht="16" hidden="false" customHeight="false" outlineLevel="0" collapsed="false">
      <c r="A70" s="1" t="n">
        <v>2</v>
      </c>
      <c r="B70" s="1" t="n">
        <v>2</v>
      </c>
      <c r="C70" s="1" t="n">
        <f aca="false">B70-A70</f>
        <v>0</v>
      </c>
      <c r="D70" s="1" t="n">
        <v>1</v>
      </c>
      <c r="E70" s="1" t="n">
        <v>1</v>
      </c>
      <c r="F70" s="1" t="n">
        <f aca="false">E70-D70</f>
        <v>0</v>
      </c>
      <c r="G70" s="1" t="n">
        <v>2</v>
      </c>
      <c r="H70" s="1" t="n">
        <v>2</v>
      </c>
      <c r="I70" s="1" t="n">
        <f aca="false">H70-G70</f>
        <v>0</v>
      </c>
      <c r="J70" s="1" t="n">
        <v>1</v>
      </c>
      <c r="K70" s="1" t="n">
        <v>1</v>
      </c>
      <c r="L70" s="1" t="n">
        <f aca="false">K70-J70</f>
        <v>0</v>
      </c>
      <c r="M70" s="1" t="n">
        <v>4</v>
      </c>
      <c r="N70" s="1" t="n">
        <v>4</v>
      </c>
      <c r="O70" s="1" t="n">
        <f aca="false">N70-M70</f>
        <v>0</v>
      </c>
      <c r="P70" s="1" t="n">
        <v>3</v>
      </c>
      <c r="Q70" s="1" t="n">
        <v>5</v>
      </c>
      <c r="R70" s="1" t="n">
        <f aca="false">Q70-P70</f>
        <v>2</v>
      </c>
      <c r="S70" s="1" t="n">
        <v>4</v>
      </c>
      <c r="T70" s="1" t="n">
        <v>9</v>
      </c>
      <c r="U70" s="1" t="n">
        <f aca="false">T70-S70</f>
        <v>5</v>
      </c>
      <c r="V70" s="1" t="n">
        <v>1</v>
      </c>
      <c r="W70" s="1" t="n">
        <v>3</v>
      </c>
      <c r="X70" s="1" t="n">
        <f aca="false">W70-V70</f>
        <v>2</v>
      </c>
      <c r="Y70" s="1" t="n">
        <v>1</v>
      </c>
      <c r="Z70" s="1" t="n">
        <v>3</v>
      </c>
      <c r="AA70" s="1" t="n">
        <f aca="false">Z70-Y70</f>
        <v>2</v>
      </c>
      <c r="AB70" s="1" t="n">
        <v>3</v>
      </c>
      <c r="AC70" s="1" t="n">
        <v>7</v>
      </c>
      <c r="AD70" s="1" t="n">
        <f aca="false">AC70-AB70</f>
        <v>4</v>
      </c>
      <c r="AE70" s="1" t="n">
        <v>2</v>
      </c>
      <c r="AF70" s="1" t="n">
        <v>6</v>
      </c>
      <c r="AG70" s="1" t="n">
        <f aca="false">AF70-AE70</f>
        <v>4</v>
      </c>
      <c r="AM70" s="1" t="n">
        <v>59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W70" s="1" t="n">
        <f aca="false">$AM70</f>
        <v>59</v>
      </c>
      <c r="BX70" s="1" t="n">
        <f aca="false">MAX(BX69-AN70/AN$9*100,0)</f>
        <v>0</v>
      </c>
      <c r="BY70" s="1" t="n">
        <f aca="false">MAX(BY69-AO70/AO$9*100,0)</f>
        <v>0</v>
      </c>
      <c r="BZ70" s="1" t="n">
        <f aca="false">MAX(BZ69-AQ70/AQ$9*100,0)</f>
        <v>0</v>
      </c>
      <c r="CA70" s="1" t="n">
        <f aca="false">MAX(CA69-AR70/AR$9*100,0)</f>
        <v>0</v>
      </c>
      <c r="CB70" s="1" t="n">
        <f aca="false">CB$7*EXP(-$AM70/CB$8)</f>
        <v>1.10417175551688E-031</v>
      </c>
      <c r="CC70" s="1" t="n">
        <f aca="false">(BZ70-CB70)^2</f>
        <v>1.21919526568123E-062</v>
      </c>
      <c r="CD70" s="1" t="n">
        <f aca="false">MAX(CD69-AT70/AT$9*100,0)</f>
        <v>0</v>
      </c>
      <c r="CE70" s="1" t="n">
        <f aca="false">MAX(CE69-AU70/AU$9*100,0)</f>
        <v>5.32907051820075E-015</v>
      </c>
      <c r="CF70" s="1" t="n">
        <f aca="false">CF$7*EXP(-$AM70/CF$8)</f>
        <v>7.682367984749E-031</v>
      </c>
      <c r="CG70" s="1" t="n">
        <f aca="false">(CD70-CF70)^2</f>
        <v>5.90187778530964E-061</v>
      </c>
      <c r="CH70" s="1" t="n">
        <f aca="false">$AM70</f>
        <v>59</v>
      </c>
      <c r="CI70" s="1" t="n">
        <f aca="false">MAX(CI69-AW70/AW$9*100,0)</f>
        <v>0</v>
      </c>
      <c r="CJ70" s="1" t="n">
        <f aca="false">MAX(CJ69-AX70/AX$9*100,0)</f>
        <v>0</v>
      </c>
      <c r="CK70" s="1" t="n">
        <f aca="false">CK$7*EXP(-$AM70/CK$8)</f>
        <v>2.2392365521112E-020</v>
      </c>
      <c r="CL70" s="1" t="n">
        <f aca="false">(CI70-CK70)^2</f>
        <v>5.01418033631085E-040</v>
      </c>
      <c r="CM70" s="1" t="n">
        <f aca="false">MAX(CM69-AZ70/AZ$9*100,0)</f>
        <v>0</v>
      </c>
      <c r="CN70" s="1" t="n">
        <f aca="false">MAX(CN69-BA70/BA$9*100,0)</f>
        <v>5.32907051820075E-015</v>
      </c>
      <c r="CO70" s="1" t="n">
        <f aca="false">CO$7*EXP(-$AM70/CO$8)</f>
        <v>6.3814831294488E-011</v>
      </c>
      <c r="CP70" s="1" t="n">
        <f aca="false">(CM70-CO70)^2</f>
        <v>4.07233269314397E-021</v>
      </c>
      <c r="CQ70" s="1" t="n">
        <f aca="false">$AM70</f>
        <v>59</v>
      </c>
      <c r="CR70" s="1" t="n">
        <f aca="false">MAX(CR69-BC70/BC$9*100,0)</f>
        <v>0</v>
      </c>
      <c r="CS70" s="1" t="n">
        <f aca="false">MAX(CS69-BD70/BD$9*100,0)</f>
        <v>0</v>
      </c>
      <c r="CT70" s="1" t="n">
        <f aca="false">CT$7*EXP(-$AM70/CT$8)</f>
        <v>9.80464683645192E-019</v>
      </c>
      <c r="CU70" s="1" t="n">
        <f aca="false">(CR70-CT70)^2</f>
        <v>9.61310995875466E-037</v>
      </c>
      <c r="CV70" s="1" t="n">
        <f aca="false">MAX(CV69-BF70/BF$9*100,0)</f>
        <v>8.88178419700125E-015</v>
      </c>
      <c r="CW70" s="1" t="n">
        <f aca="false">MAX(CW69-BG70/BG$9*100,0)</f>
        <v>5.32907051820075E-015</v>
      </c>
      <c r="CX70" s="1" t="n">
        <f aca="false">CX$7*EXP(-$AM70/CX$8)</f>
        <v>3.47951440817187E-009</v>
      </c>
      <c r="CY70" s="1" t="n">
        <f aca="false">(CV70-CX70)^2</f>
        <v>1.21069587081624E-017</v>
      </c>
      <c r="CZ70" s="1" t="n">
        <f aca="false">$AM70</f>
        <v>59</v>
      </c>
      <c r="DA70" s="1" t="n">
        <f aca="false">MAX(DA69-BI70/BI$9*100,0)</f>
        <v>0</v>
      </c>
      <c r="DB70" s="1" t="n">
        <f aca="false">MAX(DB69-BJ70/BJ$9*100,0)</f>
        <v>9.88098491916389E-015</v>
      </c>
      <c r="DC70" s="1" t="n">
        <f aca="false">DC$7*EXP(-$AM70/DC$8)</f>
        <v>3.16903449401401E-017</v>
      </c>
      <c r="DD70" s="1" t="n">
        <f aca="false">(DA70-DC70)^2</f>
        <v>1.00427796242506E-033</v>
      </c>
      <c r="DE70" s="1" t="n">
        <f aca="false">MAX(DE69-BL70/BL$9*100,0)</f>
        <v>0</v>
      </c>
      <c r="DF70" s="1" t="n">
        <f aca="false">MAX(DF69-BM70/BM$9*100,0)</f>
        <v>0</v>
      </c>
      <c r="DG70" s="1" t="n">
        <f aca="false">DG$7*EXP(-$AM70/DG$8)</f>
        <v>4.73307557230465E-005</v>
      </c>
      <c r="DH70" s="1" t="n">
        <f aca="false">(DE70-DG70)^2</f>
        <v>2.2402004373147E-009</v>
      </c>
      <c r="DI70" s="1" t="n">
        <f aca="false">$AM70</f>
        <v>59</v>
      </c>
      <c r="DJ70" s="1" t="n">
        <f aca="false">MAX(DJ69-BO70/BO$9*100,0)</f>
        <v>0</v>
      </c>
      <c r="DK70" s="1" t="n">
        <f aca="false">MAX(DK69-BP70/BP$9*100,0)</f>
        <v>9.99200722162641E-015</v>
      </c>
      <c r="DL70" s="1" t="n">
        <f aca="false">DL$7*EXP(-$AM70/DL$8)</f>
        <v>2.85910196595994E-014</v>
      </c>
      <c r="DM70" s="1" t="n">
        <f aca="false">(DJ70-DL70)^2</f>
        <v>8.174464051756E-028</v>
      </c>
      <c r="DN70" s="1" t="n">
        <f aca="false">MAX(DN69-BR70/BR$9*100,0)</f>
        <v>0</v>
      </c>
      <c r="DO70" s="1" t="n">
        <f aca="false">MAX(DO69-BS70/BS$9*100,0)</f>
        <v>0.502512562814067</v>
      </c>
      <c r="DP70" s="1" t="n">
        <f aca="false">DP$7*EXP(-$AM70/DP$8)</f>
        <v>6.72378058144744E-006</v>
      </c>
      <c r="DQ70" s="1" t="n">
        <f aca="false">(DN70-DP70)^2</f>
        <v>4.52092253074497E-011</v>
      </c>
      <c r="DS70" s="1" t="n">
        <f aca="false">$AM70</f>
        <v>59</v>
      </c>
      <c r="DT70" s="1" t="n">
        <f aca="false">CA70</f>
        <v>0</v>
      </c>
      <c r="DU70" s="1" t="n">
        <f aca="false">DU$7*EXP(-DS70/DU$8)</f>
        <v>6.25658968315125E-025</v>
      </c>
      <c r="DV70" s="1" t="n">
        <f aca="false">(DT70-DU70)^2</f>
        <v>3.91449144633147E-049</v>
      </c>
      <c r="DX70" s="1" t="n">
        <f aca="false">$AM70</f>
        <v>59</v>
      </c>
      <c r="DY70" s="1" t="n">
        <f aca="false">CM70</f>
        <v>0</v>
      </c>
      <c r="DZ70" s="1" t="n">
        <f aca="false">DZ$7*EXP(-DX70/DZ$8)</f>
        <v>6.36067069015649E-013</v>
      </c>
      <c r="EA70" s="1" t="n">
        <f aca="false">(DY70-DZ70)^2</f>
        <v>4.04581316286158E-025</v>
      </c>
      <c r="EC70" s="1" t="n">
        <f aca="false">$AM70</f>
        <v>59</v>
      </c>
      <c r="ED70" s="1" t="n">
        <f aca="false">CV70</f>
        <v>8.88178419700125E-015</v>
      </c>
      <c r="EE70" s="1" t="n">
        <f aca="false">EE$7*EXP(-EC70/EE$8)</f>
        <v>9.18421130998326E-010</v>
      </c>
      <c r="EF70" s="1" t="n">
        <f aca="false">(ED70-EE70)^2</f>
        <v>8.43481059506556E-019</v>
      </c>
      <c r="EH70" s="1" t="n">
        <f aca="false">$AM70</f>
        <v>59</v>
      </c>
      <c r="EI70" s="1" t="n">
        <f aca="false">DE70</f>
        <v>0</v>
      </c>
      <c r="EJ70" s="1" t="n">
        <f aca="false">EJ$7*EXP(-EH70/EJ$8)</f>
        <v>4.71343625457725E-005</v>
      </c>
      <c r="EK70" s="1" t="n">
        <f aca="false">(EI70-EJ70)^2</f>
        <v>2.22164813259632E-009</v>
      </c>
      <c r="EM70" s="1" t="n">
        <f aca="false">AM70</f>
        <v>59</v>
      </c>
      <c r="EN70" s="1" t="n">
        <f aca="false">DN70</f>
        <v>0</v>
      </c>
      <c r="EO70" s="1" t="n">
        <f aca="false">EO$7*EXP(-EM70/EO$8)</f>
        <v>1.14572044198059E-005</v>
      </c>
      <c r="EP70" s="1" t="n">
        <f aca="false">(EN70-EO70)^2</f>
        <v>1.3126753311722E-010</v>
      </c>
      <c r="ER70" s="1" t="n">
        <f aca="false">$AM70</f>
        <v>59</v>
      </c>
      <c r="ES70" s="1" t="n">
        <f aca="false">BZ70</f>
        <v>0</v>
      </c>
      <c r="ET70" s="1" t="n">
        <f aca="false">ET$7*EXP(-ER70/ET$8)</f>
        <v>5.73368603833579E-029</v>
      </c>
      <c r="EU70" s="1" t="n">
        <f aca="false">(ES70-ET70)^2</f>
        <v>3.28751555862068E-057</v>
      </c>
      <c r="EW70" s="1" t="n">
        <f aca="false">$AM70</f>
        <v>59</v>
      </c>
      <c r="EX70" s="1" t="n">
        <f aca="false">CI70</f>
        <v>0</v>
      </c>
      <c r="EY70" s="1" t="n">
        <f aca="false">EY$7*EXP(-EW70/EY$8)</f>
        <v>1.70455792096667E-026</v>
      </c>
      <c r="EZ70" s="1" t="n">
        <f aca="false">(EX70-EY70)^2</f>
        <v>2.90551770593022E-052</v>
      </c>
      <c r="FB70" s="1" t="n">
        <f aca="false">$AM70</f>
        <v>59</v>
      </c>
      <c r="FC70" s="1" t="n">
        <f aca="false">CR70</f>
        <v>0</v>
      </c>
      <c r="FD70" s="1" t="n">
        <f aca="false">FD$7*EXP(-FB70/FD$8)</f>
        <v>7.03406305747005E-023</v>
      </c>
      <c r="FE70" s="1" t="n">
        <f aca="false">(FC70-FD70)^2</f>
        <v>4.94780430964649E-045</v>
      </c>
      <c r="FG70" s="1" t="n">
        <f aca="false">$AM70</f>
        <v>59</v>
      </c>
      <c r="FH70" s="1" t="n">
        <f aca="false">DA70</f>
        <v>0</v>
      </c>
      <c r="FI70" s="1" t="n">
        <f aca="false">FI$7*EXP(-FG70/FI$8)</f>
        <v>1.23928284572686E-019</v>
      </c>
      <c r="FJ70" s="1" t="n">
        <f aca="false">(FH70-FI70)^2</f>
        <v>1.53582197171286E-038</v>
      </c>
      <c r="FL70" s="1" t="n">
        <f aca="false">EM70</f>
        <v>59</v>
      </c>
      <c r="FM70" s="1" t="n">
        <f aca="false">DJ70</f>
        <v>0</v>
      </c>
      <c r="FN70" s="1" t="n">
        <f aca="false">FN$7*EXP(-FL70/FN$8)</f>
        <v>1.40669291425345E-015</v>
      </c>
      <c r="FO70" s="1" t="n">
        <f aca="false">(FM70-FN70)^2</f>
        <v>1.97878495501086E-030</v>
      </c>
      <c r="FQ70" s="1" t="n">
        <f aca="false">AM70</f>
        <v>59</v>
      </c>
      <c r="FR70" s="1" t="n">
        <f aca="false">AN70/AN$9*100</f>
        <v>0</v>
      </c>
      <c r="FS70" s="1" t="n">
        <f aca="false">AO70/AO$9*100</f>
        <v>0</v>
      </c>
      <c r="FT70" s="1" t="n">
        <f aca="false">AQ70/AQ$9*100</f>
        <v>0</v>
      </c>
      <c r="FU70" s="1" t="n">
        <f aca="false">AR70/AR$9*100</f>
        <v>0</v>
      </c>
      <c r="FV70" s="1" t="n">
        <f aca="false">AT70/AT$9*100</f>
        <v>0</v>
      </c>
      <c r="FW70" s="1" t="n">
        <f aca="false">AU70/AU$9*100</f>
        <v>0</v>
      </c>
      <c r="FX70" s="1" t="n">
        <f aca="false">AW70/AW$9*100</f>
        <v>0</v>
      </c>
      <c r="FY70" s="1" t="n">
        <f aca="false">AX70/AX$9*100</f>
        <v>0</v>
      </c>
      <c r="FZ70" s="1" t="n">
        <f aca="false">AZ70/AZ$9*100</f>
        <v>0</v>
      </c>
      <c r="GA70" s="1" t="n">
        <f aca="false">BA70/BA$9*100</f>
        <v>0</v>
      </c>
      <c r="GB70" s="1" t="n">
        <f aca="false">BC70/BC$9*100</f>
        <v>0</v>
      </c>
      <c r="GC70" s="1" t="n">
        <f aca="false">BD70/BD$9*100</f>
        <v>0</v>
      </c>
      <c r="GD70" s="1" t="n">
        <f aca="false">BF70/BF$9*100</f>
        <v>0</v>
      </c>
      <c r="GE70" s="1" t="n">
        <f aca="false">BG70/BG$9*100</f>
        <v>0</v>
      </c>
      <c r="GF70" s="1" t="n">
        <f aca="false">BI70/BI$9*100</f>
        <v>0</v>
      </c>
      <c r="GG70" s="1" t="n">
        <f aca="false">BJ70/BJ$9*100</f>
        <v>0</v>
      </c>
      <c r="GH70" s="1" t="n">
        <f aca="false">BL70/BL$9*100</f>
        <v>0</v>
      </c>
      <c r="GI70" s="1" t="n">
        <f aca="false">BM70/BM$9*100</f>
        <v>0</v>
      </c>
      <c r="GJ70" s="1" t="n">
        <f aca="false">BO70/BO$9*100</f>
        <v>0</v>
      </c>
      <c r="GK70" s="1" t="n">
        <f aca="false">BP70/BP$9*100</f>
        <v>0</v>
      </c>
      <c r="GL70" s="1" t="n">
        <f aca="false">BR70/BR$9*100</f>
        <v>0</v>
      </c>
      <c r="GM70" s="1" t="n">
        <f aca="false">BS70/BS$9*100</f>
        <v>0</v>
      </c>
      <c r="GO70" s="1" t="n">
        <f aca="false">$AM70</f>
        <v>59</v>
      </c>
      <c r="GP70" s="1" t="n">
        <f aca="false">FT70</f>
        <v>0</v>
      </c>
      <c r="GQ70" s="1" t="n">
        <f aca="false">GQ$6*(1+GQ$5*(-1)^$FQ70)*EXP(-$FQ70/GQ$4)</f>
        <v>2.72208690137704E-018</v>
      </c>
      <c r="GR70" s="1" t="n">
        <f aca="false">(GP70-GQ70)^2</f>
        <v>7.40975709864846E-036</v>
      </c>
      <c r="GS70" s="1" t="n">
        <f aca="false">EXP($FQ70/$JG$4)*GP70</f>
        <v>0</v>
      </c>
      <c r="GT70" s="1" t="n">
        <f aca="false">EXP($FQ70/$JG$4)*(-1)^$FQ70*GP70</f>
        <v>-0</v>
      </c>
      <c r="GU70" s="1" t="n">
        <f aca="false">(-1)^GO70*GP70</f>
        <v>-0</v>
      </c>
      <c r="GW70" s="1" t="n">
        <f aca="false">$AM70</f>
        <v>59</v>
      </c>
      <c r="GX70" s="1" t="n">
        <f aca="false">FX70</f>
        <v>0</v>
      </c>
      <c r="GY70" s="1" t="n">
        <f aca="false">GY$6*(1+GY$5*(-1)^$FQ70)*EXP(-$FQ70/GY$4)</f>
        <v>2.72208690137704E-018</v>
      </c>
      <c r="GZ70" s="1" t="n">
        <f aca="false">(GX70-GY70)^2</f>
        <v>7.40975709864846E-036</v>
      </c>
      <c r="HA70" s="1" t="n">
        <f aca="false">EXP($FQ70/$JG$4)*GX70</f>
        <v>0</v>
      </c>
      <c r="HB70" s="1" t="n">
        <f aca="false">EXP($FQ70/$JG$4)*(-1)^$FQ70*GX70</f>
        <v>-0</v>
      </c>
      <c r="HC70" s="1" t="n">
        <f aca="false">(-1)^GW70*GX70</f>
        <v>-0</v>
      </c>
      <c r="HE70" s="1" t="n">
        <f aca="false">$AM70</f>
        <v>59</v>
      </c>
      <c r="HF70" s="1" t="n">
        <f aca="false">GB70</f>
        <v>0</v>
      </c>
      <c r="HG70" s="1" t="n">
        <f aca="false">HG$6*(1+HG$5*(-1)^$FQ70)*EXP(-$FQ70/HG$4)</f>
        <v>2.72208690137704E-018</v>
      </c>
      <c r="HH70" s="1" t="n">
        <f aca="false">(HF70-HG70)^2</f>
        <v>7.40975709864846E-036</v>
      </c>
      <c r="HI70" s="1" t="n">
        <f aca="false">EXP($FQ70/$JG$4)*HF70</f>
        <v>0</v>
      </c>
      <c r="HJ70" s="1" t="n">
        <f aca="false">EXP($FQ70/$JG$4)*(-1)^$FQ70*HF70</f>
        <v>-0</v>
      </c>
      <c r="HK70" s="1" t="n">
        <f aca="false">(-1)^HE70*HF70</f>
        <v>-0</v>
      </c>
      <c r="HM70" s="1" t="n">
        <f aca="false">$AM70</f>
        <v>59</v>
      </c>
      <c r="HN70" s="1" t="n">
        <f aca="false">GF70</f>
        <v>0</v>
      </c>
      <c r="HO70" s="1" t="n">
        <f aca="false">HO$6*(1+HO$5*(-1)^$FQ70)*EXP(-$FQ70/HO$4)</f>
        <v>1.64501073169712E-014</v>
      </c>
      <c r="HP70" s="1" t="n">
        <f aca="false">(HN70-HO70)^2</f>
        <v>2.70606030739869E-028</v>
      </c>
      <c r="HQ70" s="1" t="n">
        <f aca="false">EXP($FQ70/$JG$4)*HN70</f>
        <v>0</v>
      </c>
      <c r="HR70" s="1" t="n">
        <f aca="false">EXP($FQ70/$JG$4)*(-1)^$FQ70*HN70</f>
        <v>-0</v>
      </c>
      <c r="HS70" s="1" t="n">
        <f aca="false">(-1)^HM70*HN70</f>
        <v>-0</v>
      </c>
      <c r="HU70" s="1" t="n">
        <f aca="false">$AM70</f>
        <v>59</v>
      </c>
      <c r="HV70" s="1" t="n">
        <f aca="false">GJ70</f>
        <v>0</v>
      </c>
      <c r="HW70" s="1" t="n">
        <f aca="false">HW$6*(1+HW$5*(-1)^$FQ70)*EXP(-$FQ70/HW$4)</f>
        <v>1.43467681755903E-010</v>
      </c>
      <c r="HX70" s="1" t="n">
        <f aca="false">(HV70-HW70)^2</f>
        <v>2.05829757084131E-020</v>
      </c>
      <c r="HY70" s="1" t="n">
        <f aca="false">EXP($FQ70/$JG$4)*HV70</f>
        <v>0</v>
      </c>
      <c r="HZ70" s="1" t="n">
        <f aca="false">EXP($FQ70/$JG$4)*(-1)^$FQ70*HV70</f>
        <v>-0</v>
      </c>
      <c r="IA70" s="1" t="n">
        <f aca="false">(-1)^HU70*HV70</f>
        <v>-0</v>
      </c>
      <c r="ID70" s="1" t="n">
        <f aca="false">$AM70</f>
        <v>59</v>
      </c>
      <c r="IE70" s="1" t="n">
        <f aca="false">FZ70</f>
        <v>0</v>
      </c>
      <c r="IF70" s="1" t="n">
        <f aca="false">IF$6*(1+IF$5*(-1)^$FQ70)*EXP(-$FQ70/IF$4)</f>
        <v>8.17020470064791E-008</v>
      </c>
      <c r="IG70" s="1" t="n">
        <f aca="false">(IE70-IF70)^2</f>
        <v>6.67522448504892E-015</v>
      </c>
      <c r="IH70" s="1" t="n">
        <f aca="false">EXP($FQ70/$JG$4)*IE70</f>
        <v>0</v>
      </c>
      <c r="II70" s="1" t="n">
        <f aca="false">EXP($FQ70/$JG$4)*(-1)^$FQ70*IE70</f>
        <v>-0</v>
      </c>
      <c r="IJ70" s="1" t="n">
        <f aca="false">(-1)^ID70*IE70</f>
        <v>-0</v>
      </c>
      <c r="IK70" s="1" t="n">
        <v>0</v>
      </c>
      <c r="IM70" s="1" t="n">
        <f aca="false">$AM70</f>
        <v>59</v>
      </c>
      <c r="IN70" s="1" t="n">
        <f aca="false">GD70</f>
        <v>0</v>
      </c>
      <c r="IO70" s="1" t="n">
        <f aca="false">IO$6*(1+IO$5*(-1)^$FQ70)*EXP(-$FQ70/IO$4)</f>
        <v>1.05014106385198E-006</v>
      </c>
      <c r="IP70" s="1" t="n">
        <f aca="false">(IN70-IO70)^2</f>
        <v>1.10279625398817E-012</v>
      </c>
      <c r="IQ70" s="1" t="n">
        <f aca="false">EXP($FQ70/$JG$4)*IN70</f>
        <v>0</v>
      </c>
      <c r="IR70" s="1" t="n">
        <f aca="false">EXP($FQ70/$JG$4)*(-1)^$FQ70*IN70</f>
        <v>-0</v>
      </c>
      <c r="IS70" s="1" t="n">
        <f aca="false">(-1)^IM70*IN70</f>
        <v>-0</v>
      </c>
      <c r="IT70" s="1" t="n">
        <v>0</v>
      </c>
      <c r="IV70" s="1" t="n">
        <f aca="false">$AM70</f>
        <v>59</v>
      </c>
      <c r="IW70" s="1" t="n">
        <f aca="false">GH70</f>
        <v>0</v>
      </c>
      <c r="IX70" s="1" t="n">
        <f aca="false">IX$6*(1+IX$5*(-1)^$FQ70)*EXP(-$FQ70/IX$4)</f>
        <v>0.000108873138013059</v>
      </c>
      <c r="IY70" s="1" t="n">
        <f aca="false">(IW70-IX70)^2</f>
        <v>1.18533601808106E-008</v>
      </c>
      <c r="IZ70" s="1" t="n">
        <f aca="false">EXP($FQ70/$JG$4)*IW70</f>
        <v>0</v>
      </c>
      <c r="JA70" s="1" t="n">
        <f aca="false">EXP($FQ70/$JG$4)*(-1)^$FQ70*IW70</f>
        <v>-0</v>
      </c>
      <c r="JB70" s="1" t="n">
        <f aca="false">(-1)^IV70*IW70</f>
        <v>-0</v>
      </c>
      <c r="JE70" s="1" t="n">
        <f aca="false">$AM70</f>
        <v>59</v>
      </c>
      <c r="JF70" s="1" t="n">
        <f aca="false">GL70</f>
        <v>0</v>
      </c>
      <c r="JG70" s="1" t="n">
        <f aca="false">JG$6*(1+JG$5*(-1)^$FQ70)*EXP(-$FQ70/JG$4)</f>
        <v>7.86248796233827E-006</v>
      </c>
      <c r="JH70" s="1" t="n">
        <f aca="false">(JF70-JG70)^2</f>
        <v>6.18187169579142E-011</v>
      </c>
      <c r="JI70" s="1" t="n">
        <f aca="false">EXP($FQ70/$JG$4)*JF70</f>
        <v>0</v>
      </c>
      <c r="JJ70" s="1" t="n">
        <f aca="false">EXP($FQ70/$JG$4)*(-1)^$FQ70*JF70</f>
        <v>-0</v>
      </c>
      <c r="JK70" s="1" t="n">
        <f aca="false">(-1)^JE70*JF70</f>
        <v>-0</v>
      </c>
      <c r="JO70" s="1" t="n">
        <f aca="false">$AM70</f>
        <v>59</v>
      </c>
      <c r="JP70" s="1" t="n">
        <f aca="false">GM70</f>
        <v>0</v>
      </c>
      <c r="JQ70" s="1" t="n">
        <f aca="false">JQ$6*(1+JQ$5*(-1)^$FQ70)*EXP(-$FQ70/JQ$4)</f>
        <v>0.0244246057135561</v>
      </c>
      <c r="JR70" s="1" t="n">
        <f aca="false">(JP70-JQ70)^2</f>
        <v>0.000596561364262677</v>
      </c>
      <c r="JS70" s="1" t="n">
        <f aca="false">EXP($FQ70/$JG$4)*JP70</f>
        <v>0</v>
      </c>
      <c r="JT70" s="1" t="n">
        <f aca="false">EXP($FQ70/$JG$4)*(-1)^$FQ70*JP70</f>
        <v>-0</v>
      </c>
      <c r="JU70" s="1" t="n">
        <f aca="false">(-1)^JO70*JP70</f>
        <v>-0</v>
      </c>
    </row>
    <row r="71" customFormat="false" ht="16" hidden="false" customHeight="false" outlineLevel="0" collapsed="false">
      <c r="A71" s="1" t="n">
        <v>1</v>
      </c>
      <c r="B71" s="1" t="n">
        <v>1</v>
      </c>
      <c r="C71" s="1" t="n">
        <f aca="false">B71-A71</f>
        <v>0</v>
      </c>
      <c r="D71" s="1" t="n">
        <v>2</v>
      </c>
      <c r="E71" s="1" t="n">
        <v>2</v>
      </c>
      <c r="F71" s="1" t="n">
        <f aca="false">E71-D71</f>
        <v>0</v>
      </c>
      <c r="G71" s="1" t="n">
        <v>1</v>
      </c>
      <c r="H71" s="1" t="n">
        <v>1</v>
      </c>
      <c r="I71" s="1" t="n">
        <f aca="false">H71-G71</f>
        <v>0</v>
      </c>
      <c r="J71" s="1" t="n">
        <v>1</v>
      </c>
      <c r="K71" s="1" t="n">
        <v>3</v>
      </c>
      <c r="L71" s="1" t="n">
        <f aca="false">K71-J71</f>
        <v>2</v>
      </c>
      <c r="M71" s="1" t="n">
        <v>2</v>
      </c>
      <c r="N71" s="1" t="n">
        <v>3</v>
      </c>
      <c r="O71" s="1" t="n">
        <f aca="false">N71-M71</f>
        <v>1</v>
      </c>
      <c r="P71" s="1" t="n">
        <v>1</v>
      </c>
      <c r="Q71" s="1" t="n">
        <v>1</v>
      </c>
      <c r="R71" s="1" t="n">
        <f aca="false">Q71-P71</f>
        <v>0</v>
      </c>
      <c r="S71" s="1" t="n">
        <v>6</v>
      </c>
      <c r="T71" s="1" t="n">
        <v>8</v>
      </c>
      <c r="U71" s="1" t="n">
        <f aca="false">T71-S71</f>
        <v>2</v>
      </c>
      <c r="V71" s="1" t="n">
        <v>2</v>
      </c>
      <c r="W71" s="1" t="n">
        <v>4</v>
      </c>
      <c r="X71" s="1" t="n">
        <f aca="false">W71-V71</f>
        <v>2</v>
      </c>
      <c r="Y71" s="1" t="n">
        <v>1</v>
      </c>
      <c r="Z71" s="1" t="n">
        <v>5</v>
      </c>
      <c r="AA71" s="1" t="n">
        <f aca="false">Z71-Y71</f>
        <v>4</v>
      </c>
      <c r="AB71" s="1" t="n">
        <v>4</v>
      </c>
      <c r="AC71" s="1" t="n">
        <v>4</v>
      </c>
      <c r="AD71" s="1" t="n">
        <f aca="false">AC71-AB71</f>
        <v>0</v>
      </c>
      <c r="AE71" s="1" t="n">
        <v>4</v>
      </c>
      <c r="AF71" s="1" t="n">
        <v>20</v>
      </c>
      <c r="AG71" s="1" t="n">
        <f aca="false">AF71-AE71</f>
        <v>16</v>
      </c>
      <c r="AM71" s="1" t="n">
        <v>60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1</v>
      </c>
      <c r="BT71" s="1" t="n">
        <v>0</v>
      </c>
      <c r="BW71" s="1" t="n">
        <f aca="false">$AM71</f>
        <v>60</v>
      </c>
      <c r="BX71" s="1" t="n">
        <f aca="false">MAX(BX70-AN71/AN$9*100,0)</f>
        <v>0</v>
      </c>
      <c r="BY71" s="1" t="n">
        <f aca="false">MAX(BY70-AO71/AO$9*100,0)</f>
        <v>0</v>
      </c>
      <c r="BZ71" s="1" t="n">
        <f aca="false">MAX(BZ70-AQ71/AQ$9*100,0)</f>
        <v>0</v>
      </c>
      <c r="CA71" s="1" t="n">
        <f aca="false">MAX(CA70-AR71/AR$9*100,0)</f>
        <v>0</v>
      </c>
      <c r="CB71" s="1" t="n">
        <f aca="false">CB$7*EXP(-$AM71/CB$8)</f>
        <v>3.01312969902816E-032</v>
      </c>
      <c r="CC71" s="1" t="n">
        <f aca="false">(BZ71-CB71)^2</f>
        <v>9.07895058316553E-064</v>
      </c>
      <c r="CD71" s="1" t="n">
        <f aca="false">MAX(CD70-AT71/AT$9*100,0)</f>
        <v>0</v>
      </c>
      <c r="CE71" s="1" t="n">
        <f aca="false">MAX(CE70-AU71/AU$9*100,0)</f>
        <v>5.32907051820075E-015</v>
      </c>
      <c r="CF71" s="1" t="n">
        <f aca="false">CF$7*EXP(-$AM71/CF$8)</f>
        <v>2.16648284999931E-031</v>
      </c>
      <c r="CG71" s="1" t="n">
        <f aca="false">(CD71-CF71)^2</f>
        <v>4.69364793934113E-062</v>
      </c>
      <c r="CH71" s="1" t="n">
        <f aca="false">$AM71</f>
        <v>60</v>
      </c>
      <c r="CI71" s="1" t="n">
        <f aca="false">MAX(CI70-AW71/AW$9*100,0)</f>
        <v>0</v>
      </c>
      <c r="CJ71" s="1" t="n">
        <f aca="false">MAX(CJ70-AX71/AX$9*100,0)</f>
        <v>0</v>
      </c>
      <c r="CK71" s="1" t="n">
        <f aca="false">CK$7*EXP(-$AM71/CK$8)</f>
        <v>9.52594588044327E-021</v>
      </c>
      <c r="CL71" s="1" t="n">
        <f aca="false">(CI71-CK71)^2</f>
        <v>9.07436449171341E-041</v>
      </c>
      <c r="CM71" s="1" t="n">
        <f aca="false">MAX(CM70-AZ71/AZ$9*100,0)</f>
        <v>0</v>
      </c>
      <c r="CN71" s="1" t="n">
        <f aca="false">MAX(CN70-BA71/BA$9*100,0)</f>
        <v>5.32907051820075E-015</v>
      </c>
      <c r="CO71" s="1" t="n">
        <f aca="false">CO$7*EXP(-$AM71/CO$8)</f>
        <v>3.94571943912266E-011</v>
      </c>
      <c r="CP71" s="1" t="n">
        <f aca="false">(CM71-CO71)^2</f>
        <v>1.55687018922704E-021</v>
      </c>
      <c r="CQ71" s="1" t="n">
        <f aca="false">$AM71</f>
        <v>60</v>
      </c>
      <c r="CR71" s="1" t="n">
        <f aca="false">MAX(CR70-BC71/BC$9*100,0)</f>
        <v>0</v>
      </c>
      <c r="CS71" s="1" t="n">
        <f aca="false">MAX(CS70-BD71/BD$9*100,0)</f>
        <v>0</v>
      </c>
      <c r="CT71" s="1" t="n">
        <f aca="false">CT$7*EXP(-$AM71/CT$8)</f>
        <v>4.4613654124885E-019</v>
      </c>
      <c r="CU71" s="1" t="n">
        <f aca="false">(CR71-CT71)^2</f>
        <v>1.99037813437487E-037</v>
      </c>
      <c r="CV71" s="1" t="n">
        <f aca="false">MAX(CV70-BF71/BF$9*100,0)</f>
        <v>8.88178419700125E-015</v>
      </c>
      <c r="CW71" s="1" t="n">
        <f aca="false">MAX(CW70-BG71/BG$9*100,0)</f>
        <v>5.32907051820075E-015</v>
      </c>
      <c r="CX71" s="1" t="n">
        <f aca="false">CX$7*EXP(-$AM71/CX$8)</f>
        <v>2.30174977554885E-009</v>
      </c>
      <c r="CY71" s="1" t="n">
        <f aca="false">(CV71-CX71)^2</f>
        <v>5.2980111420285E-018</v>
      </c>
      <c r="CZ71" s="1" t="n">
        <f aca="false">$AM71</f>
        <v>60</v>
      </c>
      <c r="DA71" s="1" t="n">
        <f aca="false">MAX(DA70-BI71/BI$9*100,0)</f>
        <v>0</v>
      </c>
      <c r="DB71" s="1" t="n">
        <f aca="false">MAX(DB70-BJ71/BJ$9*100,0)</f>
        <v>9.88098491916389E-015</v>
      </c>
      <c r="DC71" s="1" t="n">
        <f aca="false">DC$7*EXP(-$AM71/DC$8)</f>
        <v>1.52729769008595E-017</v>
      </c>
      <c r="DD71" s="1" t="n">
        <f aca="false">(DA71-DC71)^2</f>
        <v>2.33263823414188E-034</v>
      </c>
      <c r="DE71" s="1" t="n">
        <f aca="false">MAX(DE70-BL71/BL$9*100,0)</f>
        <v>0</v>
      </c>
      <c r="DF71" s="1" t="n">
        <f aca="false">MAX(DF70-BM71/BM$9*100,0)</f>
        <v>0</v>
      </c>
      <c r="DG71" s="1" t="n">
        <f aca="false">DG$7*EXP(-$AM71/DG$8)</f>
        <v>3.686122962047E-005</v>
      </c>
      <c r="DH71" s="1" t="n">
        <f aca="false">(DE71-DG71)^2</f>
        <v>1.35875024913302E-009</v>
      </c>
      <c r="DI71" s="1" t="n">
        <f aca="false">$AM71</f>
        <v>60</v>
      </c>
      <c r="DJ71" s="1" t="n">
        <f aca="false">MAX(DJ70-BO71/BO$9*100,0)</f>
        <v>0</v>
      </c>
      <c r="DK71" s="1" t="n">
        <f aca="false">MAX(DK70-BP71/BP$9*100,0)</f>
        <v>9.99200722162641E-015</v>
      </c>
      <c r="DL71" s="1" t="n">
        <f aca="false">DL$7*EXP(-$AM71/DL$8)</f>
        <v>1.54807255634442E-014</v>
      </c>
      <c r="DM71" s="1" t="n">
        <f aca="false">(DJ71-DL71)^2</f>
        <v>2.39652863970675E-028</v>
      </c>
      <c r="DN71" s="1" t="n">
        <f aca="false">MAX(DN70-BR71/BR$9*100,0)</f>
        <v>0</v>
      </c>
      <c r="DO71" s="1" t="n">
        <f aca="false">MAX(DO70-BS71/BS$9*100,0)</f>
        <v>0</v>
      </c>
      <c r="DP71" s="1" t="n">
        <f aca="false">DP$7*EXP(-$AM71/DP$8)</f>
        <v>5.06505230240561E-006</v>
      </c>
      <c r="DQ71" s="1" t="n">
        <f aca="false">(DN71-DP71)^2</f>
        <v>2.56547548261044E-011</v>
      </c>
      <c r="DS71" s="1" t="n">
        <f aca="false">$AM71</f>
        <v>60</v>
      </c>
      <c r="DT71" s="1" t="n">
        <f aca="false">CA71</f>
        <v>0</v>
      </c>
      <c r="DU71" s="1" t="n">
        <f aca="false">DU$7*EXP(-DS71/DU$8)</f>
        <v>2.23157457234801E-025</v>
      </c>
      <c r="DV71" s="1" t="n">
        <f aca="false">(DT71-DU71)^2</f>
        <v>4.9799250719502E-050</v>
      </c>
      <c r="DX71" s="1" t="n">
        <f aca="false">$AM71</f>
        <v>60</v>
      </c>
      <c r="DY71" s="1" t="n">
        <f aca="false">CM71</f>
        <v>0</v>
      </c>
      <c r="DZ71" s="1" t="n">
        <f aca="false">DZ$7*EXP(-DX71/DZ$8)</f>
        <v>3.62674689177996E-013</v>
      </c>
      <c r="EA71" s="1" t="n">
        <f aca="false">(DY71-DZ71)^2</f>
        <v>1.31532930170356E-025</v>
      </c>
      <c r="EC71" s="1" t="n">
        <f aca="false">$AM71</f>
        <v>60</v>
      </c>
      <c r="ED71" s="1" t="n">
        <f aca="false">CV71</f>
        <v>8.88178419700125E-015</v>
      </c>
      <c r="EE71" s="1" t="n">
        <f aca="false">EE$7*EXP(-EC71/EE$8)</f>
        <v>5.93462964995637E-010</v>
      </c>
      <c r="EF71" s="1" t="n">
        <f aca="false">(ED71-EE71)^2</f>
        <v>3.52187748880331E-019</v>
      </c>
      <c r="EH71" s="1" t="n">
        <f aca="false">$AM71</f>
        <v>60</v>
      </c>
      <c r="EI71" s="1" t="n">
        <f aca="false">DE71</f>
        <v>0</v>
      </c>
      <c r="EJ71" s="1" t="n">
        <f aca="false">EJ$7*EXP(-EH71/EJ$8)</f>
        <v>3.67082784602191E-005</v>
      </c>
      <c r="EK71" s="1" t="n">
        <f aca="false">(EI71-EJ71)^2</f>
        <v>1.34749770751299E-009</v>
      </c>
      <c r="EM71" s="1" t="n">
        <f aca="false">AM71</f>
        <v>60</v>
      </c>
      <c r="EN71" s="1" t="n">
        <f aca="false">DN71</f>
        <v>0</v>
      </c>
      <c r="EO71" s="1" t="n">
        <f aca="false">EO$7*EXP(-EM71/EO$8)</f>
        <v>8.7115186816744E-006</v>
      </c>
      <c r="EP71" s="1" t="n">
        <f aca="false">(EN71-EO71)^2</f>
        <v>7.58905577411621E-011</v>
      </c>
      <c r="ER71" s="1" t="n">
        <f aca="false">$AM71</f>
        <v>60</v>
      </c>
      <c r="ES71" s="1" t="n">
        <f aca="false">BZ71</f>
        <v>0</v>
      </c>
      <c r="ET71" s="1" t="n">
        <f aca="false">ET$7*EXP(-ER71/ET$8)</f>
        <v>1.74347878864482E-029</v>
      </c>
      <c r="EU71" s="1" t="n">
        <f aca="false">(ES71-ET71)^2</f>
        <v>3.03971828645441E-058</v>
      </c>
      <c r="EW71" s="1" t="n">
        <f aca="false">$AM71</f>
        <v>60</v>
      </c>
      <c r="EX71" s="1" t="n">
        <f aca="false">CI71</f>
        <v>0</v>
      </c>
      <c r="EY71" s="1" t="n">
        <f aca="false">EY$7*EXP(-EW71/EY$8)</f>
        <v>5.68021899426424E-027</v>
      </c>
      <c r="EZ71" s="1" t="n">
        <f aca="false">(EX71-EY71)^2</f>
        <v>3.22648878228003E-053</v>
      </c>
      <c r="FB71" s="1" t="n">
        <f aca="false">$AM71</f>
        <v>60</v>
      </c>
      <c r="FC71" s="1" t="n">
        <f aca="false">CR71</f>
        <v>0</v>
      </c>
      <c r="FD71" s="1" t="n">
        <f aca="false">FD$7*EXP(-FB71/FD$8)</f>
        <v>2.71389140115157E-023</v>
      </c>
      <c r="FE71" s="1" t="n">
        <f aca="false">(FC71-FD71)^2</f>
        <v>7.36520653724443E-046</v>
      </c>
      <c r="FG71" s="1" t="n">
        <f aca="false">$AM71</f>
        <v>60</v>
      </c>
      <c r="FH71" s="1" t="n">
        <f aca="false">DA71</f>
        <v>0</v>
      </c>
      <c r="FI71" s="1" t="n">
        <f aca="false">FI$7*EXP(-FG71/FI$8)</f>
        <v>5.42312205266449E-020</v>
      </c>
      <c r="FJ71" s="1" t="n">
        <f aca="false">(FH71-FI71)^2</f>
        <v>2.94102527980959E-039</v>
      </c>
      <c r="FL71" s="1" t="n">
        <f aca="false">EM71</f>
        <v>60</v>
      </c>
      <c r="FM71" s="1" t="n">
        <f aca="false">DJ71</f>
        <v>0</v>
      </c>
      <c r="FN71" s="1" t="n">
        <f aca="false">FN$7*EXP(-FL71/FN$8)</f>
        <v>7.2222022339957E-016</v>
      </c>
      <c r="FO71" s="1" t="n">
        <f aca="false">(FM71-FN71)^2</f>
        <v>5.21602051087325E-031</v>
      </c>
      <c r="FQ71" s="1" t="n">
        <f aca="false">AM71</f>
        <v>60</v>
      </c>
      <c r="FR71" s="1" t="n">
        <f aca="false">AN71/AN$9*100</f>
        <v>0</v>
      </c>
      <c r="FS71" s="1" t="n">
        <f aca="false">AO71/AO$9*100</f>
        <v>0</v>
      </c>
      <c r="FT71" s="1" t="n">
        <f aca="false">AQ71/AQ$9*100</f>
        <v>0</v>
      </c>
      <c r="FU71" s="1" t="n">
        <f aca="false">AR71/AR$9*100</f>
        <v>0</v>
      </c>
      <c r="FV71" s="1" t="n">
        <f aca="false">AT71/AT$9*100</f>
        <v>0</v>
      </c>
      <c r="FW71" s="1" t="n">
        <f aca="false">AU71/AU$9*100</f>
        <v>0</v>
      </c>
      <c r="FX71" s="1" t="n">
        <f aca="false">AW71/AW$9*100</f>
        <v>0</v>
      </c>
      <c r="FY71" s="1" t="n">
        <f aca="false">AX71/AX$9*100</f>
        <v>0</v>
      </c>
      <c r="FZ71" s="1" t="n">
        <f aca="false">AZ71/AZ$9*100</f>
        <v>0</v>
      </c>
      <c r="GA71" s="1" t="n">
        <f aca="false">BA71/BA$9*100</f>
        <v>0</v>
      </c>
      <c r="GB71" s="1" t="n">
        <f aca="false">BC71/BC$9*100</f>
        <v>0</v>
      </c>
      <c r="GC71" s="1" t="n">
        <f aca="false">BD71/BD$9*100</f>
        <v>0</v>
      </c>
      <c r="GD71" s="1" t="n">
        <f aca="false">BF71/BF$9*100</f>
        <v>0</v>
      </c>
      <c r="GE71" s="1" t="n">
        <f aca="false">BG71/BG$9*100</f>
        <v>0</v>
      </c>
      <c r="GF71" s="1" t="n">
        <f aca="false">BI71/BI$9*100</f>
        <v>0</v>
      </c>
      <c r="GG71" s="1" t="n">
        <f aca="false">BJ71/BJ$9*100</f>
        <v>0</v>
      </c>
      <c r="GH71" s="1" t="n">
        <f aca="false">BL71/BL$9*100</f>
        <v>0</v>
      </c>
      <c r="GI71" s="1" t="n">
        <f aca="false">BM71/BM$9*100</f>
        <v>0</v>
      </c>
      <c r="GJ71" s="1" t="n">
        <f aca="false">BO71/BO$9*100</f>
        <v>0</v>
      </c>
      <c r="GK71" s="1" t="n">
        <f aca="false">BP71/BP$9*100</f>
        <v>0</v>
      </c>
      <c r="GL71" s="1" t="n">
        <f aca="false">BR71/BR$9*100</f>
        <v>0</v>
      </c>
      <c r="GM71" s="1" t="n">
        <f aca="false">BS71/BS$9*100</f>
        <v>0.50251256281407</v>
      </c>
      <c r="GO71" s="1" t="n">
        <f aca="false">$AM71</f>
        <v>60</v>
      </c>
      <c r="GP71" s="1" t="n">
        <f aca="false">FT71</f>
        <v>0</v>
      </c>
      <c r="GQ71" s="1" t="n">
        <f aca="false">GQ$6*(1+GQ$5*(-1)^$FQ71)*EXP(-$FQ71/GQ$4)</f>
        <v>3.72826785934932E-018</v>
      </c>
      <c r="GR71" s="1" t="n">
        <f aca="false">(GP71-GQ71)^2</f>
        <v>1.38999812310572E-035</v>
      </c>
      <c r="GS71" s="1" t="n">
        <f aca="false">EXP($FQ71/$JG$4)*GP71</f>
        <v>0</v>
      </c>
      <c r="GT71" s="1" t="n">
        <f aca="false">EXP($FQ71/$JG$4)*(-1)^$FQ71*GP71</f>
        <v>0</v>
      </c>
      <c r="GU71" s="1" t="n">
        <f aca="false">(-1)^GO71*GP71</f>
        <v>0</v>
      </c>
      <c r="GW71" s="1" t="n">
        <f aca="false">$AM71</f>
        <v>60</v>
      </c>
      <c r="GX71" s="1" t="n">
        <f aca="false">FX71</f>
        <v>0</v>
      </c>
      <c r="GY71" s="1" t="n">
        <f aca="false">GY$6*(1+GY$5*(-1)^$FQ71)*EXP(-$FQ71/GY$4)</f>
        <v>3.72826785934932E-018</v>
      </c>
      <c r="GZ71" s="1" t="n">
        <f aca="false">(GX71-GY71)^2</f>
        <v>1.38999812310572E-035</v>
      </c>
      <c r="HA71" s="1" t="n">
        <f aca="false">EXP($FQ71/$JG$4)*GX71</f>
        <v>0</v>
      </c>
      <c r="HB71" s="1" t="n">
        <f aca="false">EXP($FQ71/$JG$4)*(-1)^$FQ71*GX71</f>
        <v>0</v>
      </c>
      <c r="HC71" s="1" t="n">
        <f aca="false">(-1)^GW71*GX71</f>
        <v>0</v>
      </c>
      <c r="HE71" s="1" t="n">
        <f aca="false">$AM71</f>
        <v>60</v>
      </c>
      <c r="HF71" s="1" t="n">
        <f aca="false">GB71</f>
        <v>0</v>
      </c>
      <c r="HG71" s="1" t="n">
        <f aca="false">HG$6*(1+HG$5*(-1)^$FQ71)*EXP(-$FQ71/HG$4)</f>
        <v>3.72826785934932E-018</v>
      </c>
      <c r="HH71" s="1" t="n">
        <f aca="false">(HF71-HG71)^2</f>
        <v>1.38999812310572E-035</v>
      </c>
      <c r="HI71" s="1" t="n">
        <f aca="false">EXP($FQ71/$JG$4)*HF71</f>
        <v>0</v>
      </c>
      <c r="HJ71" s="1" t="n">
        <f aca="false">EXP($FQ71/$JG$4)*(-1)^$FQ71*HF71</f>
        <v>0</v>
      </c>
      <c r="HK71" s="1" t="n">
        <f aca="false">(-1)^HE71*HF71</f>
        <v>0</v>
      </c>
      <c r="HM71" s="1" t="n">
        <f aca="false">$AM71</f>
        <v>60</v>
      </c>
      <c r="HN71" s="1" t="n">
        <f aca="false">GF71</f>
        <v>0</v>
      </c>
      <c r="HO71" s="1" t="n">
        <f aca="false">HO$6*(1+HO$5*(-1)^$FQ71)*EXP(-$FQ71/HO$4)</f>
        <v>4.11768866451972E-014</v>
      </c>
      <c r="HP71" s="1" t="n">
        <f aca="false">(HN71-HO71)^2</f>
        <v>1.69553599379142E-027</v>
      </c>
      <c r="HQ71" s="1" t="n">
        <f aca="false">EXP($FQ71/$JG$4)*HN71</f>
        <v>0</v>
      </c>
      <c r="HR71" s="1" t="n">
        <f aca="false">EXP($FQ71/$JG$4)*(-1)^$FQ71*HN71</f>
        <v>0</v>
      </c>
      <c r="HS71" s="1" t="n">
        <f aca="false">(-1)^HM71*HN71</f>
        <v>0</v>
      </c>
      <c r="HU71" s="1" t="n">
        <f aca="false">$AM71</f>
        <v>60</v>
      </c>
      <c r="HV71" s="1" t="n">
        <f aca="false">GJ71</f>
        <v>0</v>
      </c>
      <c r="HW71" s="1" t="n">
        <f aca="false">HW$6*(1+HW$5*(-1)^$FQ71)*EXP(-$FQ71/HW$4)</f>
        <v>2.76509231712169E-010</v>
      </c>
      <c r="HX71" s="1" t="n">
        <f aca="false">(HV71-HW71)^2</f>
        <v>7.6457355222054E-020</v>
      </c>
      <c r="HY71" s="1" t="n">
        <f aca="false">EXP($FQ71/$JG$4)*HV71</f>
        <v>0</v>
      </c>
      <c r="HZ71" s="1" t="n">
        <f aca="false">EXP($FQ71/$JG$4)*(-1)^$FQ71*HV71</f>
        <v>0</v>
      </c>
      <c r="IA71" s="1" t="n">
        <f aca="false">(-1)^HU71*HV71</f>
        <v>0</v>
      </c>
      <c r="ID71" s="1" t="n">
        <f aca="false">$AM71</f>
        <v>60</v>
      </c>
      <c r="IE71" s="1" t="n">
        <f aca="false">FZ71</f>
        <v>0</v>
      </c>
      <c r="IF71" s="1" t="n">
        <f aca="false">IF$6*(1+IF$5*(-1)^$FQ71)*EXP(-$FQ71/IF$4)</f>
        <v>1.13640498176339E-007</v>
      </c>
      <c r="IG71" s="1" t="n">
        <f aca="false">(IE71-IF71)^2</f>
        <v>1.29141628257665E-014</v>
      </c>
      <c r="IH71" s="1" t="n">
        <f aca="false">EXP($FQ71/$JG$4)*IE71</f>
        <v>0</v>
      </c>
      <c r="II71" s="1" t="n">
        <f aca="false">EXP($FQ71/$JG$4)*(-1)^$FQ71*IE71</f>
        <v>0</v>
      </c>
      <c r="IJ71" s="1" t="n">
        <f aca="false">(-1)^ID71*IE71</f>
        <v>0</v>
      </c>
      <c r="IK71" s="1" t="n">
        <v>0</v>
      </c>
      <c r="IM71" s="1" t="n">
        <f aca="false">$AM71</f>
        <v>60</v>
      </c>
      <c r="IN71" s="1" t="n">
        <f aca="false">GD71</f>
        <v>0</v>
      </c>
      <c r="IO71" s="1" t="n">
        <f aca="false">IO$6*(1+IO$5*(-1)^$FQ71)*EXP(-$FQ71/IO$4)</f>
        <v>1.71610367411848E-006</v>
      </c>
      <c r="IP71" s="1" t="n">
        <f aca="false">(IN71-IO71)^2</f>
        <v>2.94501182032295E-012</v>
      </c>
      <c r="IQ71" s="1" t="n">
        <f aca="false">EXP($FQ71/$JG$4)*IN71</f>
        <v>0</v>
      </c>
      <c r="IR71" s="1" t="n">
        <f aca="false">EXP($FQ71/$JG$4)*(-1)^$FQ71*IN71</f>
        <v>0</v>
      </c>
      <c r="IS71" s="1" t="n">
        <f aca="false">(-1)^IM71*IN71</f>
        <v>0</v>
      </c>
      <c r="IT71" s="1" t="n">
        <v>0</v>
      </c>
      <c r="IV71" s="1" t="n">
        <f aca="false">$AM71</f>
        <v>60</v>
      </c>
      <c r="IW71" s="1" t="n">
        <f aca="false">GH71</f>
        <v>0</v>
      </c>
      <c r="IX71" s="1" t="n">
        <f aca="false">IX$6*(1+IX$5*(-1)^$FQ71)*EXP(-$FQ71/IX$4)</f>
        <v>0.000348350019053724</v>
      </c>
      <c r="IY71" s="1" t="n">
        <f aca="false">(IW71-IX71)^2</f>
        <v>1.2134773577473E-007</v>
      </c>
      <c r="IZ71" s="1" t="n">
        <f aca="false">EXP($FQ71/$JG$4)*IW71</f>
        <v>0</v>
      </c>
      <c r="JA71" s="1" t="n">
        <f aca="false">EXP($FQ71/$JG$4)*(-1)^$FQ71*IW71</f>
        <v>0</v>
      </c>
      <c r="JB71" s="1" t="n">
        <f aca="false">(-1)^IV71*IW71</f>
        <v>0</v>
      </c>
      <c r="JE71" s="1" t="n">
        <f aca="false">$AM71</f>
        <v>60</v>
      </c>
      <c r="JF71" s="1" t="n">
        <f aca="false">GL71</f>
        <v>0</v>
      </c>
      <c r="JG71" s="1" t="n">
        <f aca="false">JG$6*(1+JG$5*(-1)^$FQ71)*EXP(-$FQ71/JG$4)</f>
        <v>4.07514367846727E-005</v>
      </c>
      <c r="JH71" s="1" t="n">
        <f aca="false">(JF71-JG71)^2</f>
        <v>1.66067960001518E-009</v>
      </c>
      <c r="JI71" s="1" t="n">
        <f aca="false">EXP($FQ71/$JG$4)*JF71</f>
        <v>0</v>
      </c>
      <c r="JJ71" s="1" t="n">
        <f aca="false">EXP($FQ71/$JG$4)*(-1)^$FQ71*JF71</f>
        <v>0</v>
      </c>
      <c r="JK71" s="1" t="n">
        <f aca="false">(-1)^JE71*JF71</f>
        <v>0</v>
      </c>
      <c r="JO71" s="1" t="n">
        <f aca="false">$AM71</f>
        <v>60</v>
      </c>
      <c r="JP71" s="1" t="n">
        <f aca="false">GM71</f>
        <v>0.50251256281407</v>
      </c>
      <c r="JQ71" s="1" t="n">
        <f aca="false">JQ$6*(1+JQ$5*(-1)^$FQ71)*EXP(-$FQ71/JQ$4)</f>
        <v>0.118370452138218</v>
      </c>
      <c r="JR71" s="1" t="n">
        <f aca="false">(JP71-JQ71)^2</f>
        <v>0.147565161194499</v>
      </c>
      <c r="JS71" s="1" t="n">
        <f aca="false">EXP($FQ71/$JG$4)*JP71</f>
        <v>615725.760903154</v>
      </c>
      <c r="JT71" s="1" t="n">
        <f aca="false">EXP($FQ71/$JG$4)*(-1)^$FQ71*JP71</f>
        <v>615725.760903154</v>
      </c>
      <c r="JU71" s="1" t="n">
        <f aca="false">(-1)^JO71*JP71</f>
        <v>0.50251256281407</v>
      </c>
    </row>
    <row r="72" customFormat="false" ht="16" hidden="false" customHeight="false" outlineLevel="0" collapsed="false">
      <c r="A72" s="1" t="n">
        <v>2</v>
      </c>
      <c r="B72" s="1" t="n">
        <v>2</v>
      </c>
      <c r="C72" s="1" t="n">
        <f aca="false">B72-A72</f>
        <v>0</v>
      </c>
      <c r="D72" s="1" t="n">
        <v>2</v>
      </c>
      <c r="E72" s="1" t="n">
        <v>2</v>
      </c>
      <c r="F72" s="1" t="n">
        <f aca="false">E72-D72</f>
        <v>0</v>
      </c>
      <c r="G72" s="1" t="n">
        <v>1</v>
      </c>
      <c r="H72" s="1" t="n">
        <v>1</v>
      </c>
      <c r="I72" s="1" t="n">
        <f aca="false">H72-G72</f>
        <v>0</v>
      </c>
      <c r="J72" s="1" t="n">
        <v>1</v>
      </c>
      <c r="K72" s="1" t="n">
        <v>1</v>
      </c>
      <c r="L72" s="1" t="n">
        <f aca="false">K72-J72</f>
        <v>0</v>
      </c>
      <c r="M72" s="1" t="n">
        <v>2</v>
      </c>
      <c r="N72" s="1" t="n">
        <v>2</v>
      </c>
      <c r="O72" s="1" t="n">
        <f aca="false">N72-M72</f>
        <v>0</v>
      </c>
      <c r="P72" s="1" t="n">
        <v>2</v>
      </c>
      <c r="Q72" s="1" t="n">
        <v>2</v>
      </c>
      <c r="R72" s="1" t="n">
        <f aca="false">Q72-P72</f>
        <v>0</v>
      </c>
      <c r="S72" s="1" t="n">
        <v>3</v>
      </c>
      <c r="T72" s="1" t="n">
        <v>3</v>
      </c>
      <c r="U72" s="1" t="n">
        <f aca="false">T72-S72</f>
        <v>0</v>
      </c>
      <c r="V72" s="1" t="n">
        <v>3</v>
      </c>
      <c r="W72" s="1" t="n">
        <v>6</v>
      </c>
      <c r="X72" s="1" t="n">
        <f aca="false">W72-V72</f>
        <v>3</v>
      </c>
      <c r="Y72" s="1" t="n">
        <v>6</v>
      </c>
      <c r="Z72" s="1" t="n">
        <v>10</v>
      </c>
      <c r="AA72" s="1" t="n">
        <f aca="false">Z72-Y72</f>
        <v>4</v>
      </c>
      <c r="AB72" s="1" t="n">
        <v>4</v>
      </c>
      <c r="AC72" s="1" t="n">
        <v>6</v>
      </c>
      <c r="AD72" s="1" t="n">
        <f aca="false">AC72-AB72</f>
        <v>2</v>
      </c>
      <c r="AE72" s="1" t="n">
        <v>2</v>
      </c>
      <c r="AF72" s="1" t="n">
        <v>5</v>
      </c>
      <c r="AG72" s="1" t="n">
        <f aca="false">AF72-AE72</f>
        <v>3</v>
      </c>
      <c r="AM72" s="1" t="n">
        <v>61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W72" s="1" t="n">
        <f aca="false">$AM72</f>
        <v>61</v>
      </c>
      <c r="BX72" s="1" t="n">
        <f aca="false">MAX(BX71-AN72/AN$9*100,0)</f>
        <v>0</v>
      </c>
      <c r="BY72" s="1" t="n">
        <f aca="false">MAX(BY71-AO72/AO$9*100,0)</f>
        <v>0</v>
      </c>
      <c r="BZ72" s="1" t="n">
        <f aca="false">MAX(BZ71-AQ72/AQ$9*100,0)</f>
        <v>0</v>
      </c>
      <c r="CA72" s="1" t="n">
        <f aca="false">MAX(CA71-AR72/AR$9*100,0)</f>
        <v>0</v>
      </c>
      <c r="CB72" s="1" t="n">
        <f aca="false">CB$7*EXP(-$AM72/CB$8)</f>
        <v>8.22240791598185E-033</v>
      </c>
      <c r="CC72" s="1" t="n">
        <f aca="false">(BZ72-CB72)^2</f>
        <v>6.7607991936801E-065</v>
      </c>
      <c r="CD72" s="1" t="n">
        <f aca="false">MAX(CD71-AT72/AT$9*100,0)</f>
        <v>0</v>
      </c>
      <c r="CE72" s="1" t="n">
        <f aca="false">MAX(CE71-AU72/AU$9*100,0)</f>
        <v>5.32907051820075E-015</v>
      </c>
      <c r="CF72" s="1" t="n">
        <f aca="false">CF$7*EXP(-$AM72/CF$8)</f>
        <v>6.10963696175313E-032</v>
      </c>
      <c r="CG72" s="1" t="n">
        <f aca="false">(CD72-CF72)^2</f>
        <v>3.732766380442E-063</v>
      </c>
      <c r="CH72" s="1" t="n">
        <f aca="false">$AM72</f>
        <v>61</v>
      </c>
      <c r="CI72" s="1" t="n">
        <f aca="false">MAX(CI71-AW72/AW$9*100,0)</f>
        <v>0</v>
      </c>
      <c r="CJ72" s="1" t="n">
        <f aca="false">MAX(CJ71-AX72/AX$9*100,0)</f>
        <v>0</v>
      </c>
      <c r="CK72" s="1" t="n">
        <f aca="false">CK$7*EXP(-$AM72/CK$8)</f>
        <v>4.05243674821128E-021</v>
      </c>
      <c r="CL72" s="1" t="n">
        <f aca="false">(CI72-CK72)^2</f>
        <v>1.64222435982532E-041</v>
      </c>
      <c r="CM72" s="1" t="n">
        <f aca="false">MAX(CM71-AZ72/AZ$9*100,0)</f>
        <v>0</v>
      </c>
      <c r="CN72" s="1" t="n">
        <f aca="false">MAX(CN71-BA72/BA$9*100,0)</f>
        <v>5.32907051820075E-015</v>
      </c>
      <c r="CO72" s="1" t="n">
        <f aca="false">CO$7*EXP(-$AM72/CO$8)</f>
        <v>2.439668267777E-011</v>
      </c>
      <c r="CP72" s="1" t="n">
        <f aca="false">(CM72-CO72)^2</f>
        <v>5.95198125679803E-022</v>
      </c>
      <c r="CQ72" s="1" t="n">
        <f aca="false">$AM72</f>
        <v>61</v>
      </c>
      <c r="CR72" s="1" t="n">
        <f aca="false">MAX(CR71-BC72/BC$9*100,0)</f>
        <v>0</v>
      </c>
      <c r="CS72" s="1" t="n">
        <f aca="false">MAX(CS71-BD72/BD$9*100,0)</f>
        <v>0</v>
      </c>
      <c r="CT72" s="1" t="n">
        <f aca="false">CT$7*EXP(-$AM72/CT$8)</f>
        <v>2.03003552047892E-019</v>
      </c>
      <c r="CU72" s="1" t="n">
        <f aca="false">(CR72-CT72)^2</f>
        <v>4.12104421440612E-038</v>
      </c>
      <c r="CV72" s="1" t="n">
        <f aca="false">MAX(CV71-BF72/BF$9*100,0)</f>
        <v>8.88178419700125E-015</v>
      </c>
      <c r="CW72" s="1" t="n">
        <f aca="false">MAX(CW71-BG72/BG$9*100,0)</f>
        <v>5.32907051820075E-015</v>
      </c>
      <c r="CX72" s="1" t="n">
        <f aca="false">CX$7*EXP(-$AM72/CX$8)</f>
        <v>1.52264121016322E-009</v>
      </c>
      <c r="CY72" s="1" t="n">
        <f aca="false">(CV72-CX72)^2</f>
        <v>2.31840920742492E-018</v>
      </c>
      <c r="CZ72" s="1" t="n">
        <f aca="false">$AM72</f>
        <v>61</v>
      </c>
      <c r="DA72" s="1" t="n">
        <f aca="false">MAX(DA71-BI72/BI$9*100,0)</f>
        <v>0</v>
      </c>
      <c r="DB72" s="1" t="n">
        <f aca="false">MAX(DB71-BJ72/BJ$9*100,0)</f>
        <v>9.88098491916389E-015</v>
      </c>
      <c r="DC72" s="1" t="n">
        <f aca="false">DC$7*EXP(-$AM72/DC$8)</f>
        <v>7.36072213334379E-018</v>
      </c>
      <c r="DD72" s="1" t="n">
        <f aca="false">(DA72-DC72)^2</f>
        <v>5.41802303242972E-035</v>
      </c>
      <c r="DE72" s="1" t="n">
        <f aca="false">MAX(DE71-BL72/BL$9*100,0)</f>
        <v>0</v>
      </c>
      <c r="DF72" s="1" t="n">
        <f aca="false">MAX(DF71-BM72/BM$9*100,0)</f>
        <v>0</v>
      </c>
      <c r="DG72" s="1" t="n">
        <f aca="false">DG$7*EXP(-$AM72/DG$8)</f>
        <v>2.87075544933969E-005</v>
      </c>
      <c r="DH72" s="1" t="n">
        <f aca="false">(DE72-DG72)^2</f>
        <v>8.24123684991353E-010</v>
      </c>
      <c r="DI72" s="1" t="n">
        <f aca="false">$AM72</f>
        <v>61</v>
      </c>
      <c r="DJ72" s="1" t="n">
        <f aca="false">MAX(DJ71-BO72/BO$9*100,0)</f>
        <v>0</v>
      </c>
      <c r="DK72" s="1" t="n">
        <f aca="false">MAX(DK71-BP72/BP$9*100,0)</f>
        <v>9.99200722162641E-015</v>
      </c>
      <c r="DL72" s="1" t="n">
        <f aca="false">DL$7*EXP(-$AM72/DL$8)</f>
        <v>8.3821027309955E-015</v>
      </c>
      <c r="DM72" s="1" t="n">
        <f aca="false">(DJ72-DL72)^2</f>
        <v>7.02596461929622E-029</v>
      </c>
      <c r="DN72" s="1" t="n">
        <f aca="false">MAX(DN71-BR72/BR$9*100,0)</f>
        <v>0</v>
      </c>
      <c r="DO72" s="1" t="n">
        <f aca="false">MAX(DO71-BS72/BS$9*100,0)</f>
        <v>0</v>
      </c>
      <c r="DP72" s="1" t="n">
        <f aca="false">DP$7*EXP(-$AM72/DP$8)</f>
        <v>3.81552528601129E-006</v>
      </c>
      <c r="DQ72" s="1" t="n">
        <f aca="false">(DN72-DP72)^2</f>
        <v>1.45582332081915E-011</v>
      </c>
      <c r="DS72" s="1" t="n">
        <f aca="false">$AM72</f>
        <v>61</v>
      </c>
      <c r="DT72" s="1" t="n">
        <f aca="false">CA72</f>
        <v>0</v>
      </c>
      <c r="DU72" s="1" t="n">
        <f aca="false">DU$7*EXP(-DS72/DU$8)</f>
        <v>7.95948803444937E-026</v>
      </c>
      <c r="DV72" s="1" t="n">
        <f aca="false">(DT72-DU72)^2</f>
        <v>6.33534497705427E-051</v>
      </c>
      <c r="DX72" s="1" t="n">
        <f aca="false">$AM72</f>
        <v>61</v>
      </c>
      <c r="DY72" s="1" t="n">
        <f aca="false">CM72</f>
        <v>0</v>
      </c>
      <c r="DZ72" s="1" t="n">
        <f aca="false">DZ$7*EXP(-DX72/DZ$8)</f>
        <v>2.06790976262789E-013</v>
      </c>
      <c r="EA72" s="1" t="n">
        <f aca="false">(DY72-DZ72)^2</f>
        <v>4.27625078637174E-026</v>
      </c>
      <c r="EC72" s="1" t="n">
        <f aca="false">$AM72</f>
        <v>61</v>
      </c>
      <c r="ED72" s="1" t="n">
        <f aca="false">CV72</f>
        <v>8.88178419700125E-015</v>
      </c>
      <c r="EE72" s="1" t="n">
        <f aca="false">EE$7*EXP(-EC72/EE$8)</f>
        <v>3.83482346969274E-010</v>
      </c>
      <c r="EF72" s="1" t="n">
        <f aca="false">(ED72-EE72)^2</f>
        <v>1.4705189850105E-019</v>
      </c>
      <c r="EH72" s="1" t="n">
        <f aca="false">$AM72</f>
        <v>61</v>
      </c>
      <c r="EI72" s="1" t="n">
        <f aca="false">DE72</f>
        <v>0</v>
      </c>
      <c r="EJ72" s="1" t="n">
        <f aca="false">EJ$7*EXP(-EH72/EJ$8)</f>
        <v>2.85884360100218E-005</v>
      </c>
      <c r="EK72" s="1" t="n">
        <f aca="false">(EI72-EJ72)^2</f>
        <v>8.17298673499111E-010</v>
      </c>
      <c r="EM72" s="1" t="n">
        <f aca="false">AM72</f>
        <v>61</v>
      </c>
      <c r="EN72" s="1" t="n">
        <f aca="false">DN72</f>
        <v>0</v>
      </c>
      <c r="EO72" s="1" t="n">
        <f aca="false">EO$7*EXP(-EM72/EO$8)</f>
        <v>6.62382855018031E-006</v>
      </c>
      <c r="EP72" s="1" t="n">
        <f aca="false">(EN72-EO72)^2</f>
        <v>4.38751046621838E-011</v>
      </c>
      <c r="ER72" s="1" t="n">
        <f aca="false">$AM72</f>
        <v>61</v>
      </c>
      <c r="ES72" s="1" t="n">
        <f aca="false">BZ72</f>
        <v>0</v>
      </c>
      <c r="ET72" s="1" t="n">
        <f aca="false">ET$7*EXP(-ER72/ET$8)</f>
        <v>5.30150808071922E-030</v>
      </c>
      <c r="EU72" s="1" t="n">
        <f aca="false">(ES72-ET72)^2</f>
        <v>2.81059879299312E-059</v>
      </c>
      <c r="EW72" s="1" t="n">
        <f aca="false">$AM72</f>
        <v>61</v>
      </c>
      <c r="EX72" s="1" t="n">
        <f aca="false">CI72</f>
        <v>0</v>
      </c>
      <c r="EY72" s="1" t="n">
        <f aca="false">EY$7*EXP(-EW72/EY$8)</f>
        <v>1.89285957525586E-027</v>
      </c>
      <c r="EZ72" s="1" t="n">
        <f aca="false">(EX72-EY72)^2</f>
        <v>3.58291737163779E-054</v>
      </c>
      <c r="FB72" s="1" t="n">
        <f aca="false">$AM72</f>
        <v>61</v>
      </c>
      <c r="FC72" s="1" t="n">
        <f aca="false">CR72</f>
        <v>0</v>
      </c>
      <c r="FD72" s="1" t="n">
        <f aca="false">FD$7*EXP(-FB72/FD$8)</f>
        <v>1.04707712698462E-023</v>
      </c>
      <c r="FE72" s="1" t="n">
        <f aca="false">(FC72-FD72)^2</f>
        <v>1.09637050985437E-046</v>
      </c>
      <c r="FG72" s="1" t="n">
        <f aca="false">$AM72</f>
        <v>61</v>
      </c>
      <c r="FH72" s="1" t="n">
        <f aca="false">DA72</f>
        <v>0</v>
      </c>
      <c r="FI72" s="1" t="n">
        <f aca="false">FI$7*EXP(-FG72/FI$8)</f>
        <v>2.37316710220792E-020</v>
      </c>
      <c r="FJ72" s="1" t="n">
        <f aca="false">(FH72-FI72)^2</f>
        <v>5.63192209500194E-040</v>
      </c>
      <c r="FL72" s="1" t="n">
        <f aca="false">EM72</f>
        <v>61</v>
      </c>
      <c r="FM72" s="1" t="n">
        <f aca="false">DJ72</f>
        <v>0</v>
      </c>
      <c r="FN72" s="1" t="n">
        <f aca="false">FN$7*EXP(-FL72/FN$8)</f>
        <v>3.70800226404883E-016</v>
      </c>
      <c r="FO72" s="1" t="n">
        <f aca="false">(FM72-FN72)^2</f>
        <v>1.37492807901913E-031</v>
      </c>
      <c r="FQ72" s="1" t="n">
        <f aca="false">AM72</f>
        <v>61</v>
      </c>
      <c r="FR72" s="1" t="n">
        <f aca="false">AN72/AN$9*100</f>
        <v>0</v>
      </c>
      <c r="FS72" s="1" t="n">
        <f aca="false">AO72/AO$9*100</f>
        <v>0</v>
      </c>
      <c r="FT72" s="1" t="n">
        <f aca="false">AQ72/AQ$9*100</f>
        <v>0</v>
      </c>
      <c r="FU72" s="1" t="n">
        <f aca="false">AR72/AR$9*100</f>
        <v>0</v>
      </c>
      <c r="FV72" s="1" t="n">
        <f aca="false">AT72/AT$9*100</f>
        <v>0</v>
      </c>
      <c r="FW72" s="1" t="n">
        <f aca="false">AU72/AU$9*100</f>
        <v>0</v>
      </c>
      <c r="FX72" s="1" t="n">
        <f aca="false">AW72/AW$9*100</f>
        <v>0</v>
      </c>
      <c r="FY72" s="1" t="n">
        <f aca="false">AX72/AX$9*100</f>
        <v>0</v>
      </c>
      <c r="FZ72" s="1" t="n">
        <f aca="false">AZ72/AZ$9*100</f>
        <v>0</v>
      </c>
      <c r="GA72" s="1" t="n">
        <f aca="false">BA72/BA$9*100</f>
        <v>0</v>
      </c>
      <c r="GB72" s="1" t="n">
        <f aca="false">BC72/BC$9*100</f>
        <v>0</v>
      </c>
      <c r="GC72" s="1" t="n">
        <f aca="false">BD72/BD$9*100</f>
        <v>0</v>
      </c>
      <c r="GD72" s="1" t="n">
        <f aca="false">BF72/BF$9*100</f>
        <v>0</v>
      </c>
      <c r="GE72" s="1" t="n">
        <f aca="false">BG72/BG$9*100</f>
        <v>0</v>
      </c>
      <c r="GF72" s="1" t="n">
        <f aca="false">BI72/BI$9*100</f>
        <v>0</v>
      </c>
      <c r="GG72" s="1" t="n">
        <f aca="false">BJ72/BJ$9*100</f>
        <v>0</v>
      </c>
      <c r="GH72" s="1" t="n">
        <f aca="false">BL72/BL$9*100</f>
        <v>0</v>
      </c>
      <c r="GI72" s="1" t="n">
        <f aca="false">BM72/BM$9*100</f>
        <v>0</v>
      </c>
      <c r="GJ72" s="1" t="n">
        <f aca="false">BO72/BO$9*100</f>
        <v>0</v>
      </c>
      <c r="GK72" s="1" t="n">
        <f aca="false">BP72/BP$9*100</f>
        <v>0</v>
      </c>
      <c r="GL72" s="1" t="n">
        <f aca="false">BR72/BR$9*100</f>
        <v>0</v>
      </c>
      <c r="GM72" s="1" t="n">
        <f aca="false">BS72/BS$9*100</f>
        <v>0</v>
      </c>
      <c r="GO72" s="1" t="n">
        <f aca="false">$AM72</f>
        <v>61</v>
      </c>
      <c r="GP72" s="1" t="n">
        <f aca="false">FT72</f>
        <v>0</v>
      </c>
      <c r="GQ72" s="1" t="n">
        <f aca="false">GQ$6*(1+GQ$5*(-1)^$FQ72)*EXP(-$FQ72/GQ$4)</f>
        <v>5.9824633053887E-019</v>
      </c>
      <c r="GR72" s="1" t="n">
        <f aca="false">(GP72-GQ72)^2</f>
        <v>3.57898672003223E-037</v>
      </c>
      <c r="GS72" s="1" t="n">
        <f aca="false">EXP($FQ72/$JG$4)*GP72</f>
        <v>0</v>
      </c>
      <c r="GT72" s="1" t="n">
        <f aca="false">EXP($FQ72/$JG$4)*(-1)^$FQ72*GP72</f>
        <v>-0</v>
      </c>
      <c r="GU72" s="1" t="n">
        <f aca="false">(-1)^GO72*GP72</f>
        <v>-0</v>
      </c>
      <c r="GW72" s="1" t="n">
        <f aca="false">$AM72</f>
        <v>61</v>
      </c>
      <c r="GX72" s="1" t="n">
        <f aca="false">FX72</f>
        <v>0</v>
      </c>
      <c r="GY72" s="1" t="n">
        <f aca="false">GY$6*(1+GY$5*(-1)^$FQ72)*EXP(-$FQ72/GY$4)</f>
        <v>5.9824633053887E-019</v>
      </c>
      <c r="GZ72" s="1" t="n">
        <f aca="false">(GX72-GY72)^2</f>
        <v>3.57898672003223E-037</v>
      </c>
      <c r="HA72" s="1" t="n">
        <f aca="false">EXP($FQ72/$JG$4)*GX72</f>
        <v>0</v>
      </c>
      <c r="HB72" s="1" t="n">
        <f aca="false">EXP($FQ72/$JG$4)*(-1)^$FQ72*GX72</f>
        <v>-0</v>
      </c>
      <c r="HC72" s="1" t="n">
        <f aca="false">(-1)^GW72*GX72</f>
        <v>-0</v>
      </c>
      <c r="HE72" s="1" t="n">
        <f aca="false">$AM72</f>
        <v>61</v>
      </c>
      <c r="HF72" s="1" t="n">
        <f aca="false">GB72</f>
        <v>0</v>
      </c>
      <c r="HG72" s="1" t="n">
        <f aca="false">HG$6*(1+HG$5*(-1)^$FQ72)*EXP(-$FQ72/HG$4)</f>
        <v>5.9824633053887E-019</v>
      </c>
      <c r="HH72" s="1" t="n">
        <f aca="false">(HF72-HG72)^2</f>
        <v>3.57898672003223E-037</v>
      </c>
      <c r="HI72" s="1" t="n">
        <f aca="false">EXP($FQ72/$JG$4)*HF72</f>
        <v>0</v>
      </c>
      <c r="HJ72" s="1" t="n">
        <f aca="false">EXP($FQ72/$JG$4)*(-1)^$FQ72*HF72</f>
        <v>-0</v>
      </c>
      <c r="HK72" s="1" t="n">
        <f aca="false">(-1)^HE72*HF72</f>
        <v>-0</v>
      </c>
      <c r="HM72" s="1" t="n">
        <f aca="false">$AM72</f>
        <v>61</v>
      </c>
      <c r="HN72" s="1" t="n">
        <f aca="false">GF72</f>
        <v>0</v>
      </c>
      <c r="HO72" s="1" t="n">
        <f aca="false">HO$6*(1+HO$5*(-1)^$FQ72)*EXP(-$FQ72/HO$4)</f>
        <v>4.96655882320534E-015</v>
      </c>
      <c r="HP72" s="1" t="n">
        <f aca="false">(HN72-HO72)^2</f>
        <v>2.46667065443588E-029</v>
      </c>
      <c r="HQ72" s="1" t="n">
        <f aca="false">EXP($FQ72/$JG$4)*HN72</f>
        <v>0</v>
      </c>
      <c r="HR72" s="1" t="n">
        <f aca="false">EXP($FQ72/$JG$4)*(-1)^$FQ72*HN72</f>
        <v>-0</v>
      </c>
      <c r="HS72" s="1" t="n">
        <f aca="false">(-1)^HM72*HN72</f>
        <v>-0</v>
      </c>
      <c r="HU72" s="1" t="n">
        <f aca="false">$AM72</f>
        <v>61</v>
      </c>
      <c r="HV72" s="1" t="n">
        <f aca="false">GJ72</f>
        <v>0</v>
      </c>
      <c r="HW72" s="1" t="n">
        <f aca="false">HW$6*(1+HW$5*(-1)^$FQ72)*EXP(-$FQ72/HW$4)</f>
        <v>5.92137656883118E-011</v>
      </c>
      <c r="HX72" s="1" t="n">
        <f aca="false">(HV72-HW72)^2</f>
        <v>3.50627004699029E-021</v>
      </c>
      <c r="HY72" s="1" t="n">
        <f aca="false">EXP($FQ72/$JG$4)*HV72</f>
        <v>0</v>
      </c>
      <c r="HZ72" s="1" t="n">
        <f aca="false">EXP($FQ72/$JG$4)*(-1)^$FQ72*HV72</f>
        <v>-0</v>
      </c>
      <c r="IA72" s="1" t="n">
        <f aca="false">(-1)^HU72*HV72</f>
        <v>-0</v>
      </c>
      <c r="ID72" s="1" t="n">
        <f aca="false">$AM72</f>
        <v>61</v>
      </c>
      <c r="IE72" s="1" t="n">
        <f aca="false">FZ72</f>
        <v>0</v>
      </c>
      <c r="IF72" s="1" t="n">
        <f aca="false">IF$6*(1+IF$5*(-1)^$FQ72)*EXP(-$FQ72/IF$4)</f>
        <v>4.1947229593132E-008</v>
      </c>
      <c r="IG72" s="1" t="n">
        <f aca="false">(IE72-IF72)^2</f>
        <v>1.75957007053893E-015</v>
      </c>
      <c r="IH72" s="1" t="n">
        <f aca="false">EXP($FQ72/$JG$4)*IE72</f>
        <v>0</v>
      </c>
      <c r="II72" s="1" t="n">
        <f aca="false">EXP($FQ72/$JG$4)*(-1)^$FQ72*IE72</f>
        <v>-0</v>
      </c>
      <c r="IJ72" s="1" t="n">
        <f aca="false">(-1)^ID72*IE72</f>
        <v>-0</v>
      </c>
      <c r="IK72" s="1" t="n">
        <v>0</v>
      </c>
      <c r="IM72" s="1" t="n">
        <f aca="false">$AM72</f>
        <v>61</v>
      </c>
      <c r="IN72" s="1" t="n">
        <f aca="false">GD72</f>
        <v>0</v>
      </c>
      <c r="IO72" s="1" t="n">
        <f aca="false">IO$6*(1+IO$5*(-1)^$FQ72)*EXP(-$FQ72/IO$4)</f>
        <v>5.93033689421723E-007</v>
      </c>
      <c r="IP72" s="1" t="n">
        <f aca="false">(IN72-IO72)^2</f>
        <v>3.51688956789141E-013</v>
      </c>
      <c r="IQ72" s="1" t="n">
        <f aca="false">EXP($FQ72/$JG$4)*IN72</f>
        <v>0</v>
      </c>
      <c r="IR72" s="1" t="n">
        <f aca="false">EXP($FQ72/$JG$4)*(-1)^$FQ72*IN72</f>
        <v>-0</v>
      </c>
      <c r="IS72" s="1" t="n">
        <f aca="false">(-1)^IM72*IN72</f>
        <v>-0</v>
      </c>
      <c r="IT72" s="1" t="n">
        <v>0</v>
      </c>
      <c r="IV72" s="1" t="n">
        <f aca="false">$AM72</f>
        <v>61</v>
      </c>
      <c r="IW72" s="1" t="n">
        <f aca="false">GH72</f>
        <v>0</v>
      </c>
      <c r="IX72" s="1" t="n">
        <f aca="false">IX$6*(1+IX$5*(-1)^$FQ72)*EXP(-$FQ72/IX$4)</f>
        <v>7.41112948898621E-005</v>
      </c>
      <c r="IY72" s="1" t="n">
        <f aca="false">(IW72-IX72)^2</f>
        <v>5.4924840302521E-009</v>
      </c>
      <c r="IZ72" s="1" t="n">
        <f aca="false">EXP($FQ72/$JG$4)*IW72</f>
        <v>0</v>
      </c>
      <c r="JA72" s="1" t="n">
        <f aca="false">EXP($FQ72/$JG$4)*(-1)^$FQ72*IW72</f>
        <v>-0</v>
      </c>
      <c r="JB72" s="1" t="n">
        <f aca="false">(-1)^IV72*IW72</f>
        <v>-0</v>
      </c>
      <c r="JE72" s="1" t="n">
        <f aca="false">$AM72</f>
        <v>61</v>
      </c>
      <c r="JF72" s="1" t="n">
        <f aca="false">GL72</f>
        <v>0</v>
      </c>
      <c r="JG72" s="1" t="n">
        <f aca="false">JG$6*(1+JG$5*(-1)^$FQ72)*EXP(-$FQ72/JG$4)</f>
        <v>4.9274093906731E-006</v>
      </c>
      <c r="JH72" s="1" t="n">
        <f aca="false">(JF72-JG72)^2</f>
        <v>2.42793633032935E-011</v>
      </c>
      <c r="JI72" s="1" t="n">
        <f aca="false">EXP($FQ72/$JG$4)*JF72</f>
        <v>0</v>
      </c>
      <c r="JJ72" s="1" t="n">
        <f aca="false">EXP($FQ72/$JG$4)*(-1)^$FQ72*JF72</f>
        <v>-0</v>
      </c>
      <c r="JK72" s="1" t="n">
        <f aca="false">(-1)^JE72*JF72</f>
        <v>-0</v>
      </c>
      <c r="JO72" s="1" t="n">
        <f aca="false">$AM72</f>
        <v>61</v>
      </c>
      <c r="JP72" s="1" t="n">
        <f aca="false">GM72</f>
        <v>0</v>
      </c>
      <c r="JQ72" s="1" t="n">
        <f aca="false">JQ$6*(1+JQ$5*(-1)^$FQ72)*EXP(-$FQ72/JQ$4)</f>
        <v>0.0208132760567555</v>
      </c>
      <c r="JR72" s="1" t="n">
        <f aca="false">(JP72-JQ72)^2</f>
        <v>0.000433192460214712</v>
      </c>
      <c r="JS72" s="1" t="n">
        <f aca="false">EXP($FQ72/$JG$4)*JP72</f>
        <v>0</v>
      </c>
      <c r="JT72" s="1" t="n">
        <f aca="false">EXP($FQ72/$JG$4)*(-1)^$FQ72*JP72</f>
        <v>-0</v>
      </c>
      <c r="JU72" s="1" t="n">
        <f aca="false">(-1)^JO72*JP72</f>
        <v>-0</v>
      </c>
    </row>
    <row r="73" customFormat="false" ht="16" hidden="false" customHeight="false" outlineLevel="0" collapsed="false">
      <c r="A73" s="1" t="n">
        <v>2</v>
      </c>
      <c r="B73" s="1" t="n">
        <v>2</v>
      </c>
      <c r="C73" s="1" t="n">
        <f aca="false">B73-A73</f>
        <v>0</v>
      </c>
      <c r="D73" s="1" t="n">
        <v>3</v>
      </c>
      <c r="E73" s="1" t="n">
        <v>3</v>
      </c>
      <c r="F73" s="1" t="n">
        <f aca="false">E73-D73</f>
        <v>0</v>
      </c>
      <c r="G73" s="1" t="n">
        <v>1</v>
      </c>
      <c r="H73" s="1" t="n">
        <v>1</v>
      </c>
      <c r="I73" s="1" t="n">
        <f aca="false">H73-G73</f>
        <v>0</v>
      </c>
      <c r="J73" s="1" t="n">
        <v>1</v>
      </c>
      <c r="K73" s="1" t="n">
        <v>3</v>
      </c>
      <c r="L73" s="1" t="n">
        <f aca="false">K73-J73</f>
        <v>2</v>
      </c>
      <c r="M73" s="1" t="n">
        <v>3</v>
      </c>
      <c r="N73" s="1" t="n">
        <v>3</v>
      </c>
      <c r="O73" s="1" t="n">
        <f aca="false">N73-M73</f>
        <v>0</v>
      </c>
      <c r="P73" s="1" t="n">
        <v>1</v>
      </c>
      <c r="Q73" s="1" t="n">
        <v>1</v>
      </c>
      <c r="R73" s="1" t="n">
        <f aca="false">Q73-P73</f>
        <v>0</v>
      </c>
      <c r="S73" s="1" t="n">
        <v>6</v>
      </c>
      <c r="T73" s="1" t="n">
        <v>8</v>
      </c>
      <c r="U73" s="1" t="n">
        <f aca="false">T73-S73</f>
        <v>2</v>
      </c>
      <c r="V73" s="1" t="n">
        <v>2</v>
      </c>
      <c r="W73" s="1" t="n">
        <v>6</v>
      </c>
      <c r="X73" s="1" t="n">
        <f aca="false">W73-V73</f>
        <v>4</v>
      </c>
      <c r="Y73" s="1" t="n">
        <v>3</v>
      </c>
      <c r="Z73" s="1" t="n">
        <v>5</v>
      </c>
      <c r="AA73" s="1" t="n">
        <f aca="false">Z73-Y73</f>
        <v>2</v>
      </c>
      <c r="AB73" s="1" t="n">
        <v>2</v>
      </c>
      <c r="AC73" s="1" t="n">
        <v>5</v>
      </c>
      <c r="AD73" s="1" t="n">
        <f aca="false">AC73-AB73</f>
        <v>3</v>
      </c>
      <c r="AE73" s="1" t="n">
        <v>4</v>
      </c>
      <c r="AF73" s="1" t="n">
        <v>10</v>
      </c>
      <c r="AG73" s="1" t="n">
        <f aca="false">AF73-AE73</f>
        <v>6</v>
      </c>
      <c r="AM73" s="1" t="n">
        <v>62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  <c r="BT73" s="1" t="n">
        <v>0</v>
      </c>
      <c r="BW73" s="1" t="n">
        <f aca="false">$AM73</f>
        <v>62</v>
      </c>
      <c r="BX73" s="1" t="n">
        <f aca="false">MAX(BX72-AN73/AN$9*100,0)</f>
        <v>0</v>
      </c>
      <c r="BY73" s="1" t="n">
        <f aca="false">MAX(BY72-AO73/AO$9*100,0)</f>
        <v>0</v>
      </c>
      <c r="BZ73" s="1" t="n">
        <f aca="false">MAX(BZ72-AQ73/AQ$9*100,0)</f>
        <v>0</v>
      </c>
      <c r="CA73" s="1" t="n">
        <f aca="false">MAX(CA72-AR73/AR$9*100,0)</f>
        <v>0</v>
      </c>
      <c r="CB73" s="1" t="n">
        <f aca="false">CB$7*EXP(-$AM73/CB$8)</f>
        <v>2.24377968059612E-033</v>
      </c>
      <c r="CC73" s="1" t="n">
        <f aca="false">(BZ73-CB73)^2</f>
        <v>5.03454725505603E-066</v>
      </c>
      <c r="CD73" s="1" t="n">
        <f aca="false">MAX(CD72-AT73/AT$9*100,0)</f>
        <v>0</v>
      </c>
      <c r="CE73" s="1" t="n">
        <f aca="false">MAX(CE72-AU73/AU$9*100,0)</f>
        <v>5.32907051820075E-015</v>
      </c>
      <c r="CF73" s="1" t="n">
        <f aca="false">CF$7*EXP(-$AM73/CF$8)</f>
        <v>1.7229614259089E-032</v>
      </c>
      <c r="CG73" s="1" t="n">
        <f aca="false">(CD73-CF73)^2</f>
        <v>2.96859607517003E-064</v>
      </c>
      <c r="CH73" s="1" t="n">
        <f aca="false">$AM73</f>
        <v>62</v>
      </c>
      <c r="CI73" s="1" t="n">
        <f aca="false">MAX(CI72-AW73/AW$9*100,0)</f>
        <v>0</v>
      </c>
      <c r="CJ73" s="1" t="n">
        <f aca="false">MAX(CJ72-AX73/AX$9*100,0)</f>
        <v>0</v>
      </c>
      <c r="CK73" s="1" t="n">
        <f aca="false">CK$7*EXP(-$AM73/CK$8)</f>
        <v>1.72394886600901E-021</v>
      </c>
      <c r="CL73" s="1" t="n">
        <f aca="false">(CI73-CK73)^2</f>
        <v>2.97199969261375E-042</v>
      </c>
      <c r="CM73" s="1" t="n">
        <f aca="false">MAX(CM72-AZ73/AZ$9*100,0)</f>
        <v>0</v>
      </c>
      <c r="CN73" s="1" t="n">
        <f aca="false">MAX(CN72-BA73/BA$9*100,0)</f>
        <v>5.32907051820075E-015</v>
      </c>
      <c r="CO73" s="1" t="n">
        <f aca="false">CO$7*EXP(-$AM73/CO$8)</f>
        <v>1.50846540120994E-011</v>
      </c>
      <c r="CP73" s="1" t="n">
        <f aca="false">(CM73-CO73)^2</f>
        <v>2.27546786664747E-022</v>
      </c>
      <c r="CQ73" s="1" t="n">
        <f aca="false">$AM73</f>
        <v>62</v>
      </c>
      <c r="CR73" s="1" t="n">
        <f aca="false">MAX(CR72-BC73/BC$9*100,0)</f>
        <v>0</v>
      </c>
      <c r="CS73" s="1" t="n">
        <f aca="false">MAX(CS72-BD73/BD$9*100,0)</f>
        <v>0</v>
      </c>
      <c r="CT73" s="1" t="n">
        <f aca="false">CT$7*EXP(-$AM73/CT$8)</f>
        <v>9.23718152041585E-020</v>
      </c>
      <c r="CU73" s="1" t="n">
        <f aca="false">(CR73-CT73)^2</f>
        <v>8.53255224411121E-039</v>
      </c>
      <c r="CV73" s="1" t="n">
        <f aca="false">MAX(CV72-BF73/BF$9*100,0)</f>
        <v>8.88178419700125E-015</v>
      </c>
      <c r="CW73" s="1" t="n">
        <f aca="false">MAX(CW72-BG73/BG$9*100,0)</f>
        <v>5.32907051820075E-015</v>
      </c>
      <c r="CX73" s="1" t="n">
        <f aca="false">CX$7*EXP(-$AM73/CX$8)</f>
        <v>1.00724947581867E-009</v>
      </c>
      <c r="CY73" s="1" t="n">
        <f aca="false">(CV73-CX73)^2</f>
        <v>1.01453361427092E-018</v>
      </c>
      <c r="CZ73" s="1" t="n">
        <f aca="false">$AM73</f>
        <v>62</v>
      </c>
      <c r="DA73" s="1" t="n">
        <f aca="false">MAX(DA72-BI73/BI$9*100,0)</f>
        <v>0</v>
      </c>
      <c r="DB73" s="1" t="n">
        <f aca="false">MAX(DB72-BJ73/BJ$9*100,0)</f>
        <v>9.88098491916389E-015</v>
      </c>
      <c r="DC73" s="1" t="n">
        <f aca="false">DC$7*EXP(-$AM73/DC$8)</f>
        <v>3.54745709863856E-018</v>
      </c>
      <c r="DD73" s="1" t="n">
        <f aca="false">(DA73-DC73)^2</f>
        <v>1.25844518666811E-035</v>
      </c>
      <c r="DE73" s="1" t="n">
        <f aca="false">MAX(DE72-BL73/BL$9*100,0)</f>
        <v>0</v>
      </c>
      <c r="DF73" s="1" t="n">
        <f aca="false">MAX(DF72-BM73/BM$9*100,0)</f>
        <v>0</v>
      </c>
      <c r="DG73" s="1" t="n">
        <f aca="false">DG$7*EXP(-$AM73/DG$8)</f>
        <v>2.23574659195225E-005</v>
      </c>
      <c r="DH73" s="1" t="n">
        <f aca="false">(DE73-DG73)^2</f>
        <v>4.9985628234261E-010</v>
      </c>
      <c r="DI73" s="1" t="n">
        <f aca="false">$AM73</f>
        <v>62</v>
      </c>
      <c r="DJ73" s="1" t="n">
        <f aca="false">MAX(DJ72-BO73/BO$9*100,0)</f>
        <v>0</v>
      </c>
      <c r="DK73" s="1" t="n">
        <f aca="false">MAX(DK72-BP73/BP$9*100,0)</f>
        <v>9.99200722162641E-015</v>
      </c>
      <c r="DL73" s="1" t="n">
        <f aca="false">DL$7*EXP(-$AM73/DL$8)</f>
        <v>4.53852410890041E-015</v>
      </c>
      <c r="DM73" s="1" t="n">
        <f aca="false">(DJ73-DL73)^2</f>
        <v>2.05982010870703E-029</v>
      </c>
      <c r="DN73" s="1" t="n">
        <f aca="false">MAX(DN72-BR73/BR$9*100,0)</f>
        <v>0</v>
      </c>
      <c r="DO73" s="1" t="n">
        <f aca="false">MAX(DO72-BS73/BS$9*100,0)</f>
        <v>0</v>
      </c>
      <c r="DP73" s="1" t="n">
        <f aca="false">DP$7*EXP(-$AM73/DP$8)</f>
        <v>2.87425130857527E-006</v>
      </c>
      <c r="DQ73" s="1" t="n">
        <f aca="false">(DN73-DP73)^2</f>
        <v>8.26132058484665E-012</v>
      </c>
      <c r="DS73" s="1" t="n">
        <f aca="false">$AM73</f>
        <v>62</v>
      </c>
      <c r="DT73" s="1" t="n">
        <f aca="false">CA73</f>
        <v>0</v>
      </c>
      <c r="DU73" s="1" t="n">
        <f aca="false">DU$7*EXP(-DS73/DU$8)</f>
        <v>2.83895732437407E-026</v>
      </c>
      <c r="DV73" s="1" t="n">
        <f aca="false">(DT73-DU73)^2</f>
        <v>8.05967868961718E-052</v>
      </c>
      <c r="DX73" s="1" t="n">
        <f aca="false">$AM73</f>
        <v>62</v>
      </c>
      <c r="DY73" s="1" t="n">
        <f aca="false">CM73</f>
        <v>0</v>
      </c>
      <c r="DZ73" s="1" t="n">
        <f aca="false">DZ$7*EXP(-DX73/DZ$8)</f>
        <v>1.17908718583694E-013</v>
      </c>
      <c r="EA73" s="1" t="n">
        <f aca="false">(DY73-DZ73)^2</f>
        <v>1.39024659180487E-026</v>
      </c>
      <c r="EC73" s="1" t="n">
        <f aca="false">$AM73</f>
        <v>62</v>
      </c>
      <c r="ED73" s="1" t="n">
        <f aca="false">CV73</f>
        <v>8.88178419700125E-015</v>
      </c>
      <c r="EE73" s="1" t="n">
        <f aca="false">EE$7*EXP(-EC73/EE$8)</f>
        <v>2.47797620257809E-010</v>
      </c>
      <c r="EF73" s="1" t="n">
        <f aca="false">(ED73-EE73)^2</f>
        <v>6.13992589143441E-020</v>
      </c>
      <c r="EH73" s="1" t="n">
        <f aca="false">$AM73</f>
        <v>62</v>
      </c>
      <c r="EI73" s="1" t="n">
        <f aca="false">DE73</f>
        <v>0</v>
      </c>
      <c r="EJ73" s="1" t="n">
        <f aca="false">EJ$7*EXP(-EH73/EJ$8)</f>
        <v>2.22646963513917E-005</v>
      </c>
      <c r="EK73" s="1" t="n">
        <f aca="false">(EI73-EJ73)^2</f>
        <v>4.95716703619675E-010</v>
      </c>
      <c r="EM73" s="1" t="n">
        <f aca="false">AM73</f>
        <v>62</v>
      </c>
      <c r="EN73" s="1" t="n">
        <f aca="false">DN73</f>
        <v>0</v>
      </c>
      <c r="EO73" s="1" t="n">
        <f aca="false">EO$7*EXP(-EM73/EO$8)</f>
        <v>5.03644729069797E-006</v>
      </c>
      <c r="EP73" s="1" t="n">
        <f aca="false">(EN73-EO73)^2</f>
        <v>2.53658013119789E-011</v>
      </c>
      <c r="ER73" s="1" t="n">
        <f aca="false">$AM73</f>
        <v>62</v>
      </c>
      <c r="ES73" s="1" t="n">
        <f aca="false">BZ73</f>
        <v>0</v>
      </c>
      <c r="ET73" s="1" t="n">
        <f aca="false">ET$7*EXP(-ER73/ET$8)</f>
        <v>1.61206365761281E-030</v>
      </c>
      <c r="EU73" s="1" t="n">
        <f aca="false">(ES73-ET73)^2</f>
        <v>2.59874923619599E-060</v>
      </c>
      <c r="EW73" s="1" t="n">
        <f aca="false">$AM73</f>
        <v>62</v>
      </c>
      <c r="EX73" s="1" t="n">
        <f aca="false">CI73</f>
        <v>0</v>
      </c>
      <c r="EY73" s="1" t="n">
        <f aca="false">EY$7*EXP(-EW73/EY$8)</f>
        <v>6.30770992325437E-028</v>
      </c>
      <c r="EZ73" s="1" t="n">
        <f aca="false">(EX73-EY73)^2</f>
        <v>3.97872044759217E-055</v>
      </c>
      <c r="FB73" s="1" t="n">
        <f aca="false">$AM73</f>
        <v>62</v>
      </c>
      <c r="FC73" s="1" t="n">
        <f aca="false">CR73</f>
        <v>0</v>
      </c>
      <c r="FD73" s="1" t="n">
        <f aca="false">FD$7*EXP(-FB73/FD$8)</f>
        <v>4.03984665484091E-024</v>
      </c>
      <c r="FE73" s="1" t="n">
        <f aca="false">(FC73-FD73)^2</f>
        <v>1.63203609946293E-047</v>
      </c>
      <c r="FG73" s="1" t="n">
        <f aca="false">$AM73</f>
        <v>62</v>
      </c>
      <c r="FH73" s="1" t="n">
        <f aca="false">DA73</f>
        <v>0</v>
      </c>
      <c r="FI73" s="1" t="n">
        <f aca="false">FI$7*EXP(-FG73/FI$8)</f>
        <v>1.03850181506331E-020</v>
      </c>
      <c r="FJ73" s="1" t="n">
        <f aca="false">(FH73-FI73)^2</f>
        <v>1.07848601988979E-040</v>
      </c>
      <c r="FL73" s="1" t="n">
        <f aca="false">EM73</f>
        <v>62</v>
      </c>
      <c r="FM73" s="1" t="n">
        <f aca="false">DJ73</f>
        <v>0</v>
      </c>
      <c r="FN73" s="1" t="n">
        <f aca="false">FN$7*EXP(-FL73/FN$8)</f>
        <v>1.90375183977427E-016</v>
      </c>
      <c r="FO73" s="1" t="n">
        <f aca="false">(FM73-FN73)^2</f>
        <v>3.62427106744392E-032</v>
      </c>
      <c r="FQ73" s="1" t="n">
        <f aca="false">AM73</f>
        <v>62</v>
      </c>
      <c r="FR73" s="1" t="n">
        <f aca="false">AN73/AN$9*100</f>
        <v>0</v>
      </c>
      <c r="FS73" s="1" t="n">
        <f aca="false">AO73/AO$9*100</f>
        <v>0</v>
      </c>
      <c r="FT73" s="1" t="n">
        <f aca="false">AQ73/AQ$9*100</f>
        <v>0</v>
      </c>
      <c r="FU73" s="1" t="n">
        <f aca="false">AR73/AR$9*100</f>
        <v>0</v>
      </c>
      <c r="FV73" s="1" t="n">
        <f aca="false">AT73/AT$9*100</f>
        <v>0</v>
      </c>
      <c r="FW73" s="1" t="n">
        <f aca="false">AU73/AU$9*100</f>
        <v>0</v>
      </c>
      <c r="FX73" s="1" t="n">
        <f aca="false">AW73/AW$9*100</f>
        <v>0</v>
      </c>
      <c r="FY73" s="1" t="n">
        <f aca="false">AX73/AX$9*100</f>
        <v>0</v>
      </c>
      <c r="FZ73" s="1" t="n">
        <f aca="false">AZ73/AZ$9*100</f>
        <v>0</v>
      </c>
      <c r="GA73" s="1" t="n">
        <f aca="false">BA73/BA$9*100</f>
        <v>0</v>
      </c>
      <c r="GB73" s="1" t="n">
        <f aca="false">BC73/BC$9*100</f>
        <v>0</v>
      </c>
      <c r="GC73" s="1" t="n">
        <f aca="false">BD73/BD$9*100</f>
        <v>0</v>
      </c>
      <c r="GD73" s="1" t="n">
        <f aca="false">BF73/BF$9*100</f>
        <v>0</v>
      </c>
      <c r="GE73" s="1" t="n">
        <f aca="false">BG73/BG$9*100</f>
        <v>0</v>
      </c>
      <c r="GF73" s="1" t="n">
        <f aca="false">BI73/BI$9*100</f>
        <v>0</v>
      </c>
      <c r="GG73" s="1" t="n">
        <f aca="false">BJ73/BJ$9*100</f>
        <v>0</v>
      </c>
      <c r="GH73" s="1" t="n">
        <f aca="false">BL73/BL$9*100</f>
        <v>0</v>
      </c>
      <c r="GI73" s="1" t="n">
        <f aca="false">BM73/BM$9*100</f>
        <v>0</v>
      </c>
      <c r="GJ73" s="1" t="n">
        <f aca="false">BO73/BO$9*100</f>
        <v>0</v>
      </c>
      <c r="GK73" s="1" t="n">
        <f aca="false">BP73/BP$9*100</f>
        <v>0</v>
      </c>
      <c r="GL73" s="1" t="n">
        <f aca="false">BR73/BR$9*100</f>
        <v>0</v>
      </c>
      <c r="GM73" s="1" t="n">
        <f aca="false">BS73/BS$9*100</f>
        <v>0</v>
      </c>
      <c r="GO73" s="1" t="n">
        <f aca="false">$AM73</f>
        <v>62</v>
      </c>
      <c r="GP73" s="1" t="n">
        <f aca="false">FT73</f>
        <v>0</v>
      </c>
      <c r="GQ73" s="1" t="n">
        <f aca="false">GQ$6*(1+GQ$5*(-1)^$FQ73)*EXP(-$FQ73/GQ$4)</f>
        <v>8.19379632954929E-019</v>
      </c>
      <c r="GR73" s="1" t="n">
        <f aca="false">(GP73-GQ73)^2</f>
        <v>6.71382982901354E-037</v>
      </c>
      <c r="GS73" s="1" t="n">
        <f aca="false">EXP($FQ73/$JG$4)*GP73</f>
        <v>0</v>
      </c>
      <c r="GT73" s="1" t="n">
        <f aca="false">EXP($FQ73/$JG$4)*(-1)^$FQ73*GP73</f>
        <v>0</v>
      </c>
      <c r="GU73" s="1" t="n">
        <f aca="false">(-1)^GO73*GP73</f>
        <v>0</v>
      </c>
      <c r="GW73" s="1" t="n">
        <f aca="false">$AM73</f>
        <v>62</v>
      </c>
      <c r="GX73" s="1" t="n">
        <f aca="false">FX73</f>
        <v>0</v>
      </c>
      <c r="GY73" s="1" t="n">
        <f aca="false">GY$6*(1+GY$5*(-1)^$FQ73)*EXP(-$FQ73/GY$4)</f>
        <v>8.19379632954929E-019</v>
      </c>
      <c r="GZ73" s="1" t="n">
        <f aca="false">(GX73-GY73)^2</f>
        <v>6.71382982901354E-037</v>
      </c>
      <c r="HA73" s="1" t="n">
        <f aca="false">EXP($FQ73/$JG$4)*GX73</f>
        <v>0</v>
      </c>
      <c r="HB73" s="1" t="n">
        <f aca="false">EXP($FQ73/$JG$4)*(-1)^$FQ73*GX73</f>
        <v>0</v>
      </c>
      <c r="HC73" s="1" t="n">
        <f aca="false">(-1)^GW73*GX73</f>
        <v>0</v>
      </c>
      <c r="HE73" s="1" t="n">
        <f aca="false">$AM73</f>
        <v>62</v>
      </c>
      <c r="HF73" s="1" t="n">
        <f aca="false">GB73</f>
        <v>0</v>
      </c>
      <c r="HG73" s="1" t="n">
        <f aca="false">HG$6*(1+HG$5*(-1)^$FQ73)*EXP(-$FQ73/HG$4)</f>
        <v>8.19379632954929E-019</v>
      </c>
      <c r="HH73" s="1" t="n">
        <f aca="false">(HF73-HG73)^2</f>
        <v>6.71382982901354E-037</v>
      </c>
      <c r="HI73" s="1" t="n">
        <f aca="false">EXP($FQ73/$JG$4)*HF73</f>
        <v>0</v>
      </c>
      <c r="HJ73" s="1" t="n">
        <f aca="false">EXP($FQ73/$JG$4)*(-1)^$FQ73*HF73</f>
        <v>0</v>
      </c>
      <c r="HK73" s="1" t="n">
        <f aca="false">(-1)^HE73*HF73</f>
        <v>0</v>
      </c>
      <c r="HM73" s="1" t="n">
        <f aca="false">$AM73</f>
        <v>62</v>
      </c>
      <c r="HN73" s="1" t="n">
        <f aca="false">GF73</f>
        <v>0</v>
      </c>
      <c r="HO73" s="1" t="n">
        <f aca="false">HO$6*(1+HO$5*(-1)^$FQ73)*EXP(-$FQ73/HO$4)</f>
        <v>1.24319814904092E-014</v>
      </c>
      <c r="HP73" s="1" t="n">
        <f aca="false">(HN73-HO73)^2</f>
        <v>1.54554163777877E-028</v>
      </c>
      <c r="HQ73" s="1" t="n">
        <f aca="false">EXP($FQ73/$JG$4)*HN73</f>
        <v>0</v>
      </c>
      <c r="HR73" s="1" t="n">
        <f aca="false">EXP($FQ73/$JG$4)*(-1)^$FQ73*HN73</f>
        <v>0</v>
      </c>
      <c r="HS73" s="1" t="n">
        <f aca="false">(-1)^HM73*HN73</f>
        <v>0</v>
      </c>
      <c r="HU73" s="1" t="n">
        <f aca="false">$AM73</f>
        <v>62</v>
      </c>
      <c r="HV73" s="1" t="n">
        <f aca="false">GJ73</f>
        <v>0</v>
      </c>
      <c r="HW73" s="1" t="n">
        <f aca="false">HW$6*(1+HW$5*(-1)^$FQ73)*EXP(-$FQ73/HW$4)</f>
        <v>1.14124328607448E-010</v>
      </c>
      <c r="HX73" s="1" t="n">
        <f aca="false">(HV73-HW73)^2</f>
        <v>1.30243623801008E-020</v>
      </c>
      <c r="HY73" s="1" t="n">
        <f aca="false">EXP($FQ73/$JG$4)*HV73</f>
        <v>0</v>
      </c>
      <c r="HZ73" s="1" t="n">
        <f aca="false">EXP($FQ73/$JG$4)*(-1)^$FQ73*HV73</f>
        <v>0</v>
      </c>
      <c r="IA73" s="1" t="n">
        <f aca="false">(-1)^HU73*HV73</f>
        <v>0</v>
      </c>
      <c r="ID73" s="1" t="n">
        <f aca="false">$AM73</f>
        <v>62</v>
      </c>
      <c r="IE73" s="1" t="n">
        <f aca="false">FZ73</f>
        <v>0</v>
      </c>
      <c r="IF73" s="1" t="n">
        <f aca="false">IF$6*(1+IF$5*(-1)^$FQ73)*EXP(-$FQ73/IF$4)</f>
        <v>5.83449771791242E-008</v>
      </c>
      <c r="IG73" s="1" t="n">
        <f aca="false">(IE73-IF73)^2</f>
        <v>3.40413636203252E-015</v>
      </c>
      <c r="IH73" s="1" t="n">
        <f aca="false">EXP($FQ73/$JG$4)*IE73</f>
        <v>0</v>
      </c>
      <c r="II73" s="1" t="n">
        <f aca="false">EXP($FQ73/$JG$4)*(-1)^$FQ73*IE73</f>
        <v>0</v>
      </c>
      <c r="IJ73" s="1" t="n">
        <f aca="false">(-1)^ID73*IE73</f>
        <v>0</v>
      </c>
      <c r="IK73" s="1" t="n">
        <v>0</v>
      </c>
      <c r="IM73" s="1" t="n">
        <f aca="false">$AM73</f>
        <v>62</v>
      </c>
      <c r="IN73" s="1" t="n">
        <f aca="false">GD73</f>
        <v>0</v>
      </c>
      <c r="IO73" s="1" t="n">
        <f aca="false">IO$6*(1+IO$5*(-1)^$FQ73)*EXP(-$FQ73/IO$4)</f>
        <v>9.69114844018804E-007</v>
      </c>
      <c r="IP73" s="1" t="n">
        <f aca="false">(IN73-IO73)^2</f>
        <v>9.39183580897591E-013</v>
      </c>
      <c r="IQ73" s="1" t="n">
        <f aca="false">EXP($FQ73/$JG$4)*IN73</f>
        <v>0</v>
      </c>
      <c r="IR73" s="1" t="n">
        <f aca="false">EXP($FQ73/$JG$4)*(-1)^$FQ73*IN73</f>
        <v>0</v>
      </c>
      <c r="IS73" s="1" t="n">
        <f aca="false">(-1)^IM73*IN73</f>
        <v>0</v>
      </c>
      <c r="IT73" s="1" t="n">
        <v>0</v>
      </c>
      <c r="IV73" s="1" t="n">
        <f aca="false">$AM73</f>
        <v>62</v>
      </c>
      <c r="IW73" s="1" t="n">
        <f aca="false">GH73</f>
        <v>0</v>
      </c>
      <c r="IX73" s="1" t="n">
        <f aca="false">IX$6*(1+IX$5*(-1)^$FQ73)*EXP(-$FQ73/IX$4)</f>
        <v>0.000237126176926058</v>
      </c>
      <c r="IY73" s="1" t="n">
        <f aca="false">(IW73-IX73)^2</f>
        <v>5.62288237835682E-008</v>
      </c>
      <c r="IZ73" s="1" t="n">
        <f aca="false">EXP($FQ73/$JG$4)*IW73</f>
        <v>0</v>
      </c>
      <c r="JA73" s="1" t="n">
        <f aca="false">EXP($FQ73/$JG$4)*(-1)^$FQ73*IW73</f>
        <v>0</v>
      </c>
      <c r="JB73" s="1" t="n">
        <f aca="false">(-1)^IV73*IW73</f>
        <v>0</v>
      </c>
      <c r="JE73" s="1" t="n">
        <f aca="false">$AM73</f>
        <v>62</v>
      </c>
      <c r="JF73" s="1" t="n">
        <f aca="false">GL73</f>
        <v>0</v>
      </c>
      <c r="JG73" s="1" t="n">
        <f aca="false">JG$6*(1+JG$5*(-1)^$FQ73)*EXP(-$FQ73/JG$4)</f>
        <v>2.55388641938856E-005</v>
      </c>
      <c r="JH73" s="1" t="n">
        <f aca="false">(JF73-JG73)^2</f>
        <v>6.52233584313732E-010</v>
      </c>
      <c r="JI73" s="1" t="n">
        <f aca="false">EXP($FQ73/$JG$4)*JF73</f>
        <v>0</v>
      </c>
      <c r="JJ73" s="1" t="n">
        <f aca="false">EXP($FQ73/$JG$4)*(-1)^$FQ73*JF73</f>
        <v>0</v>
      </c>
      <c r="JK73" s="1" t="n">
        <f aca="false">(-1)^JE73*JF73</f>
        <v>0</v>
      </c>
      <c r="JO73" s="1" t="n">
        <f aca="false">$AM73</f>
        <v>62</v>
      </c>
      <c r="JP73" s="1" t="n">
        <f aca="false">GM73</f>
        <v>0</v>
      </c>
      <c r="JQ73" s="1" t="n">
        <f aca="false">JQ$6*(1+JQ$5*(-1)^$FQ73)*EXP(-$FQ73/JQ$4)</f>
        <v>0.100868645586705</v>
      </c>
      <c r="JR73" s="1" t="n">
        <f aca="false">(JP73-JQ73)^2</f>
        <v>0.0101744836624963</v>
      </c>
      <c r="JS73" s="1" t="n">
        <f aca="false">EXP($FQ73/$JG$4)*JP73</f>
        <v>0</v>
      </c>
      <c r="JT73" s="1" t="n">
        <f aca="false">EXP($FQ73/$JG$4)*(-1)^$FQ73*JP73</f>
        <v>0</v>
      </c>
      <c r="JU73" s="1" t="n">
        <f aca="false">(-1)^JO73*JP73</f>
        <v>0</v>
      </c>
    </row>
    <row r="74" customFormat="false" ht="16" hidden="false" customHeight="false" outlineLevel="0" collapsed="false">
      <c r="A74" s="1" t="n">
        <v>2</v>
      </c>
      <c r="B74" s="1" t="n">
        <v>2</v>
      </c>
      <c r="C74" s="1" t="n">
        <f aca="false">B74-A74</f>
        <v>0</v>
      </c>
      <c r="D74" s="1" t="n">
        <v>3</v>
      </c>
      <c r="E74" s="1" t="n">
        <v>3</v>
      </c>
      <c r="F74" s="1" t="n">
        <f aca="false">E74-D74</f>
        <v>0</v>
      </c>
      <c r="G74" s="1" t="n">
        <v>1</v>
      </c>
      <c r="H74" s="1" t="n">
        <v>1</v>
      </c>
      <c r="I74" s="1" t="n">
        <f aca="false">H74-G74</f>
        <v>0</v>
      </c>
      <c r="J74" s="1" t="n">
        <v>2</v>
      </c>
      <c r="K74" s="1" t="n">
        <v>4</v>
      </c>
      <c r="L74" s="1" t="n">
        <f aca="false">K74-J74</f>
        <v>2</v>
      </c>
      <c r="M74" s="1" t="n">
        <v>2</v>
      </c>
      <c r="N74" s="1" t="n">
        <v>2</v>
      </c>
      <c r="O74" s="1" t="n">
        <f aca="false">N74-M74</f>
        <v>0</v>
      </c>
      <c r="P74" s="1" t="n">
        <v>2</v>
      </c>
      <c r="Q74" s="1" t="n">
        <v>2</v>
      </c>
      <c r="R74" s="1" t="n">
        <f aca="false">Q74-P74</f>
        <v>0</v>
      </c>
      <c r="S74" s="1" t="n">
        <v>2</v>
      </c>
      <c r="T74" s="1" t="n">
        <v>2</v>
      </c>
      <c r="U74" s="1" t="n">
        <f aca="false">T74-S74</f>
        <v>0</v>
      </c>
      <c r="V74" s="1" t="n">
        <v>2</v>
      </c>
      <c r="W74" s="1" t="n">
        <v>6</v>
      </c>
      <c r="X74" s="1" t="n">
        <f aca="false">W74-V74</f>
        <v>4</v>
      </c>
      <c r="Y74" s="1" t="n">
        <v>4</v>
      </c>
      <c r="Z74" s="1" t="n">
        <v>12</v>
      </c>
      <c r="AA74" s="1" t="n">
        <f aca="false">Z74-Y74</f>
        <v>8</v>
      </c>
      <c r="AB74" s="1" t="n">
        <v>4</v>
      </c>
      <c r="AC74" s="1" t="n">
        <v>6</v>
      </c>
      <c r="AD74" s="1" t="n">
        <f aca="false">AC74-AB74</f>
        <v>2</v>
      </c>
      <c r="AE74" s="1" t="n">
        <v>3</v>
      </c>
      <c r="AF74" s="1" t="n">
        <v>16</v>
      </c>
      <c r="AG74" s="1" t="n">
        <f aca="false">AF74-AE74</f>
        <v>13</v>
      </c>
      <c r="AM74" s="1" t="n">
        <v>63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0</v>
      </c>
      <c r="BT74" s="1" t="n">
        <v>0</v>
      </c>
      <c r="BW74" s="1" t="n">
        <f aca="false">$AM74</f>
        <v>63</v>
      </c>
      <c r="BX74" s="1" t="n">
        <f aca="false">MAX(BX73-AN74/AN$9*100,0)</f>
        <v>0</v>
      </c>
      <c r="BY74" s="1" t="n">
        <f aca="false">MAX(BY73-AO74/AO$9*100,0)</f>
        <v>0</v>
      </c>
      <c r="BZ74" s="1" t="n">
        <f aca="false">MAX(BZ73-AQ74/AQ$9*100,0)</f>
        <v>0</v>
      </c>
      <c r="CA74" s="1" t="n">
        <f aca="false">MAX(CA73-AR74/AR$9*100,0)</f>
        <v>0</v>
      </c>
      <c r="CB74" s="1" t="n">
        <f aca="false">CB$7*EXP(-$AM74/CB$8)</f>
        <v>6.12295972968025E-034</v>
      </c>
      <c r="CC74" s="1" t="n">
        <f aca="false">(BZ74-CB74)^2</f>
        <v>3.7490635851286E-067</v>
      </c>
      <c r="CD74" s="1" t="n">
        <f aca="false">MAX(CD73-AT74/AT$9*100,0)</f>
        <v>0</v>
      </c>
      <c r="CE74" s="1" t="n">
        <f aca="false">MAX(CE73-AU74/AU$9*100,0)</f>
        <v>5.32907051820075E-015</v>
      </c>
      <c r="CF74" s="1" t="n">
        <f aca="false">CF$7*EXP(-$AM74/CF$8)</f>
        <v>4.85887474780207E-033</v>
      </c>
      <c r="CG74" s="1" t="n">
        <f aca="false">(CD74-CF74)^2</f>
        <v>2.36086638148286E-065</v>
      </c>
      <c r="CH74" s="1" t="n">
        <f aca="false">$AM74</f>
        <v>63</v>
      </c>
      <c r="CI74" s="1" t="n">
        <f aca="false">MAX(CI73-AW74/AW$9*100,0)</f>
        <v>0</v>
      </c>
      <c r="CJ74" s="1" t="n">
        <f aca="false">MAX(CJ73-AX74/AX$9*100,0)</f>
        <v>0</v>
      </c>
      <c r="CK74" s="1" t="n">
        <f aca="false">CK$7*EXP(-$AM74/CK$8)</f>
        <v>7.33385831111507E-022</v>
      </c>
      <c r="CL74" s="1" t="n">
        <f aca="false">(CI74-CK74)^2</f>
        <v>5.37854777275116E-043</v>
      </c>
      <c r="CM74" s="1" t="n">
        <f aca="false">MAX(CM73-AZ74/AZ$9*100,0)</f>
        <v>0</v>
      </c>
      <c r="CN74" s="1" t="n">
        <f aca="false">MAX(CN73-BA74/BA$9*100,0)</f>
        <v>5.32907051820075E-015</v>
      </c>
      <c r="CO74" s="1" t="n">
        <f aca="false">CO$7*EXP(-$AM74/CO$8)</f>
        <v>9.32695603210369E-012</v>
      </c>
      <c r="CP74" s="1" t="n">
        <f aca="false">(CM74-CO74)^2</f>
        <v>8.69921088247954E-023</v>
      </c>
      <c r="CQ74" s="1" t="n">
        <f aca="false">$AM74</f>
        <v>63</v>
      </c>
      <c r="CR74" s="1" t="n">
        <f aca="false">MAX(CR73-BC74/BC$9*100,0)</f>
        <v>0</v>
      </c>
      <c r="CS74" s="1" t="n">
        <f aca="false">MAX(CS73-BD74/BD$9*100,0)</f>
        <v>0</v>
      </c>
      <c r="CT74" s="1" t="n">
        <f aca="false">CT$7*EXP(-$AM74/CT$8)</f>
        <v>4.20315416062189E-020</v>
      </c>
      <c r="CU74" s="1" t="n">
        <f aca="false">(CR74-CT74)^2</f>
        <v>1.76665048979531E-039</v>
      </c>
      <c r="CV74" s="1" t="n">
        <f aca="false">MAX(CV73-BF74/BF$9*100,0)</f>
        <v>8.88178419700125E-015</v>
      </c>
      <c r="CW74" s="1" t="n">
        <f aca="false">MAX(CW73-BG74/BG$9*100,0)</f>
        <v>5.32907051820075E-015</v>
      </c>
      <c r="CX74" s="1" t="n">
        <f aca="false">CX$7*EXP(-$AM74/CX$8)</f>
        <v>6.66310290149202E-010</v>
      </c>
      <c r="CY74" s="1" t="n">
        <f aca="false">(CV74-CX74)^2</f>
        <v>4.43957566789189E-019</v>
      </c>
      <c r="CZ74" s="1" t="n">
        <f aca="false">$AM74</f>
        <v>63</v>
      </c>
      <c r="DA74" s="1" t="n">
        <f aca="false">MAX(DA73-BI74/BI$9*100,0)</f>
        <v>0</v>
      </c>
      <c r="DB74" s="1" t="n">
        <f aca="false">MAX(DB73-BJ74/BJ$9*100,0)</f>
        <v>9.88098491916389E-015</v>
      </c>
      <c r="DC74" s="1" t="n">
        <f aca="false">DC$7*EXP(-$AM74/DC$8)</f>
        <v>1.70967625712621E-018</v>
      </c>
      <c r="DD74" s="1" t="n">
        <f aca="false">(DA74-DC74)^2</f>
        <v>2.92299290418109E-036</v>
      </c>
      <c r="DE74" s="1" t="n">
        <f aca="false">MAX(DE73-BL74/BL$9*100,0)</f>
        <v>0</v>
      </c>
      <c r="DF74" s="1" t="n">
        <f aca="false">MAX(DF73-BM74/BM$9*100,0)</f>
        <v>0</v>
      </c>
      <c r="DG74" s="1" t="n">
        <f aca="false">DG$7*EXP(-$AM74/DG$8)</f>
        <v>1.74120119656164E-005</v>
      </c>
      <c r="DH74" s="1" t="n">
        <f aca="false">(DE74-DG74)^2</f>
        <v>3.03178160690769E-010</v>
      </c>
      <c r="DI74" s="1" t="n">
        <f aca="false">$AM74</f>
        <v>63</v>
      </c>
      <c r="DJ74" s="1" t="n">
        <f aca="false">MAX(DJ73-BO74/BO$9*100,0)</f>
        <v>0</v>
      </c>
      <c r="DK74" s="1" t="n">
        <f aca="false">MAX(DK73-BP74/BP$9*100,0)</f>
        <v>9.99200722162641E-015</v>
      </c>
      <c r="DL74" s="1" t="n">
        <f aca="false">DL$7*EXP(-$AM74/DL$8)</f>
        <v>2.45740260506493E-015</v>
      </c>
      <c r="DM74" s="1" t="n">
        <f aca="false">(DJ74-DL74)^2</f>
        <v>6.0388275633799E-030</v>
      </c>
      <c r="DN74" s="1" t="n">
        <f aca="false">MAX(DN73-BR74/BR$9*100,0)</f>
        <v>0</v>
      </c>
      <c r="DO74" s="1" t="n">
        <f aca="false">MAX(DO73-BS74/BS$9*100,0)</f>
        <v>0</v>
      </c>
      <c r="DP74" s="1" t="n">
        <f aca="false">DP$7*EXP(-$AM74/DP$8)</f>
        <v>2.16518564695006E-006</v>
      </c>
      <c r="DQ74" s="1" t="n">
        <f aca="false">(DN74-DP74)^2</f>
        <v>4.68802888575855E-012</v>
      </c>
      <c r="DS74" s="1" t="n">
        <f aca="false">$AM74</f>
        <v>63</v>
      </c>
      <c r="DT74" s="1" t="n">
        <f aca="false">CA74</f>
        <v>0</v>
      </c>
      <c r="DU74" s="1" t="n">
        <f aca="false">DU$7*EXP(-DS74/DU$8)</f>
        <v>1.01258757532321E-026</v>
      </c>
      <c r="DV74" s="1" t="n">
        <f aca="false">(DT74-DU74)^2</f>
        <v>1.02533359769894E-052</v>
      </c>
      <c r="DX74" s="1" t="n">
        <f aca="false">$AM74</f>
        <v>63</v>
      </c>
      <c r="DY74" s="1" t="n">
        <f aca="false">CM74</f>
        <v>0</v>
      </c>
      <c r="DZ74" s="1" t="n">
        <f aca="false">DZ$7*EXP(-DX74/DZ$8)</f>
        <v>6.72295579299441E-014</v>
      </c>
      <c r="EA74" s="1" t="n">
        <f aca="false">(DY74-DZ74)^2</f>
        <v>4.51981345945571E-027</v>
      </c>
      <c r="EC74" s="1" t="n">
        <f aca="false">$AM74</f>
        <v>63</v>
      </c>
      <c r="ED74" s="1" t="n">
        <f aca="false">CV74</f>
        <v>8.88178419700125E-015</v>
      </c>
      <c r="EE74" s="1" t="n">
        <f aca="false">EE$7*EXP(-EC74/EE$8)</f>
        <v>1.60121218331736E-010</v>
      </c>
      <c r="EF74" s="1" t="n">
        <f aca="false">(ED74-EE74)^2</f>
        <v>2.56359603147124E-020</v>
      </c>
      <c r="EH74" s="1" t="n">
        <f aca="false">$AM74</f>
        <v>63</v>
      </c>
      <c r="EI74" s="1" t="n">
        <f aca="false">DE74</f>
        <v>0</v>
      </c>
      <c r="EJ74" s="1" t="n">
        <f aca="false">EJ$7*EXP(-EH74/EJ$8)</f>
        <v>1.73397629533109E-005</v>
      </c>
      <c r="EK74" s="1" t="n">
        <f aca="false">(EI74-EJ74)^2</f>
        <v>3.00667379277013E-010</v>
      </c>
      <c r="EM74" s="1" t="n">
        <f aca="false">AM74</f>
        <v>63</v>
      </c>
      <c r="EN74" s="1" t="n">
        <f aca="false">DN74</f>
        <v>0</v>
      </c>
      <c r="EO74" s="1" t="n">
        <f aca="false">EO$7*EXP(-EM74/EO$8)</f>
        <v>3.82947733622852E-006</v>
      </c>
      <c r="EP74" s="1" t="n">
        <f aca="false">(EN74-EO74)^2</f>
        <v>1.46648966686879E-011</v>
      </c>
      <c r="ER74" s="1" t="n">
        <f aca="false">$AM74</f>
        <v>63</v>
      </c>
      <c r="ES74" s="1" t="n">
        <f aca="false">BZ74</f>
        <v>0</v>
      </c>
      <c r="ET74" s="1" t="n">
        <f aca="false">ET$7*EXP(-ER74/ET$8)</f>
        <v>4.90190564010878E-031</v>
      </c>
      <c r="EU74" s="1" t="n">
        <f aca="false">(ES74-ET74)^2</f>
        <v>2.40286789045303E-061</v>
      </c>
      <c r="EW74" s="1" t="n">
        <f aca="false">$AM74</f>
        <v>63</v>
      </c>
      <c r="EX74" s="1" t="n">
        <f aca="false">CI74</f>
        <v>0</v>
      </c>
      <c r="EY74" s="1" t="n">
        <f aca="false">EY$7*EXP(-EW74/EY$8)</f>
        <v>2.1019628183746E-028</v>
      </c>
      <c r="EZ74" s="1" t="n">
        <f aca="false">(EX74-EY74)^2</f>
        <v>4.41824768982929E-056</v>
      </c>
      <c r="FB74" s="1" t="n">
        <f aca="false">$AM74</f>
        <v>63</v>
      </c>
      <c r="FC74" s="1" t="n">
        <f aca="false">CR74</f>
        <v>0</v>
      </c>
      <c r="FD74" s="1" t="n">
        <f aca="false">FD$7*EXP(-FB74/FD$8)</f>
        <v>1.55865891575998E-024</v>
      </c>
      <c r="FE74" s="1" t="n">
        <f aca="false">(FC74-FD74)^2</f>
        <v>2.42941761567808E-048</v>
      </c>
      <c r="FG74" s="1" t="n">
        <f aca="false">$AM74</f>
        <v>63</v>
      </c>
      <c r="FH74" s="1" t="n">
        <f aca="false">DA74</f>
        <v>0</v>
      </c>
      <c r="FI74" s="1" t="n">
        <f aca="false">FI$7*EXP(-FG74/FI$8)</f>
        <v>4.54450097039689E-021</v>
      </c>
      <c r="FJ74" s="1" t="n">
        <f aca="false">(FH74-FI74)^2</f>
        <v>2.06524890699383E-041</v>
      </c>
      <c r="FL74" s="1" t="n">
        <f aca="false">EM74</f>
        <v>63</v>
      </c>
      <c r="FM74" s="1" t="n">
        <f aca="false">DJ74</f>
        <v>0</v>
      </c>
      <c r="FN74" s="1" t="n">
        <f aca="false">FN$7*EXP(-FL74/FN$8)</f>
        <v>9.77418784929905E-017</v>
      </c>
      <c r="FO74" s="1" t="n">
        <f aca="false">(FM74-FN74)^2</f>
        <v>9.55347481133852E-033</v>
      </c>
      <c r="FQ74" s="1" t="n">
        <f aca="false">AM74</f>
        <v>63</v>
      </c>
      <c r="FR74" s="1" t="n">
        <f aca="false">AN74/AN$9*100</f>
        <v>0</v>
      </c>
      <c r="FS74" s="1" t="n">
        <f aca="false">AO74/AO$9*100</f>
        <v>0</v>
      </c>
      <c r="FT74" s="1" t="n">
        <f aca="false">AQ74/AQ$9*100</f>
        <v>0</v>
      </c>
      <c r="FU74" s="1" t="n">
        <f aca="false">AR74/AR$9*100</f>
        <v>0</v>
      </c>
      <c r="FV74" s="1" t="n">
        <f aca="false">AT74/AT$9*100</f>
        <v>0</v>
      </c>
      <c r="FW74" s="1" t="n">
        <f aca="false">AU74/AU$9*100</f>
        <v>0</v>
      </c>
      <c r="FX74" s="1" t="n">
        <f aca="false">AW74/AW$9*100</f>
        <v>0</v>
      </c>
      <c r="FY74" s="1" t="n">
        <f aca="false">AX74/AX$9*100</f>
        <v>0</v>
      </c>
      <c r="FZ74" s="1" t="n">
        <f aca="false">AZ74/AZ$9*100</f>
        <v>0</v>
      </c>
      <c r="GA74" s="1" t="n">
        <f aca="false">BA74/BA$9*100</f>
        <v>0</v>
      </c>
      <c r="GB74" s="1" t="n">
        <f aca="false">BC74/BC$9*100</f>
        <v>0</v>
      </c>
      <c r="GC74" s="1" t="n">
        <f aca="false">BD74/BD$9*100</f>
        <v>0</v>
      </c>
      <c r="GD74" s="1" t="n">
        <f aca="false">BF74/BF$9*100</f>
        <v>0</v>
      </c>
      <c r="GE74" s="1" t="n">
        <f aca="false">BG74/BG$9*100</f>
        <v>0</v>
      </c>
      <c r="GF74" s="1" t="n">
        <f aca="false">BI74/BI$9*100</f>
        <v>0</v>
      </c>
      <c r="GG74" s="1" t="n">
        <f aca="false">BJ74/BJ$9*100</f>
        <v>0</v>
      </c>
      <c r="GH74" s="1" t="n">
        <f aca="false">BL74/BL$9*100</f>
        <v>0</v>
      </c>
      <c r="GI74" s="1" t="n">
        <f aca="false">BM74/BM$9*100</f>
        <v>0</v>
      </c>
      <c r="GJ74" s="1" t="n">
        <f aca="false">BO74/BO$9*100</f>
        <v>0</v>
      </c>
      <c r="GK74" s="1" t="n">
        <f aca="false">BP74/BP$9*100</f>
        <v>0</v>
      </c>
      <c r="GL74" s="1" t="n">
        <f aca="false">BR74/BR$9*100</f>
        <v>0</v>
      </c>
      <c r="GM74" s="1" t="n">
        <f aca="false">BS74/BS$9*100</f>
        <v>0</v>
      </c>
      <c r="GO74" s="1" t="n">
        <f aca="false">$AM74</f>
        <v>63</v>
      </c>
      <c r="GP74" s="1" t="n">
        <f aca="false">FT74</f>
        <v>0</v>
      </c>
      <c r="GQ74" s="1" t="n">
        <f aca="false">GQ$6*(1+GQ$5*(-1)^$FQ74)*EXP(-$FQ74/GQ$4)</f>
        <v>1.31479517359336E-019</v>
      </c>
      <c r="GR74" s="1" t="n">
        <f aca="false">(GP74-GQ74)^2</f>
        <v>1.72868634850439E-038</v>
      </c>
      <c r="GS74" s="1" t="n">
        <f aca="false">EXP($FQ74/$JG$4)*GP74</f>
        <v>0</v>
      </c>
      <c r="GT74" s="1" t="n">
        <f aca="false">EXP($FQ74/$JG$4)*(-1)^$FQ74*GP74</f>
        <v>-0</v>
      </c>
      <c r="GU74" s="1" t="n">
        <f aca="false">(-1)^GO74*GP74</f>
        <v>-0</v>
      </c>
      <c r="GW74" s="1" t="n">
        <f aca="false">$AM74</f>
        <v>63</v>
      </c>
      <c r="GX74" s="1" t="n">
        <f aca="false">FX74</f>
        <v>0</v>
      </c>
      <c r="GY74" s="1" t="n">
        <f aca="false">GY$6*(1+GY$5*(-1)^$FQ74)*EXP(-$FQ74/GY$4)</f>
        <v>1.31479517359336E-019</v>
      </c>
      <c r="GZ74" s="1" t="n">
        <f aca="false">(GX74-GY74)^2</f>
        <v>1.72868634850439E-038</v>
      </c>
      <c r="HA74" s="1" t="n">
        <f aca="false">EXP($FQ74/$JG$4)*GX74</f>
        <v>0</v>
      </c>
      <c r="HB74" s="1" t="n">
        <f aca="false">EXP($FQ74/$JG$4)*(-1)^$FQ74*GX74</f>
        <v>-0</v>
      </c>
      <c r="HC74" s="1" t="n">
        <f aca="false">(-1)^GW74*GX74</f>
        <v>-0</v>
      </c>
      <c r="HE74" s="1" t="n">
        <f aca="false">$AM74</f>
        <v>63</v>
      </c>
      <c r="HF74" s="1" t="n">
        <f aca="false">GB74</f>
        <v>0</v>
      </c>
      <c r="HG74" s="1" t="n">
        <f aca="false">HG$6*(1+HG$5*(-1)^$FQ74)*EXP(-$FQ74/HG$4)</f>
        <v>1.31479517359336E-019</v>
      </c>
      <c r="HH74" s="1" t="n">
        <f aca="false">(HF74-HG74)^2</f>
        <v>1.72868634850439E-038</v>
      </c>
      <c r="HI74" s="1" t="n">
        <f aca="false">EXP($FQ74/$JG$4)*HF74</f>
        <v>0</v>
      </c>
      <c r="HJ74" s="1" t="n">
        <f aca="false">EXP($FQ74/$JG$4)*(-1)^$FQ74*HF74</f>
        <v>-0</v>
      </c>
      <c r="HK74" s="1" t="n">
        <f aca="false">(-1)^HE74*HF74</f>
        <v>-0</v>
      </c>
      <c r="HM74" s="1" t="n">
        <f aca="false">$AM74</f>
        <v>63</v>
      </c>
      <c r="HN74" s="1" t="n">
        <f aca="false">GF74</f>
        <v>0</v>
      </c>
      <c r="HO74" s="1" t="n">
        <f aca="false">HO$6*(1+HO$5*(-1)^$FQ74)*EXP(-$FQ74/HO$4)</f>
        <v>1.49948605617367E-015</v>
      </c>
      <c r="HP74" s="1" t="n">
        <f aca="false">(HN74-HO74)^2</f>
        <v>2.24845843265927E-030</v>
      </c>
      <c r="HQ74" s="1" t="n">
        <f aca="false">EXP($FQ74/$JG$4)*HN74</f>
        <v>0</v>
      </c>
      <c r="HR74" s="1" t="n">
        <f aca="false">EXP($FQ74/$JG$4)*(-1)^$FQ74*HN74</f>
        <v>-0</v>
      </c>
      <c r="HS74" s="1" t="n">
        <f aca="false">(-1)^HM74*HN74</f>
        <v>-0</v>
      </c>
      <c r="HU74" s="1" t="n">
        <f aca="false">$AM74</f>
        <v>63</v>
      </c>
      <c r="HV74" s="1" t="n">
        <f aca="false">GJ74</f>
        <v>0</v>
      </c>
      <c r="HW74" s="1" t="n">
        <f aca="false">HW$6*(1+HW$5*(-1)^$FQ74)*EXP(-$FQ74/HW$4)</f>
        <v>2.44394417200932E-011</v>
      </c>
      <c r="HX74" s="1" t="n">
        <f aca="false">(HV74-HW74)^2</f>
        <v>5.97286311589832E-022</v>
      </c>
      <c r="HY74" s="1" t="n">
        <f aca="false">EXP($FQ74/$JG$4)*HV74</f>
        <v>0</v>
      </c>
      <c r="HZ74" s="1" t="n">
        <f aca="false">EXP($FQ74/$JG$4)*(-1)^$FQ74*HV74</f>
        <v>-0</v>
      </c>
      <c r="IA74" s="1" t="n">
        <f aca="false">(-1)^HU74*HV74</f>
        <v>-0</v>
      </c>
      <c r="ID74" s="1" t="n">
        <f aca="false">$AM74</f>
        <v>63</v>
      </c>
      <c r="IE74" s="1" t="n">
        <f aca="false">FZ74</f>
        <v>0</v>
      </c>
      <c r="IF74" s="1" t="n">
        <f aca="false">IF$6*(1+IF$5*(-1)^$FQ74)*EXP(-$FQ74/IF$4)</f>
        <v>2.15364257691045E-008</v>
      </c>
      <c r="IG74" s="1" t="n">
        <f aca="false">(IE74-IF74)^2</f>
        <v>4.63817634908148E-016</v>
      </c>
      <c r="IH74" s="1" t="n">
        <f aca="false">EXP($FQ74/$JG$4)*IE74</f>
        <v>0</v>
      </c>
      <c r="II74" s="1" t="n">
        <f aca="false">EXP($FQ74/$JG$4)*(-1)^$FQ74*IE74</f>
        <v>-0</v>
      </c>
      <c r="IJ74" s="1" t="n">
        <f aca="false">(-1)^ID74*IE74</f>
        <v>-0</v>
      </c>
      <c r="IK74" s="1" t="n">
        <v>0</v>
      </c>
      <c r="IM74" s="1" t="n">
        <f aca="false">$AM74</f>
        <v>63</v>
      </c>
      <c r="IN74" s="1" t="n">
        <f aca="false">GD74</f>
        <v>0</v>
      </c>
      <c r="IO74" s="1" t="n">
        <f aca="false">IO$6*(1+IO$5*(-1)^$FQ74)*EXP(-$FQ74/IO$4)</f>
        <v>3.34896871377567E-007</v>
      </c>
      <c r="IP74" s="1" t="n">
        <f aca="false">(IN74-IO74)^2</f>
        <v>1.12155914458483E-013</v>
      </c>
      <c r="IQ74" s="1" t="n">
        <f aca="false">EXP($FQ74/$JG$4)*IN74</f>
        <v>0</v>
      </c>
      <c r="IR74" s="1" t="n">
        <f aca="false">EXP($FQ74/$JG$4)*(-1)^$FQ74*IN74</f>
        <v>-0</v>
      </c>
      <c r="IS74" s="1" t="n">
        <f aca="false">(-1)^IM74*IN74</f>
        <v>-0</v>
      </c>
      <c r="IT74" s="1" t="n">
        <v>0</v>
      </c>
      <c r="IV74" s="1" t="n">
        <f aca="false">$AM74</f>
        <v>63</v>
      </c>
      <c r="IW74" s="1" t="n">
        <f aca="false">GH74</f>
        <v>0</v>
      </c>
      <c r="IX74" s="1" t="n">
        <f aca="false">IX$6*(1+IX$5*(-1)^$FQ74)*EXP(-$FQ74/IX$4)</f>
        <v>5.04484772873297E-005</v>
      </c>
      <c r="IY74" s="1" t="n">
        <f aca="false">(IW74-IX74)^2</f>
        <v>2.54504886061022E-009</v>
      </c>
      <c r="IZ74" s="1" t="n">
        <f aca="false">EXP($FQ74/$JG$4)*IW74</f>
        <v>0</v>
      </c>
      <c r="JA74" s="1" t="n">
        <f aca="false">EXP($FQ74/$JG$4)*(-1)^$FQ74*IW74</f>
        <v>-0</v>
      </c>
      <c r="JB74" s="1" t="n">
        <f aca="false">(-1)^IV74*IW74</f>
        <v>-0</v>
      </c>
      <c r="JE74" s="1" t="n">
        <f aca="false">$AM74</f>
        <v>63</v>
      </c>
      <c r="JF74" s="1" t="n">
        <f aca="false">GL74</f>
        <v>0</v>
      </c>
      <c r="JG74" s="1" t="n">
        <f aca="false">JG$6*(1+JG$5*(-1)^$FQ74)*EXP(-$FQ74/JG$4)</f>
        <v>3.08800006048886E-006</v>
      </c>
      <c r="JH74" s="1" t="n">
        <f aca="false">(JF74-JG74)^2</f>
        <v>9.5357443735792E-012</v>
      </c>
      <c r="JI74" s="1" t="n">
        <f aca="false">EXP($FQ74/$JG$4)*JF74</f>
        <v>0</v>
      </c>
      <c r="JJ74" s="1" t="n">
        <f aca="false">EXP($FQ74/$JG$4)*(-1)^$FQ74*JF74</f>
        <v>-0</v>
      </c>
      <c r="JK74" s="1" t="n">
        <f aca="false">(-1)^JE74*JF74</f>
        <v>-0</v>
      </c>
      <c r="JO74" s="1" t="n">
        <f aca="false">$AM74</f>
        <v>63</v>
      </c>
      <c r="JP74" s="1" t="n">
        <f aca="false">GM74</f>
        <v>0</v>
      </c>
      <c r="JQ74" s="1" t="n">
        <f aca="false">JQ$6*(1+JQ$5*(-1)^$FQ74)*EXP(-$FQ74/JQ$4)</f>
        <v>0.0177359039198034</v>
      </c>
      <c r="JR74" s="1" t="n">
        <f aca="false">(JP74-JQ74)^2</f>
        <v>0.000314562287852498</v>
      </c>
      <c r="JS74" s="1" t="n">
        <f aca="false">EXP($FQ74/$JG$4)*JP74</f>
        <v>0</v>
      </c>
      <c r="JT74" s="1" t="n">
        <f aca="false">EXP($FQ74/$JG$4)*(-1)^$FQ74*JP74</f>
        <v>-0</v>
      </c>
      <c r="JU74" s="1" t="n">
        <f aca="false">(-1)^JO74*JP74</f>
        <v>-0</v>
      </c>
    </row>
    <row r="75" customFormat="false" ht="16" hidden="false" customHeight="false" outlineLevel="0" collapsed="false">
      <c r="A75" s="1" t="n">
        <v>2</v>
      </c>
      <c r="B75" s="1" t="n">
        <v>2</v>
      </c>
      <c r="C75" s="1" t="n">
        <f aca="false">B75-A75</f>
        <v>0</v>
      </c>
      <c r="D75" s="1" t="n">
        <v>1</v>
      </c>
      <c r="E75" s="1" t="n">
        <v>1</v>
      </c>
      <c r="F75" s="1" t="n">
        <f aca="false">E75-D75</f>
        <v>0</v>
      </c>
      <c r="G75" s="1" t="n">
        <v>2</v>
      </c>
      <c r="H75" s="1" t="n">
        <v>2</v>
      </c>
      <c r="I75" s="1" t="n">
        <f aca="false">H75-G75</f>
        <v>0</v>
      </c>
      <c r="J75" s="1" t="n">
        <v>1</v>
      </c>
      <c r="K75" s="1" t="n">
        <v>1</v>
      </c>
      <c r="L75" s="1" t="n">
        <f aca="false">K75-J75</f>
        <v>0</v>
      </c>
      <c r="M75" s="1" t="n">
        <v>4</v>
      </c>
      <c r="N75" s="1" t="n">
        <v>4</v>
      </c>
      <c r="O75" s="1" t="n">
        <f aca="false">N75-M75</f>
        <v>0</v>
      </c>
      <c r="P75" s="1" t="n">
        <v>2</v>
      </c>
      <c r="Q75" s="1" t="n">
        <v>4</v>
      </c>
      <c r="R75" s="1" t="n">
        <f aca="false">Q75-P75</f>
        <v>2</v>
      </c>
      <c r="S75" s="1" t="n">
        <v>1</v>
      </c>
      <c r="T75" s="1" t="n">
        <v>1</v>
      </c>
      <c r="U75" s="1" t="n">
        <f aca="false">T75-S75</f>
        <v>0</v>
      </c>
      <c r="V75" s="1" t="n">
        <v>2</v>
      </c>
      <c r="W75" s="1" t="n">
        <v>4</v>
      </c>
      <c r="X75" s="1" t="n">
        <f aca="false">W75-V75</f>
        <v>2</v>
      </c>
      <c r="Y75" s="1" t="n">
        <v>20</v>
      </c>
      <c r="Z75" s="1" t="n">
        <v>38</v>
      </c>
      <c r="AA75" s="1" t="n">
        <f aca="false">Z75-Y75</f>
        <v>18</v>
      </c>
      <c r="AB75" s="1" t="n">
        <v>2</v>
      </c>
      <c r="AC75" s="1" t="n">
        <v>2</v>
      </c>
      <c r="AD75" s="1" t="n">
        <f aca="false">AC75-AB75</f>
        <v>0</v>
      </c>
      <c r="AE75" s="1" t="n">
        <v>2</v>
      </c>
      <c r="AF75" s="1" t="n">
        <v>7</v>
      </c>
      <c r="AG75" s="1" t="n">
        <f aca="false">AF75-AE75</f>
        <v>5</v>
      </c>
      <c r="AM75" s="1" t="n">
        <v>64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W75" s="1" t="n">
        <f aca="false">$AM75</f>
        <v>64</v>
      </c>
      <c r="BX75" s="1" t="n">
        <f aca="false">MAX(BX74-AN75/AN$9*100,0)</f>
        <v>0</v>
      </c>
      <c r="BY75" s="1" t="n">
        <f aca="false">MAX(BY74-AO75/AO$9*100,0)</f>
        <v>0</v>
      </c>
      <c r="BZ75" s="1" t="n">
        <f aca="false">MAX(BZ74-AQ75/AQ$9*100,0)</f>
        <v>0</v>
      </c>
      <c r="CA75" s="1" t="n">
        <f aca="false">MAX(CA74-AR75/AR$9*100,0)</f>
        <v>0</v>
      </c>
      <c r="CB75" s="1" t="n">
        <f aca="false">CB$7*EXP(-$AM75/CB$8)</f>
        <v>1.67086974605836E-034</v>
      </c>
      <c r="CC75" s="1" t="n">
        <f aca="false">(BZ75-CB75)^2</f>
        <v>2.79180570829313E-068</v>
      </c>
      <c r="CD75" s="1" t="n">
        <f aca="false">MAX(CD74-AT75/AT$9*100,0)</f>
        <v>0</v>
      </c>
      <c r="CE75" s="1" t="n">
        <f aca="false">MAX(CE74-AU75/AU$9*100,0)</f>
        <v>5.32907051820075E-015</v>
      </c>
      <c r="CF75" s="1" t="n">
        <f aca="false">CF$7*EXP(-$AM75/CF$8)</f>
        <v>1.37023751430619E-033</v>
      </c>
      <c r="CG75" s="1" t="n">
        <f aca="false">(CD75-CF75)^2</f>
        <v>1.87755084561201E-066</v>
      </c>
      <c r="CH75" s="1" t="n">
        <f aca="false">$AM75</f>
        <v>64</v>
      </c>
      <c r="CI75" s="1" t="n">
        <f aca="false">MAX(CI74-AW75/AW$9*100,0)</f>
        <v>0</v>
      </c>
      <c r="CJ75" s="1" t="n">
        <f aca="false">MAX(CJ74-AX75/AX$9*100,0)</f>
        <v>0</v>
      </c>
      <c r="CK75" s="1" t="n">
        <f aca="false">CK$7*EXP(-$AM75/CK$8)</f>
        <v>3.11989982928126E-022</v>
      </c>
      <c r="CL75" s="1" t="n">
        <f aca="false">(CI75-CK75)^2</f>
        <v>9.73377494474924E-044</v>
      </c>
      <c r="CM75" s="1" t="n">
        <f aca="false">MAX(CM74-AZ75/AZ$9*100,0)</f>
        <v>0</v>
      </c>
      <c r="CN75" s="1" t="n">
        <f aca="false">MAX(CN74-BA75/BA$9*100,0)</f>
        <v>5.32907051820075E-015</v>
      </c>
      <c r="CO75" s="1" t="n">
        <f aca="false">CO$7*EXP(-$AM75/CO$8)</f>
        <v>5.76692768392427E-012</v>
      </c>
      <c r="CP75" s="1" t="n">
        <f aca="false">(CM75-CO75)^2</f>
        <v>3.32574549116122E-023</v>
      </c>
      <c r="CQ75" s="1" t="n">
        <f aca="false">$AM75</f>
        <v>64</v>
      </c>
      <c r="CR75" s="1" t="n">
        <f aca="false">MAX(CR74-BC75/BC$9*100,0)</f>
        <v>0</v>
      </c>
      <c r="CS75" s="1" t="n">
        <f aca="false">MAX(CS74-BD75/BD$9*100,0)</f>
        <v>0</v>
      </c>
      <c r="CT75" s="1" t="n">
        <f aca="false">CT$7*EXP(-$AM75/CT$8)</f>
        <v>1.91254278796048E-020</v>
      </c>
      <c r="CU75" s="1" t="n">
        <f aca="false">(CR75-CT75)^2</f>
        <v>3.65781991577965E-040</v>
      </c>
      <c r="CV75" s="1" t="n">
        <f aca="false">MAX(CV74-BF75/BF$9*100,0)</f>
        <v>8.88178419700125E-015</v>
      </c>
      <c r="CW75" s="1" t="n">
        <f aca="false">MAX(CW74-BG75/BG$9*100,0)</f>
        <v>5.32907051820075E-015</v>
      </c>
      <c r="CX75" s="1" t="n">
        <f aca="false">CX$7*EXP(-$AM75/CX$8)</f>
        <v>4.40774022143684E-010</v>
      </c>
      <c r="CY75" s="1" t="n">
        <f aca="false">(CV75-CX75)^2</f>
        <v>1.94273908956118E-019</v>
      </c>
      <c r="CZ75" s="1" t="n">
        <f aca="false">$AM75</f>
        <v>64</v>
      </c>
      <c r="DA75" s="1" t="n">
        <f aca="false">MAX(DA74-BI75/BI$9*100,0)</f>
        <v>0</v>
      </c>
      <c r="DB75" s="1" t="n">
        <f aca="false">MAX(DB74-BJ75/BJ$9*100,0)</f>
        <v>9.88098491916389E-015</v>
      </c>
      <c r="DC75" s="1" t="n">
        <f aca="false">DC$7*EXP(-$AM75/DC$8)</f>
        <v>8.2396849994404E-019</v>
      </c>
      <c r="DD75" s="1" t="n">
        <f aca="false">(DA75-DC75)^2</f>
        <v>6.78924088900031E-037</v>
      </c>
      <c r="DE75" s="1" t="n">
        <f aca="false">MAX(DE74-BL75/BL$9*100,0)</f>
        <v>0</v>
      </c>
      <c r="DF75" s="1" t="n">
        <f aca="false">MAX(DF74-BM75/BM$9*100,0)</f>
        <v>0</v>
      </c>
      <c r="DG75" s="1" t="n">
        <f aca="false">DG$7*EXP(-$AM75/DG$8)</f>
        <v>1.35604885536707E-005</v>
      </c>
      <c r="DH75" s="1" t="n">
        <f aca="false">(DE75-DG75)^2</f>
        <v>1.83886849814234E-010</v>
      </c>
      <c r="DI75" s="1" t="n">
        <f aca="false">$AM75</f>
        <v>64</v>
      </c>
      <c r="DJ75" s="1" t="n">
        <f aca="false">MAX(DJ74-BO75/BO$9*100,0)</f>
        <v>0</v>
      </c>
      <c r="DK75" s="1" t="n">
        <f aca="false">MAX(DK74-BP75/BP$9*100,0)</f>
        <v>9.99200722162641E-015</v>
      </c>
      <c r="DL75" s="1" t="n">
        <f aca="false">DL$7*EXP(-$AM75/DL$8)</f>
        <v>1.33057077994526E-015</v>
      </c>
      <c r="DM75" s="1" t="n">
        <f aca="false">(DJ75-DL75)^2</f>
        <v>1.77041860044414E-030</v>
      </c>
      <c r="DN75" s="1" t="n">
        <f aca="false">MAX(DN74-BR75/BR$9*100,0)</f>
        <v>0</v>
      </c>
      <c r="DO75" s="1" t="n">
        <f aca="false">MAX(DO74-BS75/BS$9*100,0)</f>
        <v>0</v>
      </c>
      <c r="DP75" s="1" t="n">
        <f aca="false">DP$7*EXP(-$AM75/DP$8)</f>
        <v>1.63104349009842E-006</v>
      </c>
      <c r="DQ75" s="1" t="n">
        <f aca="false">(DN75-DP75)^2</f>
        <v>2.66030286659244E-012</v>
      </c>
      <c r="DS75" s="1" t="n">
        <f aca="false">$AM75</f>
        <v>64</v>
      </c>
      <c r="DT75" s="1" t="n">
        <f aca="false">CA75</f>
        <v>0</v>
      </c>
      <c r="DU75" s="1" t="n">
        <f aca="false">DU$7*EXP(-DS75/DU$8)</f>
        <v>3.61165555007059E-027</v>
      </c>
      <c r="DV75" s="1" t="n">
        <f aca="false">(DT75-DU75)^2</f>
        <v>1.30440558123557E-053</v>
      </c>
      <c r="DX75" s="1" t="n">
        <f aca="false">$AM75</f>
        <v>64</v>
      </c>
      <c r="DY75" s="1" t="n">
        <f aca="false">CM75</f>
        <v>0</v>
      </c>
      <c r="DZ75" s="1" t="n">
        <f aca="false">DZ$7*EXP(-DX75/DZ$8)</f>
        <v>3.83331573249812E-014</v>
      </c>
      <c r="EA75" s="1" t="n">
        <f aca="false">(DY75-DZ75)^2</f>
        <v>1.46943095050176E-027</v>
      </c>
      <c r="EC75" s="1" t="n">
        <f aca="false">$AM75</f>
        <v>64</v>
      </c>
      <c r="ED75" s="1" t="n">
        <f aca="false">CV75</f>
        <v>8.88178419700125E-015</v>
      </c>
      <c r="EE75" s="1" t="n">
        <f aca="false">EE$7*EXP(-EC75/EE$8)</f>
        <v>1.03466710186178E-010</v>
      </c>
      <c r="EF75" s="1" t="n">
        <f aca="false">(ED75-EE75)^2</f>
        <v>1.07035222576537E-020</v>
      </c>
      <c r="EH75" s="1" t="n">
        <f aca="false">$AM75</f>
        <v>64</v>
      </c>
      <c r="EI75" s="1" t="n">
        <f aca="false">DE75</f>
        <v>0</v>
      </c>
      <c r="EJ75" s="1" t="n">
        <f aca="false">EJ$7*EXP(-EH75/EJ$8)</f>
        <v>1.35042209663111E-005</v>
      </c>
      <c r="EK75" s="1" t="n">
        <f aca="false">(EI75-EJ75)^2</f>
        <v>1.82363983906956E-010</v>
      </c>
      <c r="EM75" s="1" t="n">
        <f aca="false">AM75</f>
        <v>64</v>
      </c>
      <c r="EN75" s="1" t="n">
        <f aca="false">DN75</f>
        <v>0</v>
      </c>
      <c r="EO75" s="1" t="n">
        <f aca="false">EO$7*EXP(-EM75/EO$8)</f>
        <v>2.91175422321467E-006</v>
      </c>
      <c r="EP75" s="1" t="n">
        <f aca="false">(EN75-EO75)^2</f>
        <v>8.47831265640847E-012</v>
      </c>
      <c r="ER75" s="1" t="n">
        <f aca="false">$AM75</f>
        <v>64</v>
      </c>
      <c r="ES75" s="1" t="n">
        <f aca="false">BZ75</f>
        <v>0</v>
      </c>
      <c r="ET75" s="1" t="n">
        <f aca="false">ET$7*EXP(-ER75/ET$8)</f>
        <v>1.49055397353928E-031</v>
      </c>
      <c r="EU75" s="1" t="n">
        <f aca="false">(ES75-ET75)^2</f>
        <v>2.22175114803374E-062</v>
      </c>
      <c r="EW75" s="1" t="n">
        <f aca="false">$AM75</f>
        <v>64</v>
      </c>
      <c r="EX75" s="1" t="n">
        <f aca="false">CI75</f>
        <v>0</v>
      </c>
      <c r="EY75" s="1" t="n">
        <f aca="false">EY$7*EXP(-EW75/EY$8)</f>
        <v>7.00451945886214E-029</v>
      </c>
      <c r="EZ75" s="1" t="n">
        <f aca="false">(EX75-EY75)^2</f>
        <v>4.90632928495784E-057</v>
      </c>
      <c r="FB75" s="1" t="n">
        <f aca="false">$AM75</f>
        <v>64</v>
      </c>
      <c r="FC75" s="1" t="n">
        <f aca="false">CR75</f>
        <v>0</v>
      </c>
      <c r="FD75" s="1" t="n">
        <f aca="false">FD$7*EXP(-FB75/FD$8)</f>
        <v>6.01363819779384E-025</v>
      </c>
      <c r="FE75" s="1" t="n">
        <f aca="false">(FC75-FD75)^2</f>
        <v>3.61638443739652E-049</v>
      </c>
      <c r="FG75" s="1" t="n">
        <f aca="false">$AM75</f>
        <v>64</v>
      </c>
      <c r="FH75" s="1" t="n">
        <f aca="false">DA75</f>
        <v>0</v>
      </c>
      <c r="FI75" s="1" t="n">
        <f aca="false">FI$7*EXP(-FG75/FI$8)</f>
        <v>1.98868107598629E-021</v>
      </c>
      <c r="FJ75" s="1" t="n">
        <f aca="false">(FH75-FI75)^2</f>
        <v>3.95485242198599E-042</v>
      </c>
      <c r="FL75" s="1" t="n">
        <f aca="false">EM75</f>
        <v>64</v>
      </c>
      <c r="FM75" s="1" t="n">
        <f aca="false">DJ75</f>
        <v>0</v>
      </c>
      <c r="FN75" s="1" t="n">
        <f aca="false">FN$7*EXP(-FL75/FN$8)</f>
        <v>5.0182353664705E-017</v>
      </c>
      <c r="FO75" s="1" t="n">
        <f aca="false">(FM75-FN75)^2</f>
        <v>2.51826861932953E-033</v>
      </c>
      <c r="FQ75" s="1" t="n">
        <f aca="false">AM75</f>
        <v>64</v>
      </c>
      <c r="FR75" s="1" t="n">
        <f aca="false">AN75/AN$9*100</f>
        <v>0</v>
      </c>
      <c r="FS75" s="1" t="n">
        <f aca="false">AO75/AO$9*100</f>
        <v>0</v>
      </c>
      <c r="FT75" s="1" t="n">
        <f aca="false">AQ75/AQ$9*100</f>
        <v>0</v>
      </c>
      <c r="FU75" s="1" t="n">
        <f aca="false">AR75/AR$9*100</f>
        <v>0</v>
      </c>
      <c r="FV75" s="1" t="n">
        <f aca="false">AT75/AT$9*100</f>
        <v>0</v>
      </c>
      <c r="FW75" s="1" t="n">
        <f aca="false">AU75/AU$9*100</f>
        <v>0</v>
      </c>
      <c r="FX75" s="1" t="n">
        <f aca="false">AW75/AW$9*100</f>
        <v>0</v>
      </c>
      <c r="FY75" s="1" t="n">
        <f aca="false">AX75/AX$9*100</f>
        <v>0</v>
      </c>
      <c r="FZ75" s="1" t="n">
        <f aca="false">AZ75/AZ$9*100</f>
        <v>0</v>
      </c>
      <c r="GA75" s="1" t="n">
        <f aca="false">BA75/BA$9*100</f>
        <v>0</v>
      </c>
      <c r="GB75" s="1" t="n">
        <f aca="false">BC75/BC$9*100</f>
        <v>0</v>
      </c>
      <c r="GC75" s="1" t="n">
        <f aca="false">BD75/BD$9*100</f>
        <v>0</v>
      </c>
      <c r="GD75" s="1" t="n">
        <f aca="false">BF75/BF$9*100</f>
        <v>0</v>
      </c>
      <c r="GE75" s="1" t="n">
        <f aca="false">BG75/BG$9*100</f>
        <v>0</v>
      </c>
      <c r="GF75" s="1" t="n">
        <f aca="false">BI75/BI$9*100</f>
        <v>0</v>
      </c>
      <c r="GG75" s="1" t="n">
        <f aca="false">BJ75/BJ$9*100</f>
        <v>0</v>
      </c>
      <c r="GH75" s="1" t="n">
        <f aca="false">BL75/BL$9*100</f>
        <v>0</v>
      </c>
      <c r="GI75" s="1" t="n">
        <f aca="false">BM75/BM$9*100</f>
        <v>0</v>
      </c>
      <c r="GJ75" s="1" t="n">
        <f aca="false">BO75/BO$9*100</f>
        <v>0</v>
      </c>
      <c r="GK75" s="1" t="n">
        <f aca="false">BP75/BP$9*100</f>
        <v>0</v>
      </c>
      <c r="GL75" s="1" t="n">
        <f aca="false">BR75/BR$9*100</f>
        <v>0</v>
      </c>
      <c r="GM75" s="1" t="n">
        <f aca="false">BS75/BS$9*100</f>
        <v>0</v>
      </c>
      <c r="GO75" s="1" t="n">
        <f aca="false">$AM75</f>
        <v>64</v>
      </c>
      <c r="GP75" s="1" t="n">
        <f aca="false">FT75</f>
        <v>0</v>
      </c>
      <c r="GQ75" s="1" t="n">
        <f aca="false">GQ$6*(1+GQ$5*(-1)^$FQ75)*EXP(-$FQ75/GQ$4)</f>
        <v>1.80079063047398E-019</v>
      </c>
      <c r="GR75" s="1" t="n">
        <f aca="false">(GP75-GQ75)^2</f>
        <v>3.24284689480287E-038</v>
      </c>
      <c r="GS75" s="1" t="n">
        <f aca="false">EXP($FQ75/$JG$4)*GP75</f>
        <v>0</v>
      </c>
      <c r="GT75" s="1" t="n">
        <f aca="false">EXP($FQ75/$JG$4)*(-1)^$FQ75*GP75</f>
        <v>0</v>
      </c>
      <c r="GU75" s="1" t="n">
        <f aca="false">(-1)^GO75*GP75</f>
        <v>0</v>
      </c>
      <c r="GW75" s="1" t="n">
        <f aca="false">$AM75</f>
        <v>64</v>
      </c>
      <c r="GX75" s="1" t="n">
        <f aca="false">FX75</f>
        <v>0</v>
      </c>
      <c r="GY75" s="1" t="n">
        <f aca="false">GY$6*(1+GY$5*(-1)^$FQ75)*EXP(-$FQ75/GY$4)</f>
        <v>1.80079063047398E-019</v>
      </c>
      <c r="GZ75" s="1" t="n">
        <f aca="false">(GX75-GY75)^2</f>
        <v>3.24284689480287E-038</v>
      </c>
      <c r="HA75" s="1" t="n">
        <f aca="false">EXP($FQ75/$JG$4)*GX75</f>
        <v>0</v>
      </c>
      <c r="HB75" s="1" t="n">
        <f aca="false">EXP($FQ75/$JG$4)*(-1)^$FQ75*GX75</f>
        <v>0</v>
      </c>
      <c r="HC75" s="1" t="n">
        <f aca="false">(-1)^GW75*GX75</f>
        <v>0</v>
      </c>
      <c r="HE75" s="1" t="n">
        <f aca="false">$AM75</f>
        <v>64</v>
      </c>
      <c r="HF75" s="1" t="n">
        <f aca="false">GB75</f>
        <v>0</v>
      </c>
      <c r="HG75" s="1" t="n">
        <f aca="false">HG$6*(1+HG$5*(-1)^$FQ75)*EXP(-$FQ75/HG$4)</f>
        <v>1.80079063047398E-019</v>
      </c>
      <c r="HH75" s="1" t="n">
        <f aca="false">(HF75-HG75)^2</f>
        <v>3.24284689480287E-038</v>
      </c>
      <c r="HI75" s="1" t="n">
        <f aca="false">EXP($FQ75/$JG$4)*HF75</f>
        <v>0</v>
      </c>
      <c r="HJ75" s="1" t="n">
        <f aca="false">EXP($FQ75/$JG$4)*(-1)^$FQ75*HF75</f>
        <v>0</v>
      </c>
      <c r="HK75" s="1" t="n">
        <f aca="false">(-1)^HE75*HF75</f>
        <v>0</v>
      </c>
      <c r="HM75" s="1" t="n">
        <f aca="false">$AM75</f>
        <v>64</v>
      </c>
      <c r="HN75" s="1" t="n">
        <f aca="false">GF75</f>
        <v>0</v>
      </c>
      <c r="HO75" s="1" t="n">
        <f aca="false">HO$6*(1+HO$5*(-1)^$FQ75)*EXP(-$FQ75/HO$4)</f>
        <v>3.75342033771518E-015</v>
      </c>
      <c r="HP75" s="1" t="n">
        <f aca="false">(HN75-HO75)^2</f>
        <v>1.40881642315739E-029</v>
      </c>
      <c r="HQ75" s="1" t="n">
        <f aca="false">EXP($FQ75/$JG$4)*HN75</f>
        <v>0</v>
      </c>
      <c r="HR75" s="1" t="n">
        <f aca="false">EXP($FQ75/$JG$4)*(-1)^$FQ75*HN75</f>
        <v>0</v>
      </c>
      <c r="HS75" s="1" t="n">
        <f aca="false">(-1)^HM75*HN75</f>
        <v>0</v>
      </c>
      <c r="HU75" s="1" t="n">
        <f aca="false">$AM75</f>
        <v>64</v>
      </c>
      <c r="HV75" s="1" t="n">
        <f aca="false">GJ75</f>
        <v>0</v>
      </c>
      <c r="HW75" s="1" t="n">
        <f aca="false">HW$6*(1+HW$5*(-1)^$FQ75)*EXP(-$FQ75/HW$4)</f>
        <v>4.71028120813646E-011</v>
      </c>
      <c r="HX75" s="1" t="n">
        <f aca="false">(HV75-HW75)^2</f>
        <v>2.21867490597235E-021</v>
      </c>
      <c r="HY75" s="1" t="n">
        <f aca="false">EXP($FQ75/$JG$4)*HV75</f>
        <v>0</v>
      </c>
      <c r="HZ75" s="1" t="n">
        <f aca="false">EXP($FQ75/$JG$4)*(-1)^$FQ75*HV75</f>
        <v>0</v>
      </c>
      <c r="IA75" s="1" t="n">
        <f aca="false">(-1)^HU75*HV75</f>
        <v>0</v>
      </c>
      <c r="ID75" s="1" t="n">
        <f aca="false">$AM75</f>
        <v>64</v>
      </c>
      <c r="IE75" s="1" t="n">
        <f aca="false">FZ75</f>
        <v>0</v>
      </c>
      <c r="IF75" s="1" t="n">
        <f aca="false">IF$6*(1+IF$5*(-1)^$FQ75)*EXP(-$FQ75/IF$4)</f>
        <v>2.99553100933284E-008</v>
      </c>
      <c r="IG75" s="1" t="n">
        <f aca="false">(IE75-IF75)^2</f>
        <v>8.97320602787462E-016</v>
      </c>
      <c r="IH75" s="1" t="n">
        <f aca="false">EXP($FQ75/$JG$4)*IE75</f>
        <v>0</v>
      </c>
      <c r="II75" s="1" t="n">
        <f aca="false">EXP($FQ75/$JG$4)*(-1)^$FQ75*IE75</f>
        <v>0</v>
      </c>
      <c r="IJ75" s="1" t="n">
        <f aca="false">(-1)^ID75*IE75</f>
        <v>0</v>
      </c>
      <c r="IK75" s="1" t="n">
        <v>0</v>
      </c>
      <c r="IM75" s="1" t="n">
        <f aca="false">$AM75</f>
        <v>64</v>
      </c>
      <c r="IN75" s="1" t="n">
        <f aca="false">GD75</f>
        <v>0</v>
      </c>
      <c r="IO75" s="1" t="n">
        <f aca="false">IO$6*(1+IO$5*(-1)^$FQ75)*EXP(-$FQ75/IO$4)</f>
        <v>5.47276714724142E-007</v>
      </c>
      <c r="IP75" s="1" t="n">
        <f aca="false">(IN75-IO75)^2</f>
        <v>2.9951180247925E-013</v>
      </c>
      <c r="IQ75" s="1" t="n">
        <f aca="false">EXP($FQ75/$JG$4)*IN75</f>
        <v>0</v>
      </c>
      <c r="IR75" s="1" t="n">
        <f aca="false">EXP($FQ75/$JG$4)*(-1)^$FQ75*IN75</f>
        <v>0</v>
      </c>
      <c r="IS75" s="1" t="n">
        <f aca="false">(-1)^IM75*IN75</f>
        <v>0</v>
      </c>
      <c r="IT75" s="1" t="n">
        <v>0</v>
      </c>
      <c r="IV75" s="1" t="n">
        <f aca="false">$AM75</f>
        <v>64</v>
      </c>
      <c r="IW75" s="1" t="n">
        <f aca="false">GH75</f>
        <v>0</v>
      </c>
      <c r="IX75" s="1" t="n">
        <f aca="false">IX$6*(1+IX$5*(-1)^$FQ75)*EXP(-$FQ75/IX$4)</f>
        <v>0.000161414728600592</v>
      </c>
      <c r="IY75" s="1" t="n">
        <f aca="false">(IW75-IX75)^2</f>
        <v>2.60547146092028E-008</v>
      </c>
      <c r="IZ75" s="1" t="n">
        <f aca="false">EXP($FQ75/$JG$4)*IW75</f>
        <v>0</v>
      </c>
      <c r="JA75" s="1" t="n">
        <f aca="false">EXP($FQ75/$JG$4)*(-1)^$FQ75*IW75</f>
        <v>0</v>
      </c>
      <c r="JB75" s="1" t="n">
        <f aca="false">(-1)^IV75*IW75</f>
        <v>0</v>
      </c>
      <c r="JE75" s="1" t="n">
        <f aca="false">$AM75</f>
        <v>64</v>
      </c>
      <c r="JF75" s="1" t="n">
        <f aca="false">GL75</f>
        <v>0</v>
      </c>
      <c r="JG75" s="1" t="n">
        <f aca="false">JG$6*(1+JG$5*(-1)^$FQ75)*EXP(-$FQ75/JG$4)</f>
        <v>1.60051678118758E-005</v>
      </c>
      <c r="JH75" s="1" t="n">
        <f aca="false">(JF75-JG75)^2</f>
        <v>2.56165396686305E-010</v>
      </c>
      <c r="JI75" s="1" t="n">
        <f aca="false">EXP($FQ75/$JG$4)*JF75</f>
        <v>0</v>
      </c>
      <c r="JJ75" s="1" t="n">
        <f aca="false">EXP($FQ75/$JG$4)*(-1)^$FQ75*JF75</f>
        <v>0</v>
      </c>
      <c r="JK75" s="1" t="n">
        <f aca="false">(-1)^JE75*JF75</f>
        <v>0</v>
      </c>
      <c r="JO75" s="1" t="n">
        <f aca="false">$AM75</f>
        <v>64</v>
      </c>
      <c r="JP75" s="1" t="n">
        <f aca="false">GM75</f>
        <v>0</v>
      </c>
      <c r="JQ75" s="1" t="n">
        <f aca="false">JQ$6*(1+JQ$5*(-1)^$FQ75)*EXP(-$FQ75/JQ$4)</f>
        <v>0.0859545898381447</v>
      </c>
      <c r="JR75" s="1" t="n">
        <f aca="false">(JP75-JQ75)^2</f>
        <v>0.00738819151424369</v>
      </c>
      <c r="JS75" s="1" t="n">
        <f aca="false">EXP($FQ75/$JG$4)*JP75</f>
        <v>0</v>
      </c>
      <c r="JT75" s="1" t="n">
        <f aca="false">EXP($FQ75/$JG$4)*(-1)^$FQ75*JP75</f>
        <v>0</v>
      </c>
      <c r="JU75" s="1" t="n">
        <f aca="false">(-1)^JO75*JP75</f>
        <v>0</v>
      </c>
    </row>
    <row r="76" customFormat="false" ht="16" hidden="false" customHeight="false" outlineLevel="0" collapsed="false">
      <c r="A76" s="1" t="n">
        <v>2</v>
      </c>
      <c r="B76" s="1" t="n">
        <v>2</v>
      </c>
      <c r="C76" s="1" t="n">
        <f aca="false">B76-A76</f>
        <v>0</v>
      </c>
      <c r="D76" s="1" t="n">
        <v>1</v>
      </c>
      <c r="E76" s="1" t="n">
        <v>1</v>
      </c>
      <c r="F76" s="1" t="n">
        <f aca="false">E76-D76</f>
        <v>0</v>
      </c>
      <c r="G76" s="1" t="n">
        <v>1</v>
      </c>
      <c r="H76" s="1" t="n">
        <v>1</v>
      </c>
      <c r="I76" s="1" t="n">
        <f aca="false">H76-G76</f>
        <v>0</v>
      </c>
      <c r="J76" s="1" t="n">
        <v>1</v>
      </c>
      <c r="K76" s="1" t="n">
        <v>3</v>
      </c>
      <c r="L76" s="1" t="n">
        <f aca="false">K76-J76</f>
        <v>2</v>
      </c>
      <c r="M76" s="1" t="n">
        <v>2</v>
      </c>
      <c r="N76" s="1" t="n">
        <v>2</v>
      </c>
      <c r="O76" s="1" t="n">
        <f aca="false">N76-M76</f>
        <v>0</v>
      </c>
      <c r="P76" s="1" t="n">
        <v>3</v>
      </c>
      <c r="Q76" s="1" t="n">
        <v>5</v>
      </c>
      <c r="R76" s="1" t="n">
        <f aca="false">Q76-P76</f>
        <v>2</v>
      </c>
      <c r="S76" s="1" t="n">
        <v>5</v>
      </c>
      <c r="T76" s="1" t="n">
        <v>5</v>
      </c>
      <c r="U76" s="1" t="n">
        <f aca="false">T76-S76</f>
        <v>0</v>
      </c>
      <c r="V76" s="1" t="n">
        <v>2</v>
      </c>
      <c r="W76" s="1" t="n">
        <v>3</v>
      </c>
      <c r="X76" s="1" t="n">
        <f aca="false">W76-V76</f>
        <v>1</v>
      </c>
      <c r="Y76" s="1" t="n">
        <v>9</v>
      </c>
      <c r="Z76" s="1" t="n">
        <v>19</v>
      </c>
      <c r="AA76" s="1" t="n">
        <f aca="false">Z76-Y76</f>
        <v>10</v>
      </c>
      <c r="AB76" s="1" t="n">
        <v>2</v>
      </c>
      <c r="AC76" s="1" t="n">
        <v>4</v>
      </c>
      <c r="AD76" s="1" t="n">
        <f aca="false">AC76-AB76</f>
        <v>2</v>
      </c>
      <c r="AE76" s="1" t="n">
        <v>4</v>
      </c>
      <c r="AF76" s="1" t="n">
        <v>19</v>
      </c>
      <c r="AG76" s="1" t="n">
        <f aca="false">AF76-AE76</f>
        <v>15</v>
      </c>
      <c r="AM76" s="1" t="n">
        <v>65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W76" s="1" t="n">
        <f aca="false">$AM76</f>
        <v>65</v>
      </c>
      <c r="BX76" s="1" t="n">
        <f aca="false">MAX(BX75-AN76/AN$9*100,0)</f>
        <v>0</v>
      </c>
      <c r="BY76" s="1" t="n">
        <f aca="false">MAX(BY75-AO76/AO$9*100,0)</f>
        <v>0</v>
      </c>
      <c r="BZ76" s="1" t="n">
        <f aca="false">MAX(BZ75-AQ76/AQ$9*100,0)</f>
        <v>0</v>
      </c>
      <c r="CA76" s="1" t="n">
        <f aca="false">MAX(CA75-AR76/AR$9*100,0)</f>
        <v>0</v>
      </c>
      <c r="CB76" s="1" t="n">
        <f aca="false">CB$7*EXP(-$AM76/CB$8)</f>
        <v>4.55956895283865E-035</v>
      </c>
      <c r="CC76" s="1" t="n">
        <f aca="false">(BZ76-CB76)^2</f>
        <v>2.07896690356901E-069</v>
      </c>
      <c r="CD76" s="1" t="n">
        <f aca="false">MAX(CD75-AT76/AT$9*100,0)</f>
        <v>0</v>
      </c>
      <c r="CE76" s="1" t="n">
        <f aca="false">MAX(CE75-AU76/AU$9*100,0)</f>
        <v>5.32907051820075E-015</v>
      </c>
      <c r="CF76" s="1" t="n">
        <f aca="false">CF$7*EXP(-$AM76/CF$8)</f>
        <v>3.86416802874229E-034</v>
      </c>
      <c r="CG76" s="1" t="n">
        <f aca="false">(CD76-CF76)^2</f>
        <v>1.49317945543541E-067</v>
      </c>
      <c r="CH76" s="1" t="n">
        <f aca="false">$AM76</f>
        <v>65</v>
      </c>
      <c r="CI76" s="1" t="n">
        <f aca="false">MAX(CI75-AW76/AW$9*100,0)</f>
        <v>0</v>
      </c>
      <c r="CJ76" s="1" t="n">
        <f aca="false">MAX(CJ75-AX76/AX$9*100,0)</f>
        <v>0</v>
      </c>
      <c r="CK76" s="1" t="n">
        <f aca="false">CK$7*EXP(-$AM76/CK$8)</f>
        <v>1.32723793286229E-022</v>
      </c>
      <c r="CL76" s="1" t="n">
        <f aca="false">(CI76-CK76)^2</f>
        <v>1.76156053042857E-044</v>
      </c>
      <c r="CM76" s="1" t="n">
        <f aca="false">MAX(CM75-AZ76/AZ$9*100,0)</f>
        <v>0</v>
      </c>
      <c r="CN76" s="1" t="n">
        <f aca="false">MAX(CN75-BA76/BA$9*100,0)</f>
        <v>5.32907051820075E-015</v>
      </c>
      <c r="CO76" s="1" t="n">
        <f aca="false">CO$7*EXP(-$AM76/CO$8)</f>
        <v>3.5657351441498E-012</v>
      </c>
      <c r="CP76" s="1" t="n">
        <f aca="false">(CM76-CO76)^2</f>
        <v>1.2714467118225E-023</v>
      </c>
      <c r="CQ76" s="1" t="n">
        <f aca="false">$AM76</f>
        <v>65</v>
      </c>
      <c r="CR76" s="1" t="n">
        <f aca="false">MAX(CR75-BC76/BC$9*100,0)</f>
        <v>0</v>
      </c>
      <c r="CS76" s="1" t="n">
        <f aca="false">MAX(CS75-BD76/BD$9*100,0)</f>
        <v>0</v>
      </c>
      <c r="CT76" s="1" t="n">
        <f aca="false">CT$7*EXP(-$AM76/CT$8)</f>
        <v>8.70255949698121E-021</v>
      </c>
      <c r="CU76" s="1" t="n">
        <f aca="false">(CR76-CT76)^2</f>
        <v>7.57345417984979E-041</v>
      </c>
      <c r="CV76" s="1" t="n">
        <f aca="false">MAX(CV75-BF76/BF$9*100,0)</f>
        <v>8.88178419700125E-015</v>
      </c>
      <c r="CW76" s="1" t="n">
        <f aca="false">MAX(CW75-BG76/BG$9*100,0)</f>
        <v>5.32907051820075E-015</v>
      </c>
      <c r="CX76" s="1" t="n">
        <f aca="false">CX$7*EXP(-$AM76/CX$8)</f>
        <v>2.91578475477568E-010</v>
      </c>
      <c r="CY76" s="1" t="n">
        <f aca="false">(CV76-CX76)^2</f>
        <v>8.50128279665174E-020</v>
      </c>
      <c r="CZ76" s="1" t="n">
        <f aca="false">$AM76</f>
        <v>65</v>
      </c>
      <c r="DA76" s="1" t="n">
        <f aca="false">MAX(DA75-BI76/BI$9*100,0)</f>
        <v>0</v>
      </c>
      <c r="DB76" s="1" t="n">
        <f aca="false">MAX(DB75-BJ76/BJ$9*100,0)</f>
        <v>9.88098491916389E-015</v>
      </c>
      <c r="DC76" s="1" t="n">
        <f aca="false">DC$7*EXP(-$AM76/DC$8)</f>
        <v>3.97106812515042E-019</v>
      </c>
      <c r="DD76" s="1" t="n">
        <f aca="false">(DA76-DC76)^2</f>
        <v>1.57693820545857E-037</v>
      </c>
      <c r="DE76" s="1" t="n">
        <f aca="false">MAX(DE75-BL76/BL$9*100,0)</f>
        <v>0</v>
      </c>
      <c r="DF76" s="1" t="n">
        <f aca="false">MAX(DF75-BM76/BM$9*100,0)</f>
        <v>0</v>
      </c>
      <c r="DG76" s="1" t="n">
        <f aca="false">DG$7*EXP(-$AM76/DG$8)</f>
        <v>1.05609191044296E-005</v>
      </c>
      <c r="DH76" s="1" t="n">
        <f aca="false">(DE76-DG76)^2</f>
        <v>1.11533012330306E-010</v>
      </c>
      <c r="DI76" s="1" t="n">
        <f aca="false">$AM76</f>
        <v>65</v>
      </c>
      <c r="DJ76" s="1" t="n">
        <f aca="false">MAX(DJ75-BO76/BO$9*100,0)</f>
        <v>0</v>
      </c>
      <c r="DK76" s="1" t="n">
        <f aca="false">MAX(DK75-BP76/BP$9*100,0)</f>
        <v>9.99200722162641E-015</v>
      </c>
      <c r="DL76" s="1" t="n">
        <f aca="false">DL$7*EXP(-$AM76/DL$8)</f>
        <v>7.20443038839105E-016</v>
      </c>
      <c r="DM76" s="1" t="n">
        <f aca="false">(DJ76-DL76)^2</f>
        <v>5.19038172211724E-031</v>
      </c>
      <c r="DN76" s="1" t="n">
        <f aca="false">MAX(DN75-BR76/BR$9*100,0)</f>
        <v>0</v>
      </c>
      <c r="DO76" s="1" t="n">
        <f aca="false">MAX(DO75-BS76/BS$9*100,0)</f>
        <v>0</v>
      </c>
      <c r="DP76" s="1" t="n">
        <f aca="false">DP$7*EXP(-$AM76/DP$8)</f>
        <v>1.22867194798737E-006</v>
      </c>
      <c r="DQ76" s="1" t="n">
        <f aca="false">(DN76-DP76)^2</f>
        <v>1.50963475577108E-012</v>
      </c>
      <c r="DS76" s="1" t="n">
        <f aca="false">$AM76</f>
        <v>65</v>
      </c>
      <c r="DT76" s="1" t="n">
        <f aca="false">CA76</f>
        <v>0</v>
      </c>
      <c r="DU76" s="1" t="n">
        <f aca="false">DU$7*EXP(-DS76/DU$8)</f>
        <v>1.28819038769979E-027</v>
      </c>
      <c r="DV76" s="1" t="n">
        <f aca="false">(DT76-DU76)^2</f>
        <v>1.65943447496214E-054</v>
      </c>
      <c r="DX76" s="1" t="n">
        <f aca="false">$AM76</f>
        <v>65</v>
      </c>
      <c r="DY76" s="1" t="n">
        <f aca="false">CM76</f>
        <v>0</v>
      </c>
      <c r="DZ76" s="1" t="n">
        <f aca="false">DZ$7*EXP(-DX76/DZ$8)</f>
        <v>2.18569182327954E-014</v>
      </c>
      <c r="EA76" s="1" t="n">
        <f aca="false">(DY76-DZ76)^2</f>
        <v>4.77724874635104E-028</v>
      </c>
      <c r="EC76" s="1" t="n">
        <f aca="false">$AM76</f>
        <v>65</v>
      </c>
      <c r="ED76" s="1" t="n">
        <f aca="false">CV76</f>
        <v>8.88178419700125E-015</v>
      </c>
      <c r="EE76" s="1" t="n">
        <f aca="false">EE$7*EXP(-EC76/EE$8)</f>
        <v>6.68578482495146E-011</v>
      </c>
      <c r="EF76" s="1" t="n">
        <f aca="false">(ED76-EE76)^2</f>
        <v>4.46878431748116E-021</v>
      </c>
      <c r="EH76" s="1" t="n">
        <f aca="false">$AM76</f>
        <v>65</v>
      </c>
      <c r="EI76" s="1" t="n">
        <f aca="false">DE76</f>
        <v>0</v>
      </c>
      <c r="EJ76" s="1" t="n">
        <f aca="false">EJ$7*EXP(-EH76/EJ$8)</f>
        <v>1.05170978633324E-005</v>
      </c>
      <c r="EK76" s="1" t="n">
        <f aca="false">(EI76-EJ76)^2</f>
        <v>1.10609347466911E-010</v>
      </c>
      <c r="EM76" s="1" t="n">
        <f aca="false">AM76</f>
        <v>65</v>
      </c>
      <c r="EN76" s="1" t="n">
        <f aca="false">DN76</f>
        <v>0</v>
      </c>
      <c r="EO76" s="1" t="n">
        <f aca="false">EO$7*EXP(-EM76/EO$8)</f>
        <v>2.21396078681545E-006</v>
      </c>
      <c r="EP76" s="1" t="n">
        <f aca="false">(EN76-EO76)^2</f>
        <v>4.90162236555649E-012</v>
      </c>
      <c r="ER76" s="1" t="n">
        <f aca="false">$AM76</f>
        <v>65</v>
      </c>
      <c r="ES76" s="1" t="n">
        <f aca="false">BZ76</f>
        <v>0</v>
      </c>
      <c r="ET76" s="1" t="n">
        <f aca="false">ET$7*EXP(-ER76/ET$8)</f>
        <v>4.53242332911251E-032</v>
      </c>
      <c r="EU76" s="1" t="n">
        <f aca="false">(ES76-ET76)^2</f>
        <v>2.05428612342833E-063</v>
      </c>
      <c r="EW76" s="1" t="n">
        <f aca="false">$AM76</f>
        <v>65</v>
      </c>
      <c r="EX76" s="1" t="n">
        <f aca="false">CI76</f>
        <v>0</v>
      </c>
      <c r="EY76" s="1" t="n">
        <f aca="false">EY$7*EXP(-EW76/EY$8)</f>
        <v>2.33416559135509E-029</v>
      </c>
      <c r="EZ76" s="1" t="n">
        <f aca="false">(EX76-EY76)^2</f>
        <v>5.44832900786606E-058</v>
      </c>
      <c r="FB76" s="1" t="n">
        <f aca="false">$AM76</f>
        <v>65</v>
      </c>
      <c r="FC76" s="1" t="n">
        <f aca="false">CR76</f>
        <v>0</v>
      </c>
      <c r="FD76" s="1" t="n">
        <f aca="false">FD$7*EXP(-FB76/FD$8)</f>
        <v>2.32018974827035E-025</v>
      </c>
      <c r="FE76" s="1" t="n">
        <f aca="false">(FC76-FD76)^2</f>
        <v>5.38328046797883E-050</v>
      </c>
      <c r="FG76" s="1" t="n">
        <f aca="false">$AM76</f>
        <v>65</v>
      </c>
      <c r="FH76" s="1" t="n">
        <f aca="false">DA76</f>
        <v>0</v>
      </c>
      <c r="FI76" s="1" t="n">
        <f aca="false">FI$7*EXP(-FG76/FI$8)</f>
        <v>8.70250099570473E-022</v>
      </c>
      <c r="FJ76" s="1" t="n">
        <f aca="false">(FH76-FI76)^2</f>
        <v>7.57335235802418E-043</v>
      </c>
      <c r="FL76" s="1" t="n">
        <f aca="false">EM76</f>
        <v>65</v>
      </c>
      <c r="FM76" s="1" t="n">
        <f aca="false">DJ76</f>
        <v>0</v>
      </c>
      <c r="FN76" s="1" t="n">
        <f aca="false">FN$7*EXP(-FL76/FN$8)</f>
        <v>2.57644794448073E-017</v>
      </c>
      <c r="FO76" s="1" t="n">
        <f aca="false">(FM76-FN76)^2</f>
        <v>6.63808401061898E-034</v>
      </c>
      <c r="FQ76" s="1" t="n">
        <f aca="false">AM76</f>
        <v>65</v>
      </c>
      <c r="FR76" s="1" t="n">
        <f aca="false">AN76/AN$9*100</f>
        <v>0</v>
      </c>
      <c r="FS76" s="1" t="n">
        <f aca="false">AO76/AO$9*100</f>
        <v>0</v>
      </c>
      <c r="FT76" s="1" t="n">
        <f aca="false">AQ76/AQ$9*100</f>
        <v>0</v>
      </c>
      <c r="FU76" s="1" t="n">
        <f aca="false">AR76/AR$9*100</f>
        <v>0</v>
      </c>
      <c r="FV76" s="1" t="n">
        <f aca="false">AT76/AT$9*100</f>
        <v>0</v>
      </c>
      <c r="FW76" s="1" t="n">
        <f aca="false">AU76/AU$9*100</f>
        <v>0</v>
      </c>
      <c r="FX76" s="1" t="n">
        <f aca="false">AW76/AW$9*100</f>
        <v>0</v>
      </c>
      <c r="FY76" s="1" t="n">
        <f aca="false">AX76/AX$9*100</f>
        <v>0</v>
      </c>
      <c r="FZ76" s="1" t="n">
        <f aca="false">AZ76/AZ$9*100</f>
        <v>0</v>
      </c>
      <c r="GA76" s="1" t="n">
        <f aca="false">BA76/BA$9*100</f>
        <v>0</v>
      </c>
      <c r="GB76" s="1" t="n">
        <f aca="false">BC76/BC$9*100</f>
        <v>0</v>
      </c>
      <c r="GC76" s="1" t="n">
        <f aca="false">BD76/BD$9*100</f>
        <v>0</v>
      </c>
      <c r="GD76" s="1" t="n">
        <f aca="false">BF76/BF$9*100</f>
        <v>0</v>
      </c>
      <c r="GE76" s="1" t="n">
        <f aca="false">BG76/BG$9*100</f>
        <v>0</v>
      </c>
      <c r="GF76" s="1" t="n">
        <f aca="false">BI76/BI$9*100</f>
        <v>0</v>
      </c>
      <c r="GG76" s="1" t="n">
        <f aca="false">BJ76/BJ$9*100</f>
        <v>0</v>
      </c>
      <c r="GH76" s="1" t="n">
        <f aca="false">BL76/BL$9*100</f>
        <v>0</v>
      </c>
      <c r="GI76" s="1" t="n">
        <f aca="false">BM76/BM$9*100</f>
        <v>0</v>
      </c>
      <c r="GJ76" s="1" t="n">
        <f aca="false">BO76/BO$9*100</f>
        <v>0</v>
      </c>
      <c r="GK76" s="1" t="n">
        <f aca="false">BP76/BP$9*100</f>
        <v>0</v>
      </c>
      <c r="GL76" s="1" t="n">
        <f aca="false">BR76/BR$9*100</f>
        <v>0</v>
      </c>
      <c r="GM76" s="1" t="n">
        <f aca="false">BS76/BS$9*100</f>
        <v>0</v>
      </c>
      <c r="GO76" s="1" t="n">
        <f aca="false">$AM76</f>
        <v>65</v>
      </c>
      <c r="GP76" s="1" t="n">
        <f aca="false">FT76</f>
        <v>0</v>
      </c>
      <c r="GQ76" s="1" t="n">
        <f aca="false">GQ$6*(1+GQ$5*(-1)^$FQ76)*EXP(-$FQ76/GQ$4)</f>
        <v>2.88958955577257E-020</v>
      </c>
      <c r="GR76" s="1" t="n">
        <f aca="false">(GP76-GQ76)^2</f>
        <v>8.34972780082992E-040</v>
      </c>
      <c r="GS76" s="1" t="n">
        <f aca="false">EXP($FQ76/$JG$4)*GP76</f>
        <v>0</v>
      </c>
      <c r="GT76" s="1" t="n">
        <f aca="false">EXP($FQ76/$JG$4)*(-1)^$FQ76*GP76</f>
        <v>-0</v>
      </c>
      <c r="GU76" s="1" t="n">
        <f aca="false">(-1)^GO76*GP76</f>
        <v>-0</v>
      </c>
      <c r="GW76" s="1" t="n">
        <f aca="false">$AM76</f>
        <v>65</v>
      </c>
      <c r="GX76" s="1" t="n">
        <f aca="false">FX76</f>
        <v>0</v>
      </c>
      <c r="GY76" s="1" t="n">
        <f aca="false">GY$6*(1+GY$5*(-1)^$FQ76)*EXP(-$FQ76/GY$4)</f>
        <v>2.88958955577257E-020</v>
      </c>
      <c r="GZ76" s="1" t="n">
        <f aca="false">(GX76-GY76)^2</f>
        <v>8.34972780082992E-040</v>
      </c>
      <c r="HA76" s="1" t="n">
        <f aca="false">EXP($FQ76/$JG$4)*GX76</f>
        <v>0</v>
      </c>
      <c r="HB76" s="1" t="n">
        <f aca="false">EXP($FQ76/$JG$4)*(-1)^$FQ76*GX76</f>
        <v>-0</v>
      </c>
      <c r="HC76" s="1" t="n">
        <f aca="false">(-1)^GW76*GX76</f>
        <v>-0</v>
      </c>
      <c r="HE76" s="1" t="n">
        <f aca="false">$AM76</f>
        <v>65</v>
      </c>
      <c r="HF76" s="1" t="n">
        <f aca="false">GB76</f>
        <v>0</v>
      </c>
      <c r="HG76" s="1" t="n">
        <f aca="false">HG$6*(1+HG$5*(-1)^$FQ76)*EXP(-$FQ76/HG$4)</f>
        <v>2.88958955577257E-020</v>
      </c>
      <c r="HH76" s="1" t="n">
        <f aca="false">(HF76-HG76)^2</f>
        <v>8.34972780082992E-040</v>
      </c>
      <c r="HI76" s="1" t="n">
        <f aca="false">EXP($FQ76/$JG$4)*HF76</f>
        <v>0</v>
      </c>
      <c r="HJ76" s="1" t="n">
        <f aca="false">EXP($FQ76/$JG$4)*(-1)^$FQ76*HF76</f>
        <v>-0</v>
      </c>
      <c r="HK76" s="1" t="n">
        <f aca="false">(-1)^HE76*HF76</f>
        <v>-0</v>
      </c>
      <c r="HM76" s="1" t="n">
        <f aca="false">$AM76</f>
        <v>65</v>
      </c>
      <c r="HN76" s="1" t="n">
        <f aca="false">GF76</f>
        <v>0</v>
      </c>
      <c r="HO76" s="1" t="n">
        <f aca="false">HO$6*(1+HO$5*(-1)^$FQ76)*EXP(-$FQ76/HO$4)</f>
        <v>4.52719581645497E-016</v>
      </c>
      <c r="HP76" s="1" t="n">
        <f aca="false">(HN76-HO76)^2</f>
        <v>2.04955019605274E-031</v>
      </c>
      <c r="HQ76" s="1" t="n">
        <f aca="false">EXP($FQ76/$JG$4)*HN76</f>
        <v>0</v>
      </c>
      <c r="HR76" s="1" t="n">
        <f aca="false">EXP($FQ76/$JG$4)*(-1)^$FQ76*HN76</f>
        <v>-0</v>
      </c>
      <c r="HS76" s="1" t="n">
        <f aca="false">(-1)^HM76*HN76</f>
        <v>-0</v>
      </c>
      <c r="HU76" s="1" t="n">
        <f aca="false">$AM76</f>
        <v>65</v>
      </c>
      <c r="HV76" s="1" t="n">
        <f aca="false">GJ76</f>
        <v>0</v>
      </c>
      <c r="HW76" s="1" t="n">
        <f aca="false">HW$6*(1+HW$5*(-1)^$FQ76)*EXP(-$FQ76/HW$4)</f>
        <v>1.008695030027E-011</v>
      </c>
      <c r="HX76" s="1" t="n">
        <f aca="false">(HV76-HW76)^2</f>
        <v>1.01746566360117E-022</v>
      </c>
      <c r="HY76" s="1" t="n">
        <f aca="false">EXP($FQ76/$JG$4)*HV76</f>
        <v>0</v>
      </c>
      <c r="HZ76" s="1" t="n">
        <f aca="false">EXP($FQ76/$JG$4)*(-1)^$FQ76*HV76</f>
        <v>-0</v>
      </c>
      <c r="IA76" s="1" t="n">
        <f aca="false">(-1)^HU76*HV76</f>
        <v>-0</v>
      </c>
      <c r="ID76" s="1" t="n">
        <f aca="false">$AM76</f>
        <v>65</v>
      </c>
      <c r="IE76" s="1" t="n">
        <f aca="false">FZ76</f>
        <v>0</v>
      </c>
      <c r="IF76" s="1" t="n">
        <f aca="false">IF$6*(1+IF$5*(-1)^$FQ76)*EXP(-$FQ76/IF$4)</f>
        <v>1.10571696726329E-008</v>
      </c>
      <c r="IG76" s="1" t="n">
        <f aca="false">(IE76-IF76)^2</f>
        <v>1.22261001169393E-016</v>
      </c>
      <c r="IH76" s="1" t="n">
        <f aca="false">EXP($FQ76/$JG$4)*IE76</f>
        <v>0</v>
      </c>
      <c r="II76" s="1" t="n">
        <f aca="false">EXP($FQ76/$JG$4)*(-1)^$FQ76*IE76</f>
        <v>-0</v>
      </c>
      <c r="IJ76" s="1" t="n">
        <f aca="false">(-1)^ID76*IE76</f>
        <v>-0</v>
      </c>
      <c r="IK76" s="1" t="n">
        <v>0</v>
      </c>
      <c r="IM76" s="1" t="n">
        <f aca="false">$AM76</f>
        <v>65</v>
      </c>
      <c r="IN76" s="1" t="n">
        <f aca="false">GD76</f>
        <v>0</v>
      </c>
      <c r="IO76" s="1" t="n">
        <f aca="false">IO$6*(1+IO$5*(-1)^$FQ76)*EXP(-$FQ76/IO$4)</f>
        <v>1.89122332270614E-007</v>
      </c>
      <c r="IP76" s="1" t="n">
        <f aca="false">(IN76-IO76)^2</f>
        <v>3.57672565634765E-014</v>
      </c>
      <c r="IQ76" s="1" t="n">
        <f aca="false">EXP($FQ76/$JG$4)*IN76</f>
        <v>0</v>
      </c>
      <c r="IR76" s="1" t="n">
        <f aca="false">EXP($FQ76/$JG$4)*(-1)^$FQ76*IN76</f>
        <v>-0</v>
      </c>
      <c r="IS76" s="1" t="n">
        <f aca="false">(-1)^IM76*IN76</f>
        <v>-0</v>
      </c>
      <c r="IT76" s="1" t="n">
        <v>0</v>
      </c>
      <c r="IV76" s="1" t="n">
        <f aca="false">$AM76</f>
        <v>65</v>
      </c>
      <c r="IW76" s="1" t="n">
        <f aca="false">GH76</f>
        <v>0</v>
      </c>
      <c r="IX76" s="1" t="n">
        <f aca="false">IX$6*(1+IX$5*(-1)^$FQ76)*EXP(-$FQ76/IX$4)</f>
        <v>3.4340903966021E-005</v>
      </c>
      <c r="IY76" s="1" t="n">
        <f aca="false">(IW76-IX76)^2</f>
        <v>1.17929768520348E-009</v>
      </c>
      <c r="IZ76" s="1" t="n">
        <f aca="false">EXP($FQ76/$JG$4)*IW76</f>
        <v>0</v>
      </c>
      <c r="JA76" s="1" t="n">
        <f aca="false">EXP($FQ76/$JG$4)*(-1)^$FQ76*IW76</f>
        <v>-0</v>
      </c>
      <c r="JB76" s="1" t="n">
        <f aca="false">(-1)^IV76*IW76</f>
        <v>-0</v>
      </c>
      <c r="JE76" s="1" t="n">
        <f aca="false">$AM76</f>
        <v>65</v>
      </c>
      <c r="JF76" s="1" t="n">
        <f aca="false">GL76</f>
        <v>0</v>
      </c>
      <c r="JG76" s="1" t="n">
        <f aca="false">JG$6*(1+JG$5*(-1)^$FQ76)*EXP(-$FQ76/JG$4)</f>
        <v>1.93524499742786E-006</v>
      </c>
      <c r="JH76" s="1" t="n">
        <f aca="false">(JF76-JG76)^2</f>
        <v>3.74517320006956E-012</v>
      </c>
      <c r="JI76" s="1" t="n">
        <f aca="false">EXP($FQ76/$JG$4)*JF76</f>
        <v>0</v>
      </c>
      <c r="JJ76" s="1" t="n">
        <f aca="false">EXP($FQ76/$JG$4)*(-1)^$FQ76*JF76</f>
        <v>-0</v>
      </c>
      <c r="JK76" s="1" t="n">
        <f aca="false">(-1)^JE76*JF76</f>
        <v>-0</v>
      </c>
      <c r="JO76" s="1" t="n">
        <f aca="false">$AM76</f>
        <v>65</v>
      </c>
      <c r="JP76" s="1" t="n">
        <f aca="false">GM76</f>
        <v>0</v>
      </c>
      <c r="JQ76" s="1" t="n">
        <f aca="false">JQ$6*(1+JQ$5*(-1)^$FQ76)*EXP(-$FQ76/JQ$4)</f>
        <v>0.0151135403669619</v>
      </c>
      <c r="JR76" s="1" t="n">
        <f aca="false">(JP76-JQ76)^2</f>
        <v>0.000228419102423787</v>
      </c>
      <c r="JS76" s="1" t="n">
        <f aca="false">EXP($FQ76/$JG$4)*JP76</f>
        <v>0</v>
      </c>
      <c r="JT76" s="1" t="n">
        <f aca="false">EXP($FQ76/$JG$4)*(-1)^$FQ76*JP76</f>
        <v>-0</v>
      </c>
      <c r="JU76" s="1" t="n">
        <f aca="false">(-1)^JO76*JP76</f>
        <v>-0</v>
      </c>
    </row>
    <row r="77" customFormat="false" ht="16" hidden="false" customHeight="false" outlineLevel="0" collapsed="false">
      <c r="A77" s="1" t="n">
        <v>3</v>
      </c>
      <c r="B77" s="1" t="n">
        <v>3</v>
      </c>
      <c r="C77" s="1" t="n">
        <f aca="false">B77-A77</f>
        <v>0</v>
      </c>
      <c r="D77" s="1" t="n">
        <v>4</v>
      </c>
      <c r="E77" s="1" t="n">
        <v>4</v>
      </c>
      <c r="F77" s="1" t="n">
        <f aca="false">E77-D77</f>
        <v>0</v>
      </c>
      <c r="G77" s="1" t="n">
        <v>1</v>
      </c>
      <c r="H77" s="1" t="n">
        <v>1</v>
      </c>
      <c r="I77" s="1" t="n">
        <f aca="false">H77-G77</f>
        <v>0</v>
      </c>
      <c r="J77" s="1" t="n">
        <v>2</v>
      </c>
      <c r="K77" s="1" t="n">
        <v>2</v>
      </c>
      <c r="L77" s="1" t="n">
        <f aca="false">K77-J77</f>
        <v>0</v>
      </c>
      <c r="M77" s="1" t="n">
        <v>4</v>
      </c>
      <c r="N77" s="1" t="n">
        <v>6</v>
      </c>
      <c r="O77" s="1" t="n">
        <f aca="false">N77-M77</f>
        <v>2</v>
      </c>
      <c r="P77" s="1" t="n">
        <v>2</v>
      </c>
      <c r="Q77" s="1" t="n">
        <v>5</v>
      </c>
      <c r="R77" s="1" t="n">
        <f aca="false">Q77-P77</f>
        <v>3</v>
      </c>
      <c r="S77" s="1" t="n">
        <v>3</v>
      </c>
      <c r="T77" s="1" t="n">
        <v>5</v>
      </c>
      <c r="U77" s="1" t="n">
        <f aca="false">T77-S77</f>
        <v>2</v>
      </c>
      <c r="V77" s="1" t="n">
        <v>1</v>
      </c>
      <c r="W77" s="1" t="n">
        <v>2</v>
      </c>
      <c r="X77" s="1" t="n">
        <f aca="false">W77-V77</f>
        <v>1</v>
      </c>
      <c r="Y77" s="1" t="n">
        <v>34</v>
      </c>
      <c r="Z77" s="1" t="n">
        <v>56</v>
      </c>
      <c r="AA77" s="1" t="n">
        <f aca="false">Z77-Y77</f>
        <v>22</v>
      </c>
      <c r="AB77" s="1" t="n">
        <v>2</v>
      </c>
      <c r="AC77" s="1" t="n">
        <v>4</v>
      </c>
      <c r="AD77" s="1" t="n">
        <f aca="false">AC77-AB77</f>
        <v>2</v>
      </c>
      <c r="AE77" s="1" t="n">
        <v>1</v>
      </c>
      <c r="AF77" s="1" t="n">
        <v>7</v>
      </c>
      <c r="AG77" s="1" t="n">
        <f aca="false">AF77-AE77</f>
        <v>6</v>
      </c>
      <c r="AM77" s="1" t="n">
        <v>66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W77" s="1" t="n">
        <f aca="false">$AM77</f>
        <v>66</v>
      </c>
      <c r="BX77" s="1" t="n">
        <f aca="false">MAX(BX76-AN77/AN$9*100,0)</f>
        <v>0</v>
      </c>
      <c r="BY77" s="1" t="n">
        <f aca="false">MAX(BY76-AO77/AO$9*100,0)</f>
        <v>0</v>
      </c>
      <c r="BZ77" s="1" t="n">
        <f aca="false">MAX(BZ76-AQ77/AQ$9*100,0)</f>
        <v>0</v>
      </c>
      <c r="CA77" s="1" t="n">
        <f aca="false">MAX(CA76-AR77/AR$9*100,0)</f>
        <v>0</v>
      </c>
      <c r="CB77" s="1" t="n">
        <f aca="false">CB$7*EXP(-$AM77/CB$8)</f>
        <v>1.24424235250736E-035</v>
      </c>
      <c r="CC77" s="1" t="n">
        <f aca="false">(BZ77-CB77)^2</f>
        <v>1.54813903177305E-070</v>
      </c>
      <c r="CD77" s="1" t="n">
        <f aca="false">MAX(CD76-AT77/AT$9*100,0)</f>
        <v>0</v>
      </c>
      <c r="CE77" s="1" t="n">
        <f aca="false">MAX(CE76-AU77/AU$9*100,0)</f>
        <v>5.32907051820075E-015</v>
      </c>
      <c r="CF77" s="1" t="n">
        <f aca="false">CF$7*EXP(-$AM77/CF$8)</f>
        <v>1.08972308803811E-034</v>
      </c>
      <c r="CG77" s="1" t="n">
        <f aca="false">(CD77-CF77)^2</f>
        <v>1.18749640860331E-068</v>
      </c>
      <c r="CH77" s="1" t="n">
        <f aca="false">$AM77</f>
        <v>66</v>
      </c>
      <c r="CI77" s="1" t="n">
        <f aca="false">MAX(CI76-AW77/AW$9*100,0)</f>
        <v>0</v>
      </c>
      <c r="CJ77" s="1" t="n">
        <f aca="false">MAX(CJ76-AX77/AX$9*100,0)</f>
        <v>0</v>
      </c>
      <c r="CK77" s="1" t="n">
        <f aca="false">CK$7*EXP(-$AM77/CK$8)</f>
        <v>5.64620861828877E-023</v>
      </c>
      <c r="CL77" s="1" t="n">
        <f aca="false">(CI77-CK77)^2</f>
        <v>3.18796717612384E-045</v>
      </c>
      <c r="CM77" s="1" t="n">
        <f aca="false">MAX(CM76-AZ77/AZ$9*100,0)</f>
        <v>0</v>
      </c>
      <c r="CN77" s="1" t="n">
        <f aca="false">MAX(CN76-BA77/BA$9*100,0)</f>
        <v>5.32907051820075E-015</v>
      </c>
      <c r="CO77" s="1" t="n">
        <f aca="false">CO$7*EXP(-$AM77/CO$8)</f>
        <v>2.20472109502388E-012</v>
      </c>
      <c r="CP77" s="1" t="n">
        <f aca="false">(CM77-CO77)^2</f>
        <v>4.8607951068433E-024</v>
      </c>
      <c r="CQ77" s="1" t="n">
        <f aca="false">$AM77</f>
        <v>66</v>
      </c>
      <c r="CR77" s="1" t="n">
        <f aca="false">MAX(CR76-BC77/BC$9*100,0)</f>
        <v>0</v>
      </c>
      <c r="CS77" s="1" t="n">
        <f aca="false">MAX(CS76-BD77/BD$9*100,0)</f>
        <v>0</v>
      </c>
      <c r="CT77" s="1" t="n">
        <f aca="false">CT$7*EXP(-$AM77/CT$8)</f>
        <v>3.95988744802207E-021</v>
      </c>
      <c r="CU77" s="1" t="n">
        <f aca="false">(CR77-CT77)^2</f>
        <v>1.56807086010027E-041</v>
      </c>
      <c r="CV77" s="1" t="n">
        <f aca="false">MAX(CV76-BF77/BF$9*100,0)</f>
        <v>8.88178419700125E-015</v>
      </c>
      <c r="CW77" s="1" t="n">
        <f aca="false">MAX(CW76-BG77/BG$9*100,0)</f>
        <v>5.32907051820075E-015</v>
      </c>
      <c r="CX77" s="1" t="n">
        <f aca="false">CX$7*EXP(-$AM77/CX$8)</f>
        <v>1.92883434800314E-010</v>
      </c>
      <c r="CY77" s="1" t="n">
        <f aca="false">(CV77-CX77)^2</f>
        <v>3.72005932011669E-020</v>
      </c>
      <c r="CZ77" s="1" t="n">
        <f aca="false">$AM77</f>
        <v>66</v>
      </c>
      <c r="DA77" s="1" t="n">
        <f aca="false">MAX(DA76-BI77/BI$9*100,0)</f>
        <v>0</v>
      </c>
      <c r="DB77" s="1" t="n">
        <f aca="false">MAX(DB76-BJ77/BJ$9*100,0)</f>
        <v>9.88098491916389E-015</v>
      </c>
      <c r="DC77" s="1" t="n">
        <f aca="false">DC$7*EXP(-$AM77/DC$8)</f>
        <v>1.91383312052059E-019</v>
      </c>
      <c r="DD77" s="1" t="n">
        <f aca="false">(DA77-DC77)^2</f>
        <v>3.66275721320158E-038</v>
      </c>
      <c r="DE77" s="1" t="n">
        <f aca="false">MAX(DE76-BL77/BL$9*100,0)</f>
        <v>0</v>
      </c>
      <c r="DF77" s="1" t="n">
        <f aca="false">MAX(DF76-BM77/BM$9*100,0)</f>
        <v>0</v>
      </c>
      <c r="DG77" s="1" t="n">
        <f aca="false">DG$7*EXP(-$AM77/DG$8)</f>
        <v>8.22485206848352E-006</v>
      </c>
      <c r="DH77" s="1" t="n">
        <f aca="false">(DE77-DG77)^2</f>
        <v>6.76481915484376E-011</v>
      </c>
      <c r="DI77" s="1" t="n">
        <f aca="false">$AM77</f>
        <v>66</v>
      </c>
      <c r="DJ77" s="1" t="n">
        <f aca="false">MAX(DJ76-BO77/BO$9*100,0)</f>
        <v>0</v>
      </c>
      <c r="DK77" s="1" t="n">
        <f aca="false">MAX(DK76-BP77/BP$9*100,0)</f>
        <v>9.99200722162641E-015</v>
      </c>
      <c r="DL77" s="1" t="n">
        <f aca="false">DL$7*EXP(-$AM77/DL$8)</f>
        <v>3.90086855983024E-016</v>
      </c>
      <c r="DM77" s="1" t="n">
        <f aca="false">(DJ77-DL77)^2</f>
        <v>1.52167755210721E-031</v>
      </c>
      <c r="DN77" s="1" t="n">
        <f aca="false">MAX(DN76-BR77/BR$9*100,0)</f>
        <v>0</v>
      </c>
      <c r="DO77" s="1" t="n">
        <f aca="false">MAX(DO76-BS77/BS$9*100,0)</f>
        <v>0</v>
      </c>
      <c r="DP77" s="1" t="n">
        <f aca="false">DP$7*EXP(-$AM77/DP$8)</f>
        <v>9.25563766346899E-007</v>
      </c>
      <c r="DQ77" s="1" t="n">
        <f aca="false">(DN77-DP77)^2</f>
        <v>8.56668285574257E-013</v>
      </c>
      <c r="DS77" s="1" t="n">
        <f aca="false">$AM77</f>
        <v>66</v>
      </c>
      <c r="DT77" s="1" t="n">
        <f aca="false">CA77</f>
        <v>0</v>
      </c>
      <c r="DU77" s="1" t="n">
        <f aca="false">DU$7*EXP(-DS77/DU$8)</f>
        <v>4.59466428056711E-028</v>
      </c>
      <c r="DV77" s="1" t="n">
        <f aca="false">(DT77-DU77)^2</f>
        <v>2.11109398511193E-055</v>
      </c>
      <c r="DX77" s="1" t="n">
        <f aca="false">$AM77</f>
        <v>66</v>
      </c>
      <c r="DY77" s="1" t="n">
        <f aca="false">CM77</f>
        <v>0</v>
      </c>
      <c r="DZ77" s="1" t="n">
        <f aca="false">DZ$7*EXP(-DX77/DZ$8)</f>
        <v>1.24624452555536E-014</v>
      </c>
      <c r="EA77" s="1" t="n">
        <f aca="false">(DY77-DZ77)^2</f>
        <v>1.5531254174767E-028</v>
      </c>
      <c r="EC77" s="1" t="n">
        <f aca="false">$AM77</f>
        <v>66</v>
      </c>
      <c r="ED77" s="1" t="n">
        <f aca="false">CV77</f>
        <v>8.88178419700125E-015</v>
      </c>
      <c r="EE77" s="1" t="n">
        <f aca="false">EE$7*EXP(-EC77/EE$8)</f>
        <v>4.32020295659526E-011</v>
      </c>
      <c r="EF77" s="1" t="n">
        <f aca="false">(ED77-EE77)^2</f>
        <v>1.86564801529658E-021</v>
      </c>
      <c r="EH77" s="1" t="n">
        <f aca="false">$AM77</f>
        <v>66</v>
      </c>
      <c r="EI77" s="1" t="n">
        <f aca="false">DE77</f>
        <v>0</v>
      </c>
      <c r="EJ77" s="1" t="n">
        <f aca="false">EJ$7*EXP(-EH77/EJ$8)</f>
        <v>8.19072405160184E-006</v>
      </c>
      <c r="EK77" s="1" t="n">
        <f aca="false">(EI77-EJ77)^2</f>
        <v>6.70879604894889E-011</v>
      </c>
      <c r="EM77" s="1" t="n">
        <f aca="false">AM77</f>
        <v>66</v>
      </c>
      <c r="EN77" s="1" t="n">
        <f aca="false">DN77</f>
        <v>0</v>
      </c>
      <c r="EO77" s="1" t="n">
        <f aca="false">EO$7*EXP(-EM77/EO$8)</f>
        <v>1.68339151926943E-006</v>
      </c>
      <c r="EP77" s="1" t="n">
        <f aca="false">(EN77-EO77)^2</f>
        <v>2.83380700714824E-012</v>
      </c>
      <c r="ER77" s="1" t="n">
        <f aca="false">$AM77</f>
        <v>66</v>
      </c>
      <c r="ES77" s="1" t="n">
        <f aca="false">BZ77</f>
        <v>0</v>
      </c>
      <c r="ET77" s="1" t="n">
        <f aca="false">ET$7*EXP(-ER77/ET$8)</f>
        <v>1.37820311098866E-032</v>
      </c>
      <c r="EU77" s="1" t="n">
        <f aca="false">(ES77-ET77)^2</f>
        <v>1.89944381513882E-064</v>
      </c>
      <c r="EW77" s="1" t="n">
        <f aca="false">$AM77</f>
        <v>66</v>
      </c>
      <c r="EX77" s="1" t="n">
        <f aca="false">CI77</f>
        <v>0</v>
      </c>
      <c r="EY77" s="1" t="n">
        <f aca="false">EY$7*EXP(-EW77/EY$8)</f>
        <v>7.77830519261801E-030</v>
      </c>
      <c r="EZ77" s="1" t="n">
        <f aca="false">(EX77-EY77)^2</f>
        <v>6.05020316695083E-059</v>
      </c>
      <c r="FB77" s="1" t="n">
        <f aca="false">$AM77</f>
        <v>66</v>
      </c>
      <c r="FC77" s="1" t="n">
        <f aca="false">CR77</f>
        <v>0</v>
      </c>
      <c r="FD77" s="1" t="n">
        <f aca="false">FD$7*EXP(-FB77/FD$8)</f>
        <v>8.95178640769205E-026</v>
      </c>
      <c r="FE77" s="1" t="n">
        <f aca="false">(FC77-FD77)^2</f>
        <v>8.01344798889402E-051</v>
      </c>
      <c r="FG77" s="1" t="n">
        <f aca="false">$AM77</f>
        <v>66</v>
      </c>
      <c r="FH77" s="1" t="n">
        <f aca="false">DA77</f>
        <v>0</v>
      </c>
      <c r="FI77" s="1" t="n">
        <f aca="false">FI$7*EXP(-FG77/FI$8)</f>
        <v>3.80822870467966E-022</v>
      </c>
      <c r="FJ77" s="1" t="n">
        <f aca="false">(FH77-FI77)^2</f>
        <v>1.45026058671461E-043</v>
      </c>
      <c r="FL77" s="1" t="n">
        <f aca="false">EM77</f>
        <v>66</v>
      </c>
      <c r="FM77" s="1" t="n">
        <f aca="false">DJ77</f>
        <v>0</v>
      </c>
      <c r="FN77" s="1" t="n">
        <f aca="false">FN$7*EXP(-FL77/FN$8)</f>
        <v>1.32279248099275E-017</v>
      </c>
      <c r="FO77" s="1" t="n">
        <f aca="false">(FM77-FN77)^2</f>
        <v>1.74977994777095E-034</v>
      </c>
      <c r="FQ77" s="1" t="n">
        <f aca="false">AM77</f>
        <v>66</v>
      </c>
      <c r="FR77" s="1" t="n">
        <f aca="false">AN77/AN$9*100</f>
        <v>0</v>
      </c>
      <c r="FS77" s="1" t="n">
        <f aca="false">AO77/AO$9*100</f>
        <v>0</v>
      </c>
      <c r="FT77" s="1" t="n">
        <f aca="false">AQ77/AQ$9*100</f>
        <v>0</v>
      </c>
      <c r="FU77" s="1" t="n">
        <f aca="false">AR77/AR$9*100</f>
        <v>0</v>
      </c>
      <c r="FV77" s="1" t="n">
        <f aca="false">AT77/AT$9*100</f>
        <v>0</v>
      </c>
      <c r="FW77" s="1" t="n">
        <f aca="false">AU77/AU$9*100</f>
        <v>0</v>
      </c>
      <c r="FX77" s="1" t="n">
        <f aca="false">AW77/AW$9*100</f>
        <v>0</v>
      </c>
      <c r="FY77" s="1" t="n">
        <f aca="false">AX77/AX$9*100</f>
        <v>0</v>
      </c>
      <c r="FZ77" s="1" t="n">
        <f aca="false">AZ77/AZ$9*100</f>
        <v>0</v>
      </c>
      <c r="GA77" s="1" t="n">
        <f aca="false">BA77/BA$9*100</f>
        <v>0</v>
      </c>
      <c r="GB77" s="1" t="n">
        <f aca="false">BC77/BC$9*100</f>
        <v>0</v>
      </c>
      <c r="GC77" s="1" t="n">
        <f aca="false">BD77/BD$9*100</f>
        <v>0</v>
      </c>
      <c r="GD77" s="1" t="n">
        <f aca="false">BF77/BF$9*100</f>
        <v>0</v>
      </c>
      <c r="GE77" s="1" t="n">
        <f aca="false">BG77/BG$9*100</f>
        <v>0</v>
      </c>
      <c r="GF77" s="1" t="n">
        <f aca="false">BI77/BI$9*100</f>
        <v>0</v>
      </c>
      <c r="GG77" s="1" t="n">
        <f aca="false">BJ77/BJ$9*100</f>
        <v>0</v>
      </c>
      <c r="GH77" s="1" t="n">
        <f aca="false">BL77/BL$9*100</f>
        <v>0</v>
      </c>
      <c r="GI77" s="1" t="n">
        <f aca="false">BM77/BM$9*100</f>
        <v>0</v>
      </c>
      <c r="GJ77" s="1" t="n">
        <f aca="false">BO77/BO$9*100</f>
        <v>0</v>
      </c>
      <c r="GK77" s="1" t="n">
        <f aca="false">BP77/BP$9*100</f>
        <v>0</v>
      </c>
      <c r="GL77" s="1" t="n">
        <f aca="false">BR77/BR$9*100</f>
        <v>0</v>
      </c>
      <c r="GM77" s="1" t="n">
        <f aca="false">BS77/BS$9*100</f>
        <v>0</v>
      </c>
      <c r="GO77" s="1" t="n">
        <f aca="false">$AM77</f>
        <v>66</v>
      </c>
      <c r="GP77" s="1" t="n">
        <f aca="false">FT77</f>
        <v>0</v>
      </c>
      <c r="GQ77" s="1" t="n">
        <f aca="false">GQ$6*(1+GQ$5*(-1)^$FQ77)*EXP(-$FQ77/GQ$4)</f>
        <v>3.95768550300451E-020</v>
      </c>
      <c r="GR77" s="1" t="n">
        <f aca="false">(GP77-GQ77)^2</f>
        <v>1.56632745406921E-039</v>
      </c>
      <c r="GS77" s="1" t="n">
        <f aca="false">EXP($FQ77/$JG$4)*GP77</f>
        <v>0</v>
      </c>
      <c r="GT77" s="1" t="n">
        <f aca="false">EXP($FQ77/$JG$4)*(-1)^$FQ77*GP77</f>
        <v>0</v>
      </c>
      <c r="GU77" s="1" t="n">
        <f aca="false">(-1)^GO77*GP77</f>
        <v>0</v>
      </c>
      <c r="GW77" s="1" t="n">
        <f aca="false">$AM77</f>
        <v>66</v>
      </c>
      <c r="GX77" s="1" t="n">
        <f aca="false">FX77</f>
        <v>0</v>
      </c>
      <c r="GY77" s="1" t="n">
        <f aca="false">GY$6*(1+GY$5*(-1)^$FQ77)*EXP(-$FQ77/GY$4)</f>
        <v>3.95768550300451E-020</v>
      </c>
      <c r="GZ77" s="1" t="n">
        <f aca="false">(GX77-GY77)^2</f>
        <v>1.56632745406921E-039</v>
      </c>
      <c r="HA77" s="1" t="n">
        <f aca="false">EXP($FQ77/$JG$4)*GX77</f>
        <v>0</v>
      </c>
      <c r="HB77" s="1" t="n">
        <f aca="false">EXP($FQ77/$JG$4)*(-1)^$FQ77*GX77</f>
        <v>0</v>
      </c>
      <c r="HC77" s="1" t="n">
        <f aca="false">(-1)^GW77*GX77</f>
        <v>0</v>
      </c>
      <c r="HE77" s="1" t="n">
        <f aca="false">$AM77</f>
        <v>66</v>
      </c>
      <c r="HF77" s="1" t="n">
        <f aca="false">GB77</f>
        <v>0</v>
      </c>
      <c r="HG77" s="1" t="n">
        <f aca="false">HG$6*(1+HG$5*(-1)^$FQ77)*EXP(-$FQ77/HG$4)</f>
        <v>3.95768550300451E-020</v>
      </c>
      <c r="HH77" s="1" t="n">
        <f aca="false">(HF77-HG77)^2</f>
        <v>1.56632745406921E-039</v>
      </c>
      <c r="HI77" s="1" t="n">
        <f aca="false">EXP($FQ77/$JG$4)*HF77</f>
        <v>0</v>
      </c>
      <c r="HJ77" s="1" t="n">
        <f aca="false">EXP($FQ77/$JG$4)*(-1)^$FQ77*HF77</f>
        <v>0</v>
      </c>
      <c r="HK77" s="1" t="n">
        <f aca="false">(-1)^HE77*HF77</f>
        <v>0</v>
      </c>
      <c r="HM77" s="1" t="n">
        <f aca="false">$AM77</f>
        <v>66</v>
      </c>
      <c r="HN77" s="1" t="n">
        <f aca="false">GF77</f>
        <v>0</v>
      </c>
      <c r="HO77" s="1" t="n">
        <f aca="false">HO$6*(1+HO$5*(-1)^$FQ77)*EXP(-$FQ77/HO$4)</f>
        <v>1.1332195308079E-015</v>
      </c>
      <c r="HP77" s="1" t="n">
        <f aca="false">(HN77-HO77)^2</f>
        <v>1.28418650500448E-030</v>
      </c>
      <c r="HQ77" s="1" t="n">
        <f aca="false">EXP($FQ77/$JG$4)*HN77</f>
        <v>0</v>
      </c>
      <c r="HR77" s="1" t="n">
        <f aca="false">EXP($FQ77/$JG$4)*(-1)^$FQ77*HN77</f>
        <v>0</v>
      </c>
      <c r="HS77" s="1" t="n">
        <f aca="false">(-1)^HM77*HN77</f>
        <v>0</v>
      </c>
      <c r="HU77" s="1" t="n">
        <f aca="false">$AM77</f>
        <v>66</v>
      </c>
      <c r="HV77" s="1" t="n">
        <f aca="false">GJ77</f>
        <v>0</v>
      </c>
      <c r="HW77" s="1" t="n">
        <f aca="false">HW$6*(1+HW$5*(-1)^$FQ77)*EXP(-$FQ77/HW$4)</f>
        <v>1.94408583432187E-011</v>
      </c>
      <c r="HX77" s="1" t="n">
        <f aca="false">(HV77-HW77)^2</f>
        <v>3.77946973121096E-022</v>
      </c>
      <c r="HY77" s="1" t="n">
        <f aca="false">EXP($FQ77/$JG$4)*HV77</f>
        <v>0</v>
      </c>
      <c r="HZ77" s="1" t="n">
        <f aca="false">EXP($FQ77/$JG$4)*(-1)^$FQ77*HV77</f>
        <v>0</v>
      </c>
      <c r="IA77" s="1" t="n">
        <f aca="false">(-1)^HU77*HV77</f>
        <v>0</v>
      </c>
      <c r="ID77" s="1" t="n">
        <f aca="false">$AM77</f>
        <v>66</v>
      </c>
      <c r="IE77" s="1" t="n">
        <f aca="false">FZ77</f>
        <v>0</v>
      </c>
      <c r="IF77" s="1" t="n">
        <f aca="false">IF$6*(1+IF$5*(-1)^$FQ77)*EXP(-$FQ77/IF$4)</f>
        <v>1.53795690078446E-008</v>
      </c>
      <c r="IG77" s="1" t="n">
        <f aca="false">(IE77-IF77)^2</f>
        <v>2.36531142867054E-016</v>
      </c>
      <c r="IH77" s="1" t="n">
        <f aca="false">EXP($FQ77/$JG$4)*IE77</f>
        <v>0</v>
      </c>
      <c r="II77" s="1" t="n">
        <f aca="false">EXP($FQ77/$JG$4)*(-1)^$FQ77*IE77</f>
        <v>0</v>
      </c>
      <c r="IJ77" s="1" t="n">
        <f aca="false">(-1)^ID77*IE77</f>
        <v>0</v>
      </c>
      <c r="IK77" s="1" t="n">
        <v>0</v>
      </c>
      <c r="IM77" s="1" t="n">
        <f aca="false">$AM77</f>
        <v>66</v>
      </c>
      <c r="IN77" s="1" t="n">
        <f aca="false">GD77</f>
        <v>0</v>
      </c>
      <c r="IO77" s="1" t="n">
        <f aca="false">IO$6*(1+IO$5*(-1)^$FQ77)*EXP(-$FQ77/IO$4)</f>
        <v>3.09057078557593E-007</v>
      </c>
      <c r="IP77" s="1" t="n">
        <f aca="false">(IN77-IO77)^2</f>
        <v>9.55162778065542E-014</v>
      </c>
      <c r="IQ77" s="1" t="n">
        <f aca="false">EXP($FQ77/$JG$4)*IN77</f>
        <v>0</v>
      </c>
      <c r="IR77" s="1" t="n">
        <f aca="false">EXP($FQ77/$JG$4)*(-1)^$FQ77*IN77</f>
        <v>0</v>
      </c>
      <c r="IS77" s="1" t="n">
        <f aca="false">(-1)^IM77*IN77</f>
        <v>0</v>
      </c>
      <c r="IT77" s="1" t="n">
        <v>0</v>
      </c>
      <c r="IV77" s="1" t="n">
        <f aca="false">$AM77</f>
        <v>66</v>
      </c>
      <c r="IW77" s="1" t="n">
        <f aca="false">GH77</f>
        <v>0</v>
      </c>
      <c r="IX77" s="1" t="n">
        <f aca="false">IX$6*(1+IX$5*(-1)^$FQ77)*EXP(-$FQ77/IX$4)</f>
        <v>0.000109877007030428</v>
      </c>
      <c r="IY77" s="1" t="n">
        <f aca="false">(IW77-IX77)^2</f>
        <v>1.20729566739647E-008</v>
      </c>
      <c r="IZ77" s="1" t="n">
        <f aca="false">EXP($FQ77/$JG$4)*IW77</f>
        <v>0</v>
      </c>
      <c r="JA77" s="1" t="n">
        <f aca="false">EXP($FQ77/$JG$4)*(-1)^$FQ77*IW77</f>
        <v>0</v>
      </c>
      <c r="JB77" s="1" t="n">
        <f aca="false">(-1)^IV77*IW77</f>
        <v>0</v>
      </c>
      <c r="JE77" s="1" t="n">
        <f aca="false">$AM77</f>
        <v>66</v>
      </c>
      <c r="JF77" s="1" t="n">
        <f aca="false">GL77</f>
        <v>0</v>
      </c>
      <c r="JG77" s="1" t="n">
        <f aca="false">JG$6*(1+JG$5*(-1)^$FQ77)*EXP(-$FQ77/JG$4)</f>
        <v>1.00304146159967E-005</v>
      </c>
      <c r="JH77" s="1" t="n">
        <f aca="false">(JF77-JG77)^2</f>
        <v>1.006092173688E-010</v>
      </c>
      <c r="JI77" s="1" t="n">
        <f aca="false">EXP($FQ77/$JG$4)*JF77</f>
        <v>0</v>
      </c>
      <c r="JJ77" s="1" t="n">
        <f aca="false">EXP($FQ77/$JG$4)*(-1)^$FQ77*JF77</f>
        <v>0</v>
      </c>
      <c r="JK77" s="1" t="n">
        <f aca="false">(-1)^JE77*JF77</f>
        <v>0</v>
      </c>
      <c r="JO77" s="1" t="n">
        <f aca="false">$AM77</f>
        <v>66</v>
      </c>
      <c r="JP77" s="1" t="n">
        <f aca="false">GM77</f>
        <v>0</v>
      </c>
      <c r="JQ77" s="1" t="n">
        <f aca="false">JQ$6*(1+JQ$5*(-1)^$FQ77)*EXP(-$FQ77/JQ$4)</f>
        <v>0.0732456698637133</v>
      </c>
      <c r="JR77" s="1" t="n">
        <f aca="false">(JP77-JQ77)^2</f>
        <v>0.00536492815378408</v>
      </c>
      <c r="JS77" s="1" t="n">
        <f aca="false">EXP($FQ77/$JG$4)*JP77</f>
        <v>0</v>
      </c>
      <c r="JT77" s="1" t="n">
        <f aca="false">EXP($FQ77/$JG$4)*(-1)^$FQ77*JP77</f>
        <v>0</v>
      </c>
      <c r="JU77" s="1" t="n">
        <f aca="false">(-1)^JO77*JP77</f>
        <v>0</v>
      </c>
    </row>
    <row r="78" customFormat="false" ht="16" hidden="false" customHeight="false" outlineLevel="0" collapsed="false">
      <c r="A78" s="1" t="n">
        <v>4</v>
      </c>
      <c r="B78" s="1" t="n">
        <v>4</v>
      </c>
      <c r="C78" s="1" t="n">
        <f aca="false">B78-A78</f>
        <v>0</v>
      </c>
      <c r="D78" s="1" t="n">
        <v>1</v>
      </c>
      <c r="E78" s="1" t="n">
        <v>1</v>
      </c>
      <c r="F78" s="1" t="n">
        <f aca="false">E78-D78</f>
        <v>0</v>
      </c>
      <c r="G78" s="1" t="n">
        <v>1</v>
      </c>
      <c r="H78" s="1" t="n">
        <v>1</v>
      </c>
      <c r="I78" s="1" t="n">
        <f aca="false">H78-G78</f>
        <v>0</v>
      </c>
      <c r="J78" s="1" t="n">
        <v>1</v>
      </c>
      <c r="K78" s="1" t="n">
        <v>1</v>
      </c>
      <c r="L78" s="1" t="n">
        <f aca="false">K78-J78</f>
        <v>0</v>
      </c>
      <c r="M78" s="1" t="n">
        <v>8</v>
      </c>
      <c r="N78" s="1" t="n">
        <v>8</v>
      </c>
      <c r="O78" s="1" t="n">
        <f aca="false">N78-M78</f>
        <v>0</v>
      </c>
      <c r="P78" s="1" t="n">
        <v>1</v>
      </c>
      <c r="Q78" s="1" t="n">
        <v>2</v>
      </c>
      <c r="R78" s="1" t="n">
        <f aca="false">Q78-P78</f>
        <v>1</v>
      </c>
      <c r="S78" s="1" t="n">
        <v>2</v>
      </c>
      <c r="T78" s="1" t="n">
        <v>2</v>
      </c>
      <c r="U78" s="1" t="n">
        <f aca="false">T78-S78</f>
        <v>0</v>
      </c>
      <c r="V78" s="1" t="n">
        <v>3</v>
      </c>
      <c r="W78" s="1" t="n">
        <v>5</v>
      </c>
      <c r="X78" s="1" t="n">
        <f aca="false">W78-V78</f>
        <v>2</v>
      </c>
      <c r="Y78" s="1" t="n">
        <v>4</v>
      </c>
      <c r="Z78" s="1" t="n">
        <v>10</v>
      </c>
      <c r="AA78" s="1" t="n">
        <f aca="false">Z78-Y78</f>
        <v>6</v>
      </c>
      <c r="AB78" s="1" t="n">
        <v>2</v>
      </c>
      <c r="AC78" s="1" t="n">
        <v>5</v>
      </c>
      <c r="AD78" s="1" t="n">
        <f aca="false">AC78-AB78</f>
        <v>3</v>
      </c>
      <c r="AE78" s="1" t="n">
        <v>1</v>
      </c>
      <c r="AF78" s="1" t="n">
        <v>10</v>
      </c>
      <c r="AG78" s="1" t="n">
        <f aca="false">AF78-AE78</f>
        <v>9</v>
      </c>
      <c r="AM78" s="1" t="n">
        <v>67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W78" s="1" t="n">
        <f aca="false">$AM78</f>
        <v>67</v>
      </c>
      <c r="BX78" s="1" t="n">
        <f aca="false">MAX(BX77-AN78/AN$9*100,0)</f>
        <v>0</v>
      </c>
      <c r="BY78" s="1" t="n">
        <f aca="false">MAX(BY77-AO78/AO$9*100,0)</f>
        <v>0</v>
      </c>
      <c r="BZ78" s="1" t="n">
        <f aca="false">MAX(BZ77-AQ78/AQ$9*100,0)</f>
        <v>0</v>
      </c>
      <c r="CA78" s="1" t="n">
        <f aca="false">MAX(CA77-AR78/AR$9*100,0)</f>
        <v>0</v>
      </c>
      <c r="CB78" s="1" t="n">
        <f aca="false">CB$7*EXP(-$AM78/CB$8)</f>
        <v>3.39536269280283E-036</v>
      </c>
      <c r="CC78" s="1" t="n">
        <f aca="false">(BZ78-CB78)^2</f>
        <v>1.15284878156773E-071</v>
      </c>
      <c r="CD78" s="1" t="n">
        <f aca="false">MAX(CD77-AT78/AT$9*100,0)</f>
        <v>0</v>
      </c>
      <c r="CE78" s="1" t="n">
        <f aca="false">MAX(CE77-AU78/AU$9*100,0)</f>
        <v>5.32907051820075E-015</v>
      </c>
      <c r="CF78" s="1" t="n">
        <f aca="false">CF$7*EXP(-$AM78/CF$8)</f>
        <v>3.07309723534415E-035</v>
      </c>
      <c r="CG78" s="1" t="n">
        <f aca="false">(CD78-CF78)^2</f>
        <v>9.44392661787986E-070</v>
      </c>
      <c r="CH78" s="1" t="n">
        <f aca="false">$AM78</f>
        <v>67</v>
      </c>
      <c r="CI78" s="1" t="n">
        <f aca="false">MAX(CI77-AW78/AW$9*100,0)</f>
        <v>0</v>
      </c>
      <c r="CJ78" s="1" t="n">
        <f aca="false">MAX(CJ77-AX78/AX$9*100,0)</f>
        <v>0</v>
      </c>
      <c r="CK78" s="1" t="n">
        <f aca="false">CK$7*EXP(-$AM78/CK$8)</f>
        <v>2.40195604509944E-023</v>
      </c>
      <c r="CL78" s="1" t="n">
        <f aca="false">(CI78-CK78)^2</f>
        <v>5.76939284258974E-046</v>
      </c>
      <c r="CM78" s="1" t="n">
        <f aca="false">MAX(CM77-AZ78/AZ$9*100,0)</f>
        <v>0</v>
      </c>
      <c r="CN78" s="1" t="n">
        <f aca="false">MAX(CN77-BA78/BA$9*100,0)</f>
        <v>5.32907051820075E-015</v>
      </c>
      <c r="CO78" s="1" t="n">
        <f aca="false">CO$7*EXP(-$AM78/CO$8)</f>
        <v>1.36319578160993E-012</v>
      </c>
      <c r="CP78" s="1" t="n">
        <f aca="false">(CM78-CO78)^2</f>
        <v>1.85830273899911E-024</v>
      </c>
      <c r="CQ78" s="1" t="n">
        <f aca="false">$AM78</f>
        <v>67</v>
      </c>
      <c r="CR78" s="1" t="n">
        <f aca="false">MAX(CR77-BC78/BC$9*100,0)</f>
        <v>0</v>
      </c>
      <c r="CS78" s="1" t="n">
        <f aca="false">MAX(CS77-BD78/BD$9*100,0)</f>
        <v>0</v>
      </c>
      <c r="CT78" s="1" t="n">
        <f aca="false">CT$7*EXP(-$AM78/CT$8)</f>
        <v>1.80185020354554E-021</v>
      </c>
      <c r="CU78" s="1" t="n">
        <f aca="false">(CR78-CT78)^2</f>
        <v>3.2466641560171E-042</v>
      </c>
      <c r="CV78" s="1" t="n">
        <f aca="false">MAX(CV77-BF78/BF$9*100,0)</f>
        <v>8.88178419700125E-015</v>
      </c>
      <c r="CW78" s="1" t="n">
        <f aca="false">MAX(CW77-BG78/BG$9*100,0)</f>
        <v>5.32907051820075E-015</v>
      </c>
      <c r="CX78" s="1" t="n">
        <f aca="false">CX$7*EXP(-$AM78/CX$8)</f>
        <v>1.27595218952398E-010</v>
      </c>
      <c r="CY78" s="1" t="n">
        <f aca="false">(CV78-CX78)^2</f>
        <v>1.62782734319979E-020</v>
      </c>
      <c r="CZ78" s="1" t="n">
        <f aca="false">$AM78</f>
        <v>67</v>
      </c>
      <c r="DA78" s="1" t="n">
        <f aca="false">MAX(DA77-BI78/BI$9*100,0)</f>
        <v>0</v>
      </c>
      <c r="DB78" s="1" t="n">
        <f aca="false">MAX(DB77-BJ78/BJ$9*100,0)</f>
        <v>9.88098491916389E-015</v>
      </c>
      <c r="DC78" s="1" t="n">
        <f aca="false">DC$7*EXP(-$AM78/DC$8)</f>
        <v>9.22360709453405E-020</v>
      </c>
      <c r="DD78" s="1" t="n">
        <f aca="false">(DA78-DC78)^2</f>
        <v>8.50749278343389E-039</v>
      </c>
      <c r="DE78" s="1" t="n">
        <f aca="false">MAX(DE77-BL78/BL$9*100,0)</f>
        <v>0</v>
      </c>
      <c r="DF78" s="1" t="n">
        <f aca="false">MAX(DF77-BM78/BM$9*100,0)</f>
        <v>0</v>
      </c>
      <c r="DG78" s="1" t="n">
        <f aca="false">DG$7*EXP(-$AM78/DG$8)</f>
        <v>6.40552123158143E-006</v>
      </c>
      <c r="DH78" s="1" t="n">
        <f aca="false">(DE78-DG78)^2</f>
        <v>4.10307022482405E-011</v>
      </c>
      <c r="DI78" s="1" t="n">
        <f aca="false">$AM78</f>
        <v>67</v>
      </c>
      <c r="DJ78" s="1" t="n">
        <f aca="false">MAX(DJ77-BO78/BO$9*100,0)</f>
        <v>0</v>
      </c>
      <c r="DK78" s="1" t="n">
        <f aca="false">MAX(DK77-BP78/BP$9*100,0)</f>
        <v>9.99200722162641E-015</v>
      </c>
      <c r="DL78" s="1" t="n">
        <f aca="false">DL$7*EXP(-$AM78/DL$8)</f>
        <v>2.11214137700487E-016</v>
      </c>
      <c r="DM78" s="1" t="n">
        <f aca="false">(DJ78-DL78)^2</f>
        <v>4.46114119645603E-032</v>
      </c>
      <c r="DN78" s="1" t="n">
        <f aca="false">MAX(DN77-BR78/BR$9*100,0)</f>
        <v>0</v>
      </c>
      <c r="DO78" s="1" t="n">
        <f aca="false">MAX(DO77-BS78/BS$9*100,0)</f>
        <v>0</v>
      </c>
      <c r="DP78" s="1" t="n">
        <f aca="false">DP$7*EXP(-$AM78/DP$8)</f>
        <v>6.97231093277194E-007</v>
      </c>
      <c r="DQ78" s="1" t="n">
        <f aca="false">(DN78-DP78)^2</f>
        <v>4.86131197432511E-013</v>
      </c>
      <c r="DS78" s="1" t="n">
        <f aca="false">$AM78</f>
        <v>67</v>
      </c>
      <c r="DT78" s="1" t="n">
        <f aca="false">CA78</f>
        <v>0</v>
      </c>
      <c r="DU78" s="1" t="n">
        <f aca="false">DU$7*EXP(-DS78/DU$8)</f>
        <v>1.63880588247637E-028</v>
      </c>
      <c r="DV78" s="1" t="n">
        <f aca="false">(DT78-DU78)^2</f>
        <v>2.68568472043915E-056</v>
      </c>
      <c r="DX78" s="1" t="n">
        <f aca="false">$AM78</f>
        <v>67</v>
      </c>
      <c r="DY78" s="1" t="n">
        <f aca="false">CM78</f>
        <v>0</v>
      </c>
      <c r="DZ78" s="1" t="n">
        <f aca="false">DZ$7*EXP(-DX78/DZ$8)</f>
        <v>7.10587559021155E-015</v>
      </c>
      <c r="EA78" s="1" t="n">
        <f aca="false">(DY78-DZ78)^2</f>
        <v>5.04934679035644E-029</v>
      </c>
      <c r="EC78" s="1" t="n">
        <f aca="false">$AM78</f>
        <v>67</v>
      </c>
      <c r="ED78" s="1" t="n">
        <f aca="false">CV78</f>
        <v>8.88178419700125E-015</v>
      </c>
      <c r="EE78" s="1" t="n">
        <f aca="false">EE$7*EXP(-EC78/EE$8)</f>
        <v>2.7916174502834E-011</v>
      </c>
      <c r="EF78" s="1" t="n">
        <f aca="false">(ED78-EE78)^2</f>
        <v>7.7881698688369E-022</v>
      </c>
      <c r="EH78" s="1" t="n">
        <f aca="false">$AM78</f>
        <v>67</v>
      </c>
      <c r="EI78" s="1" t="n">
        <f aca="false">DE78</f>
        <v>0</v>
      </c>
      <c r="EJ78" s="1" t="n">
        <f aca="false">EJ$7*EXP(-EH78/EJ$8)</f>
        <v>6.37894230530931E-006</v>
      </c>
      <c r="EK78" s="1" t="n">
        <f aca="false">(EI78-EJ78)^2</f>
        <v>4.06909049344649E-011</v>
      </c>
      <c r="EM78" s="1" t="n">
        <f aca="false">AM78</f>
        <v>67</v>
      </c>
      <c r="EN78" s="1" t="n">
        <f aca="false">DN78</f>
        <v>0</v>
      </c>
      <c r="EO78" s="1" t="n">
        <f aca="false">EO$7*EXP(-EM78/EO$8)</f>
        <v>1.27997163455833E-006</v>
      </c>
      <c r="EP78" s="1" t="n">
        <f aca="false">(EN78-EO78)^2</f>
        <v>1.63832738527392E-012</v>
      </c>
      <c r="ER78" s="1" t="n">
        <f aca="false">$AM78</f>
        <v>67</v>
      </c>
      <c r="ES78" s="1" t="n">
        <f aca="false">BZ78</f>
        <v>0</v>
      </c>
      <c r="ET78" s="1" t="n">
        <f aca="false">ET$7*EXP(-ER78/ET$8)</f>
        <v>4.19079083575087E-033</v>
      </c>
      <c r="EU78" s="1" t="n">
        <f aca="false">(ES78-ET78)^2</f>
        <v>1.75627278290135E-065</v>
      </c>
      <c r="EW78" s="1" t="n">
        <f aca="false">$AM78</f>
        <v>67</v>
      </c>
      <c r="EX78" s="1" t="n">
        <f aca="false">CI78</f>
        <v>0</v>
      </c>
      <c r="EY78" s="1" t="n">
        <f aca="false">EY$7*EXP(-EW78/EY$8)</f>
        <v>2.59201968761712E-030</v>
      </c>
      <c r="EZ78" s="1" t="n">
        <f aca="false">(EX78-EY78)^2</f>
        <v>6.71856606099475E-060</v>
      </c>
      <c r="FB78" s="1" t="n">
        <f aca="false">$AM78</f>
        <v>67</v>
      </c>
      <c r="FC78" s="1" t="n">
        <f aca="false">CR78</f>
        <v>0</v>
      </c>
      <c r="FD78" s="1" t="n">
        <f aca="false">FD$7*EXP(-FB78/FD$8)</f>
        <v>3.45378993027092E-026</v>
      </c>
      <c r="FE78" s="1" t="n">
        <f aca="false">(FC78-FD78)^2</f>
        <v>1.19286648824408E-051</v>
      </c>
      <c r="FG78" s="1" t="n">
        <f aca="false">$AM78</f>
        <v>67</v>
      </c>
      <c r="FH78" s="1" t="n">
        <f aca="false">DA78</f>
        <v>0</v>
      </c>
      <c r="FI78" s="1" t="n">
        <f aca="false">FI$7*EXP(-FG78/FI$8)</f>
        <v>1.66648712528778E-022</v>
      </c>
      <c r="FJ78" s="1" t="n">
        <f aca="false">(FH78-FI78)^2</f>
        <v>2.77717933874993E-044</v>
      </c>
      <c r="FL78" s="1" t="n">
        <f aca="false">EM78</f>
        <v>67</v>
      </c>
      <c r="FM78" s="1" t="n">
        <f aca="false">DJ78</f>
        <v>0</v>
      </c>
      <c r="FN78" s="1" t="n">
        <f aca="false">FN$7*EXP(-FL78/FN$8)</f>
        <v>6.79144304669272E-018</v>
      </c>
      <c r="FO78" s="1" t="n">
        <f aca="false">(FM78-FN78)^2</f>
        <v>4.61236986564709E-035</v>
      </c>
      <c r="FQ78" s="1" t="n">
        <f aca="false">AM78</f>
        <v>67</v>
      </c>
      <c r="FR78" s="1" t="n">
        <f aca="false">AN78/AN$9*100</f>
        <v>0</v>
      </c>
      <c r="FS78" s="1" t="n">
        <f aca="false">AO78/AO$9*100</f>
        <v>0</v>
      </c>
      <c r="FT78" s="1" t="n">
        <f aca="false">AQ78/AQ$9*100</f>
        <v>0</v>
      </c>
      <c r="FU78" s="1" t="n">
        <f aca="false">AR78/AR$9*100</f>
        <v>0</v>
      </c>
      <c r="FV78" s="1" t="n">
        <f aca="false">AT78/AT$9*100</f>
        <v>0</v>
      </c>
      <c r="FW78" s="1" t="n">
        <f aca="false">AU78/AU$9*100</f>
        <v>0</v>
      </c>
      <c r="FX78" s="1" t="n">
        <f aca="false">AW78/AW$9*100</f>
        <v>0</v>
      </c>
      <c r="FY78" s="1" t="n">
        <f aca="false">AX78/AX$9*100</f>
        <v>0</v>
      </c>
      <c r="FZ78" s="1" t="n">
        <f aca="false">AZ78/AZ$9*100</f>
        <v>0</v>
      </c>
      <c r="GA78" s="1" t="n">
        <f aca="false">BA78/BA$9*100</f>
        <v>0</v>
      </c>
      <c r="GB78" s="1" t="n">
        <f aca="false">BC78/BC$9*100</f>
        <v>0</v>
      </c>
      <c r="GC78" s="1" t="n">
        <f aca="false">BD78/BD$9*100</f>
        <v>0</v>
      </c>
      <c r="GD78" s="1" t="n">
        <f aca="false">BF78/BF$9*100</f>
        <v>0</v>
      </c>
      <c r="GE78" s="1" t="n">
        <f aca="false">BG78/BG$9*100</f>
        <v>0</v>
      </c>
      <c r="GF78" s="1" t="n">
        <f aca="false">BI78/BI$9*100</f>
        <v>0</v>
      </c>
      <c r="GG78" s="1" t="n">
        <f aca="false">BJ78/BJ$9*100</f>
        <v>0</v>
      </c>
      <c r="GH78" s="1" t="n">
        <f aca="false">BL78/BL$9*100</f>
        <v>0</v>
      </c>
      <c r="GI78" s="1" t="n">
        <f aca="false">BM78/BM$9*100</f>
        <v>0</v>
      </c>
      <c r="GJ78" s="1" t="n">
        <f aca="false">BO78/BO$9*100</f>
        <v>0</v>
      </c>
      <c r="GK78" s="1" t="n">
        <f aca="false">BP78/BP$9*100</f>
        <v>0</v>
      </c>
      <c r="GL78" s="1" t="n">
        <f aca="false">BR78/BR$9*100</f>
        <v>0</v>
      </c>
      <c r="GM78" s="1" t="n">
        <f aca="false">BS78/BS$9*100</f>
        <v>0</v>
      </c>
      <c r="GO78" s="1" t="n">
        <f aca="false">$AM78</f>
        <v>67</v>
      </c>
      <c r="GP78" s="1" t="n">
        <f aca="false">FT78</f>
        <v>0</v>
      </c>
      <c r="GQ78" s="1" t="n">
        <f aca="false">GQ$6*(1+GQ$5*(-1)^$FQ78)*EXP(-$FQ78/GQ$4)</f>
        <v>6.35059206827631E-021</v>
      </c>
      <c r="GR78" s="1" t="n">
        <f aca="false">(GP78-GQ78)^2</f>
        <v>4.0330019617654E-041</v>
      </c>
      <c r="GS78" s="1" t="n">
        <f aca="false">EXP($FQ78/$JG$4)*GP78</f>
        <v>0</v>
      </c>
      <c r="GT78" s="1" t="n">
        <f aca="false">EXP($FQ78/$JG$4)*(-1)^$FQ78*GP78</f>
        <v>-0</v>
      </c>
      <c r="GU78" s="1" t="n">
        <f aca="false">(-1)^GO78*GP78</f>
        <v>-0</v>
      </c>
      <c r="GW78" s="1" t="n">
        <f aca="false">$AM78</f>
        <v>67</v>
      </c>
      <c r="GX78" s="1" t="n">
        <f aca="false">FX78</f>
        <v>0</v>
      </c>
      <c r="GY78" s="1" t="n">
        <f aca="false">GY$6*(1+GY$5*(-1)^$FQ78)*EXP(-$FQ78/GY$4)</f>
        <v>6.35059206827631E-021</v>
      </c>
      <c r="GZ78" s="1" t="n">
        <f aca="false">(GX78-GY78)^2</f>
        <v>4.0330019617654E-041</v>
      </c>
      <c r="HA78" s="1" t="n">
        <f aca="false">EXP($FQ78/$JG$4)*GX78</f>
        <v>0</v>
      </c>
      <c r="HB78" s="1" t="n">
        <f aca="false">EXP($FQ78/$JG$4)*(-1)^$FQ78*GX78</f>
        <v>-0</v>
      </c>
      <c r="HC78" s="1" t="n">
        <f aca="false">(-1)^GW78*GX78</f>
        <v>-0</v>
      </c>
      <c r="HE78" s="1" t="n">
        <f aca="false">$AM78</f>
        <v>67</v>
      </c>
      <c r="HF78" s="1" t="n">
        <f aca="false">GB78</f>
        <v>0</v>
      </c>
      <c r="HG78" s="1" t="n">
        <f aca="false">HG$6*(1+HG$5*(-1)^$FQ78)*EXP(-$FQ78/HG$4)</f>
        <v>6.35059206827631E-021</v>
      </c>
      <c r="HH78" s="1" t="n">
        <f aca="false">(HF78-HG78)^2</f>
        <v>4.0330019617654E-041</v>
      </c>
      <c r="HI78" s="1" t="n">
        <f aca="false">EXP($FQ78/$JG$4)*HF78</f>
        <v>0</v>
      </c>
      <c r="HJ78" s="1" t="n">
        <f aca="false">EXP($FQ78/$JG$4)*(-1)^$FQ78*HF78</f>
        <v>-0</v>
      </c>
      <c r="HK78" s="1" t="n">
        <f aca="false">(-1)^HE78*HF78</f>
        <v>-0</v>
      </c>
      <c r="HM78" s="1" t="n">
        <f aca="false">$AM78</f>
        <v>67</v>
      </c>
      <c r="HN78" s="1" t="n">
        <f aca="false">GF78</f>
        <v>0</v>
      </c>
      <c r="HO78" s="1" t="n">
        <f aca="false">HO$6*(1+HO$5*(-1)^$FQ78)*EXP(-$FQ78/HO$4)</f>
        <v>1.36683511501448E-016</v>
      </c>
      <c r="HP78" s="1" t="n">
        <f aca="false">(HN78-HO78)^2</f>
        <v>1.86823823163665E-032</v>
      </c>
      <c r="HQ78" s="1" t="n">
        <f aca="false">EXP($FQ78/$JG$4)*HN78</f>
        <v>0</v>
      </c>
      <c r="HR78" s="1" t="n">
        <f aca="false">EXP($FQ78/$JG$4)*(-1)^$FQ78*HN78</f>
        <v>-0</v>
      </c>
      <c r="HS78" s="1" t="n">
        <f aca="false">(-1)^HM78*HN78</f>
        <v>-0</v>
      </c>
      <c r="HU78" s="1" t="n">
        <f aca="false">$AM78</f>
        <v>67</v>
      </c>
      <c r="HV78" s="1" t="n">
        <f aca="false">GJ78</f>
        <v>0</v>
      </c>
      <c r="HW78" s="1" t="n">
        <f aca="false">HW$6*(1+HW$5*(-1)^$FQ78)*EXP(-$FQ78/HW$4)</f>
        <v>4.16321156290838E-012</v>
      </c>
      <c r="HX78" s="1" t="n">
        <f aca="false">(HV78-HW78)^2</f>
        <v>1.7332330517534E-023</v>
      </c>
      <c r="HY78" s="1" t="n">
        <f aca="false">EXP($FQ78/$JG$4)*HV78</f>
        <v>0</v>
      </c>
      <c r="HZ78" s="1" t="n">
        <f aca="false">EXP($FQ78/$JG$4)*(-1)^$FQ78*HV78</f>
        <v>-0</v>
      </c>
      <c r="IA78" s="1" t="n">
        <f aca="false">(-1)^HU78*HV78</f>
        <v>-0</v>
      </c>
      <c r="ID78" s="1" t="n">
        <f aca="false">$AM78</f>
        <v>67</v>
      </c>
      <c r="IE78" s="1" t="n">
        <f aca="false">FZ78</f>
        <v>0</v>
      </c>
      <c r="IF78" s="1" t="n">
        <f aca="false">IF$6*(1+IF$5*(-1)^$FQ78)*EXP(-$FQ78/IF$4)</f>
        <v>5.67694019797774E-009</v>
      </c>
      <c r="IG78" s="1" t="n">
        <f aca="false">(IE78-IF78)^2</f>
        <v>3.22276500114155E-017</v>
      </c>
      <c r="IH78" s="1" t="n">
        <f aca="false">EXP($FQ78/$JG$4)*IE78</f>
        <v>0</v>
      </c>
      <c r="II78" s="1" t="n">
        <f aca="false">EXP($FQ78/$JG$4)*(-1)^$FQ78*IE78</f>
        <v>-0</v>
      </c>
      <c r="IJ78" s="1" t="n">
        <f aca="false">(-1)^ID78*IE78</f>
        <v>-0</v>
      </c>
      <c r="IK78" s="1" t="n">
        <v>0</v>
      </c>
      <c r="IM78" s="1" t="n">
        <f aca="false">$AM78</f>
        <v>67</v>
      </c>
      <c r="IN78" s="1" t="n">
        <f aca="false">GD78</f>
        <v>0</v>
      </c>
      <c r="IO78" s="1" t="n">
        <f aca="false">IO$6*(1+IO$5*(-1)^$FQ78)*EXP(-$FQ78/IO$4)</f>
        <v>1.06800808309589E-007</v>
      </c>
      <c r="IP78" s="1" t="n">
        <f aca="false">(IN78-IO78)^2</f>
        <v>1.14064126555816E-014</v>
      </c>
      <c r="IQ78" s="1" t="n">
        <f aca="false">EXP($FQ78/$JG$4)*IN78</f>
        <v>0</v>
      </c>
      <c r="IR78" s="1" t="n">
        <f aca="false">EXP($FQ78/$JG$4)*(-1)^$FQ78*IN78</f>
        <v>-0</v>
      </c>
      <c r="IS78" s="1" t="n">
        <f aca="false">(-1)^IM78*IN78</f>
        <v>-0</v>
      </c>
      <c r="IT78" s="1" t="n">
        <v>0</v>
      </c>
      <c r="IV78" s="1" t="n">
        <f aca="false">$AM78</f>
        <v>67</v>
      </c>
      <c r="IW78" s="1" t="n">
        <f aca="false">GH78</f>
        <v>0</v>
      </c>
      <c r="IX78" s="1" t="n">
        <f aca="false">IX$6*(1+IX$5*(-1)^$FQ78)*EXP(-$FQ78/IX$4)</f>
        <v>2.33762790993032E-005</v>
      </c>
      <c r="IY78" s="1" t="n">
        <f aca="false">(IW78-IX78)^2</f>
        <v>5.4645042452852E-010</v>
      </c>
      <c r="IZ78" s="1" t="n">
        <f aca="false">EXP($FQ78/$JG$4)*IW78</f>
        <v>0</v>
      </c>
      <c r="JA78" s="1" t="n">
        <f aca="false">EXP($FQ78/$JG$4)*(-1)^$FQ78*IW78</f>
        <v>-0</v>
      </c>
      <c r="JB78" s="1" t="n">
        <f aca="false">(-1)^IV78*IW78</f>
        <v>-0</v>
      </c>
      <c r="JE78" s="1" t="n">
        <f aca="false">$AM78</f>
        <v>67</v>
      </c>
      <c r="JF78" s="1" t="n">
        <f aca="false">GL78</f>
        <v>0</v>
      </c>
      <c r="JG78" s="1" t="n">
        <f aca="false">JG$6*(1+JG$5*(-1)^$FQ78)*EXP(-$FQ78/JG$4)</f>
        <v>1.21281513170588E-006</v>
      </c>
      <c r="JH78" s="1" t="n">
        <f aca="false">(JF78-JG78)^2</f>
        <v>1.47092054369475E-012</v>
      </c>
      <c r="JI78" s="1" t="n">
        <f aca="false">EXP($FQ78/$JG$4)*JF78</f>
        <v>0</v>
      </c>
      <c r="JJ78" s="1" t="n">
        <f aca="false">EXP($FQ78/$JG$4)*(-1)^$FQ78*JF78</f>
        <v>-0</v>
      </c>
      <c r="JK78" s="1" t="n">
        <f aca="false">(-1)^JE78*JF78</f>
        <v>-0</v>
      </c>
      <c r="JO78" s="1" t="n">
        <f aca="false">$AM78</f>
        <v>67</v>
      </c>
      <c r="JP78" s="1" t="n">
        <f aca="false">GM78</f>
        <v>0</v>
      </c>
      <c r="JQ78" s="1" t="n">
        <f aca="false">JQ$6*(1+JQ$5*(-1)^$FQ78)*EXP(-$FQ78/JQ$4)</f>
        <v>0.0128789095529967</v>
      </c>
      <c r="JR78" s="1" t="n">
        <f aca="false">(JP78-JQ78)^2</f>
        <v>0.00016586631127427</v>
      </c>
      <c r="JS78" s="1" t="n">
        <f aca="false">EXP($FQ78/$JG$4)*JP78</f>
        <v>0</v>
      </c>
      <c r="JT78" s="1" t="n">
        <f aca="false">EXP($FQ78/$JG$4)*(-1)^$FQ78*JP78</f>
        <v>-0</v>
      </c>
      <c r="JU78" s="1" t="n">
        <f aca="false">(-1)^JO78*JP78</f>
        <v>-0</v>
      </c>
    </row>
    <row r="79" customFormat="false" ht="16" hidden="false" customHeight="false" outlineLevel="0" collapsed="false">
      <c r="A79" s="1" t="n">
        <v>1</v>
      </c>
      <c r="B79" s="1" t="n">
        <v>1</v>
      </c>
      <c r="C79" s="1" t="n">
        <f aca="false">B79-A79</f>
        <v>0</v>
      </c>
      <c r="D79" s="1" t="n">
        <v>1</v>
      </c>
      <c r="E79" s="1" t="n">
        <v>1</v>
      </c>
      <c r="F79" s="1" t="n">
        <f aca="false">E79-D79</f>
        <v>0</v>
      </c>
      <c r="G79" s="1" t="n">
        <v>1</v>
      </c>
      <c r="H79" s="1" t="n">
        <v>1</v>
      </c>
      <c r="I79" s="1" t="n">
        <f aca="false">H79-G79</f>
        <v>0</v>
      </c>
      <c r="J79" s="1" t="n">
        <v>1</v>
      </c>
      <c r="K79" s="1" t="n">
        <v>1</v>
      </c>
      <c r="L79" s="1" t="n">
        <f aca="false">K79-J79</f>
        <v>0</v>
      </c>
      <c r="M79" s="1" t="n">
        <v>4</v>
      </c>
      <c r="N79" s="1" t="n">
        <v>5</v>
      </c>
      <c r="O79" s="1" t="n">
        <f aca="false">N79-M79</f>
        <v>1</v>
      </c>
      <c r="P79" s="1" t="n">
        <v>2</v>
      </c>
      <c r="Q79" s="1" t="n">
        <v>2</v>
      </c>
      <c r="R79" s="1" t="n">
        <f aca="false">Q79-P79</f>
        <v>0</v>
      </c>
      <c r="S79" s="1" t="n">
        <v>1</v>
      </c>
      <c r="T79" s="1" t="n">
        <v>1</v>
      </c>
      <c r="U79" s="1" t="n">
        <f aca="false">T79-S79</f>
        <v>0</v>
      </c>
      <c r="V79" s="1" t="n">
        <v>2</v>
      </c>
      <c r="W79" s="1" t="n">
        <v>2</v>
      </c>
      <c r="X79" s="1" t="n">
        <f aca="false">W79-V79</f>
        <v>0</v>
      </c>
      <c r="Y79" s="1" t="n">
        <v>8</v>
      </c>
      <c r="Z79" s="1" t="n">
        <v>14</v>
      </c>
      <c r="AA79" s="1" t="n">
        <f aca="false">Z79-Y79</f>
        <v>6</v>
      </c>
      <c r="AB79" s="1" t="n">
        <v>2</v>
      </c>
      <c r="AC79" s="1" t="n">
        <v>4</v>
      </c>
      <c r="AD79" s="1" t="n">
        <f aca="false">AC79-AB79</f>
        <v>2</v>
      </c>
      <c r="AE79" s="1" t="n">
        <v>5</v>
      </c>
      <c r="AF79" s="1" t="n">
        <v>18</v>
      </c>
      <c r="AG79" s="1" t="n">
        <f aca="false">AF79-AE79</f>
        <v>13</v>
      </c>
      <c r="AM79" s="1" t="n">
        <v>68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W79" s="1" t="n">
        <f aca="false">$AM79</f>
        <v>68</v>
      </c>
      <c r="BX79" s="1" t="n">
        <f aca="false">MAX(BX78-AN79/AN$9*100,0)</f>
        <v>0</v>
      </c>
      <c r="BY79" s="1" t="n">
        <f aca="false">MAX(BY78-AO79/AO$9*100,0)</f>
        <v>0</v>
      </c>
      <c r="BZ79" s="1" t="n">
        <f aca="false">MAX(BZ78-AQ79/AQ$9*100,0)</f>
        <v>0</v>
      </c>
      <c r="CA79" s="1" t="n">
        <f aca="false">MAX(CA78-AR79/AR$9*100,0)</f>
        <v>0</v>
      </c>
      <c r="CB79" s="1" t="n">
        <f aca="false">CB$7*EXP(-$AM79/CB$8)</f>
        <v>9.26546809184348E-037</v>
      </c>
      <c r="CC79" s="1" t="n">
        <f aca="false">(BZ79-CB79)^2</f>
        <v>8.58488989609697E-073</v>
      </c>
      <c r="CD79" s="1" t="n">
        <f aca="false">MAX(CD78-AT79/AT$9*100,0)</f>
        <v>0</v>
      </c>
      <c r="CE79" s="1" t="n">
        <f aca="false">MAX(CE78-AU79/AU$9*100,0)</f>
        <v>5.32907051820075E-015</v>
      </c>
      <c r="CF79" s="1" t="n">
        <f aca="false">CF$7*EXP(-$AM79/CF$8)</f>
        <v>8.66635452762802E-036</v>
      </c>
      <c r="CG79" s="1" t="n">
        <f aca="false">(CD79-CF79)^2</f>
        <v>7.51057007985387E-071</v>
      </c>
      <c r="CH79" s="1" t="n">
        <f aca="false">$AM79</f>
        <v>68</v>
      </c>
      <c r="CI79" s="1" t="n">
        <f aca="false">MAX(CI78-AW79/AW$9*100,0)</f>
        <v>0</v>
      </c>
      <c r="CJ79" s="1" t="n">
        <f aca="false">MAX(CJ78-AX79/AX$9*100,0)</f>
        <v>0</v>
      </c>
      <c r="CK79" s="1" t="n">
        <f aca="false">CK$7*EXP(-$AM79/CK$8)</f>
        <v>1.021817157783E-023</v>
      </c>
      <c r="CL79" s="1" t="n">
        <f aca="false">(CI79-CK79)^2</f>
        <v>1.04411030393973E-046</v>
      </c>
      <c r="CM79" s="1" t="n">
        <f aca="false">MAX(CM78-AZ79/AZ$9*100,0)</f>
        <v>0</v>
      </c>
      <c r="CN79" s="1" t="n">
        <f aca="false">MAX(CN78-BA79/BA$9*100,0)</f>
        <v>5.32907051820075E-015</v>
      </c>
      <c r="CO79" s="1" t="n">
        <f aca="false">CO$7*EXP(-$AM79/CO$8)</f>
        <v>8.42874295162933E-013</v>
      </c>
      <c r="CP79" s="1" t="n">
        <f aca="false">(CM79-CO79)^2</f>
        <v>7.10437077446411E-025</v>
      </c>
      <c r="CQ79" s="1" t="n">
        <f aca="false">$AM79</f>
        <v>68</v>
      </c>
      <c r="CR79" s="1" t="n">
        <f aca="false">MAX(CR78-BC79/BC$9*100,0)</f>
        <v>0</v>
      </c>
      <c r="CS79" s="1" t="n">
        <f aca="false">MAX(CS78-BD79/BD$9*100,0)</f>
        <v>0</v>
      </c>
      <c r="CT79" s="1" t="n">
        <f aca="false">CT$7*EXP(-$AM79/CT$8)</f>
        <v>8.19887988896952E-022</v>
      </c>
      <c r="CU79" s="1" t="n">
        <f aca="false">(CR79-CT79)^2</f>
        <v>6.72216314337489E-043</v>
      </c>
      <c r="CV79" s="1" t="n">
        <f aca="false">MAX(CV78-BF79/BF$9*100,0)</f>
        <v>8.88178419700125E-015</v>
      </c>
      <c r="CW79" s="1" t="n">
        <f aca="false">MAX(CW78-BG79/BG$9*100,0)</f>
        <v>5.32907051820075E-015</v>
      </c>
      <c r="CX79" s="1" t="n">
        <f aca="false">CX$7*EXP(-$AM79/CX$8)</f>
        <v>8.44061073278021E-011</v>
      </c>
      <c r="CY79" s="1" t="n">
        <f aca="false">(CV79-CX79)^2</f>
        <v>7.12289167945815E-021</v>
      </c>
      <c r="CZ79" s="1" t="n">
        <f aca="false">$AM79</f>
        <v>68</v>
      </c>
      <c r="DA79" s="1" t="n">
        <f aca="false">MAX(DA78-BI79/BI$9*100,0)</f>
        <v>0</v>
      </c>
      <c r="DB79" s="1" t="n">
        <f aca="false">MAX(DB78-BJ79/BJ$9*100,0)</f>
        <v>9.88098491916389E-015</v>
      </c>
      <c r="DC79" s="1" t="n">
        <f aca="false">DC$7*EXP(-$AM79/DC$8)</f>
        <v>4.44526363987253E-020</v>
      </c>
      <c r="DD79" s="1" t="n">
        <f aca="false">(DA79-DC79)^2</f>
        <v>1.97603688279728E-039</v>
      </c>
      <c r="DE79" s="1" t="n">
        <f aca="false">MAX(DE78-BL79/BL$9*100,0)</f>
        <v>0</v>
      </c>
      <c r="DF79" s="1" t="n">
        <f aca="false">MAX(DF78-BM79/BM$9*100,0)</f>
        <v>0</v>
      </c>
      <c r="DG79" s="1" t="n">
        <f aca="false">DG$7*EXP(-$AM79/DG$8)</f>
        <v>4.98862495113613E-006</v>
      </c>
      <c r="DH79" s="1" t="n">
        <f aca="false">(DE79-DG79)^2</f>
        <v>2.4886378903098E-011</v>
      </c>
      <c r="DI79" s="1" t="n">
        <f aca="false">$AM79</f>
        <v>68</v>
      </c>
      <c r="DJ79" s="1" t="n">
        <f aca="false">MAX(DJ78-BO79/BO$9*100,0)</f>
        <v>0</v>
      </c>
      <c r="DK79" s="1" t="n">
        <f aca="false">MAX(DK78-BP79/BP$9*100,0)</f>
        <v>9.99200722162641E-015</v>
      </c>
      <c r="DL79" s="1" t="n">
        <f aca="false">DL$7*EXP(-$AM79/DL$8)</f>
        <v>1.14362766343766E-016</v>
      </c>
      <c r="DM79" s="1" t="n">
        <f aca="false">(DJ79-DL79)^2</f>
        <v>1.30788423257988E-032</v>
      </c>
      <c r="DN79" s="1" t="n">
        <f aca="false">MAX(DN78-BR79/BR$9*100,0)</f>
        <v>0</v>
      </c>
      <c r="DO79" s="1" t="n">
        <f aca="false">MAX(DO78-BS79/BS$9*100,0)</f>
        <v>0</v>
      </c>
      <c r="DP79" s="1" t="n">
        <f aca="false">DP$7*EXP(-$AM79/DP$8)</f>
        <v>5.2522712654496E-007</v>
      </c>
      <c r="DQ79" s="1" t="n">
        <f aca="false">(DN79-DP79)^2</f>
        <v>2.75863534458675E-013</v>
      </c>
      <c r="DS79" s="1" t="n">
        <f aca="false">$AM79</f>
        <v>68</v>
      </c>
      <c r="DT79" s="1" t="n">
        <f aca="false">CA79</f>
        <v>0</v>
      </c>
      <c r="DU79" s="1" t="n">
        <f aca="false">DU$7*EXP(-DS79/DU$8)</f>
        <v>5.84522514908886E-029</v>
      </c>
      <c r="DV79" s="1" t="n">
        <f aca="false">(DT79-DU79)^2</f>
        <v>3.41666570435409E-057</v>
      </c>
      <c r="DX79" s="1" t="n">
        <f aca="false">$AM79</f>
        <v>68</v>
      </c>
      <c r="DY79" s="1" t="n">
        <f aca="false">CM79</f>
        <v>0</v>
      </c>
      <c r="DZ79" s="1" t="n">
        <f aca="false">DZ$7*EXP(-DX79/DZ$8)</f>
        <v>4.05165012709387E-015</v>
      </c>
      <c r="EA79" s="1" t="n">
        <f aca="false">(DY79-DZ79)^2</f>
        <v>1.64158687523798E-029</v>
      </c>
      <c r="EC79" s="1" t="n">
        <f aca="false">$AM79</f>
        <v>68</v>
      </c>
      <c r="ED79" s="1" t="n">
        <f aca="false">CV79</f>
        <v>8.88178419700125E-015</v>
      </c>
      <c r="EE79" s="1" t="n">
        <f aca="false">EE$7*EXP(-EC79/EE$8)</f>
        <v>1.80388006466912E-011</v>
      </c>
      <c r="EF79" s="1" t="n">
        <f aca="false">(ED79-EE79)^2</f>
        <v>3.25077974188124E-022</v>
      </c>
      <c r="EH79" s="1" t="n">
        <f aca="false">$AM79</f>
        <v>68</v>
      </c>
      <c r="EI79" s="1" t="n">
        <f aca="false">DE79</f>
        <v>0</v>
      </c>
      <c r="EJ79" s="1" t="n">
        <f aca="false">EJ$7*EXP(-EH79/EJ$8)</f>
        <v>4.9679252625422E-006</v>
      </c>
      <c r="EK79" s="1" t="n">
        <f aca="false">(EI79-EJ79)^2</f>
        <v>2.4680281414205E-011</v>
      </c>
      <c r="EM79" s="1" t="n">
        <f aca="false">AM79</f>
        <v>68</v>
      </c>
      <c r="EN79" s="1" t="n">
        <f aca="false">DN79</f>
        <v>0</v>
      </c>
      <c r="EO79" s="1" t="n">
        <f aca="false">EO$7*EXP(-EM79/EO$8)</f>
        <v>9.73230152653345E-007</v>
      </c>
      <c r="EP79" s="1" t="n">
        <f aca="false">(EN79-EO79)^2</f>
        <v>9.47176930033653E-013</v>
      </c>
      <c r="ER79" s="1" t="n">
        <f aca="false">$AM79</f>
        <v>68</v>
      </c>
      <c r="ES79" s="1" t="n">
        <f aca="false">BZ79</f>
        <v>0</v>
      </c>
      <c r="ET79" s="1" t="n">
        <f aca="false">ET$7*EXP(-ER79/ET$8)</f>
        <v>1.27432072159631E-033</v>
      </c>
      <c r="EU79" s="1" t="n">
        <f aca="false">(ES79-ET79)^2</f>
        <v>1.62389330148974E-066</v>
      </c>
      <c r="EW79" s="1" t="n">
        <f aca="false">$AM79</f>
        <v>68</v>
      </c>
      <c r="EX79" s="1" t="n">
        <f aca="false">CI79</f>
        <v>0</v>
      </c>
      <c r="EY79" s="1" t="n">
        <f aca="false">EY$7*EXP(-EW79/EY$8)</f>
        <v>8.63757064632907E-031</v>
      </c>
      <c r="EZ79" s="1" t="n">
        <f aca="false">(EX79-EY79)^2</f>
        <v>7.46076266703256E-061</v>
      </c>
      <c r="FB79" s="1" t="n">
        <f aca="false">$AM79</f>
        <v>68</v>
      </c>
      <c r="FC79" s="1" t="n">
        <f aca="false">CR79</f>
        <v>0</v>
      </c>
      <c r="FD79" s="1" t="n">
        <f aca="false">FD$7*EXP(-FB79/FD$8)</f>
        <v>1.3325457444104E-026</v>
      </c>
      <c r="FE79" s="1" t="n">
        <f aca="false">(FC79-FD79)^2</f>
        <v>1.77567816094627E-052</v>
      </c>
      <c r="FG79" s="1" t="n">
        <f aca="false">$AM79</f>
        <v>68</v>
      </c>
      <c r="FH79" s="1" t="n">
        <f aca="false">DA79</f>
        <v>0</v>
      </c>
      <c r="FI79" s="1" t="n">
        <f aca="false">FI$7*EXP(-FG79/FI$8)</f>
        <v>7.29257498463068E-023</v>
      </c>
      <c r="FJ79" s="1" t="n">
        <f aca="false">(FH79-FI79)^2</f>
        <v>5.31816499064612E-045</v>
      </c>
      <c r="FL79" s="1" t="n">
        <f aca="false">EM79</f>
        <v>68</v>
      </c>
      <c r="FM79" s="1" t="n">
        <f aca="false">DJ79</f>
        <v>0</v>
      </c>
      <c r="FN79" s="1" t="n">
        <f aca="false">FN$7*EXP(-FL79/FN$8)</f>
        <v>3.48684312310689E-018</v>
      </c>
      <c r="FO79" s="1" t="n">
        <f aca="false">(FM79-FN79)^2</f>
        <v>1.21580749651578E-035</v>
      </c>
      <c r="FQ79" s="1" t="n">
        <f aca="false">AM79</f>
        <v>68</v>
      </c>
      <c r="FR79" s="1" t="n">
        <f aca="false">AN79/AN$9*100</f>
        <v>0</v>
      </c>
      <c r="FS79" s="1" t="n">
        <f aca="false">AO79/AO$9*100</f>
        <v>0</v>
      </c>
      <c r="FT79" s="1" t="n">
        <f aca="false">AQ79/AQ$9*100</f>
        <v>0</v>
      </c>
      <c r="FU79" s="1" t="n">
        <f aca="false">AR79/AR$9*100</f>
        <v>0</v>
      </c>
      <c r="FV79" s="1" t="n">
        <f aca="false">AT79/AT$9*100</f>
        <v>0</v>
      </c>
      <c r="FW79" s="1" t="n">
        <f aca="false">AU79/AU$9*100</f>
        <v>0</v>
      </c>
      <c r="FX79" s="1" t="n">
        <f aca="false">AW79/AW$9*100</f>
        <v>0</v>
      </c>
      <c r="FY79" s="1" t="n">
        <f aca="false">AX79/AX$9*100</f>
        <v>0</v>
      </c>
      <c r="FZ79" s="1" t="n">
        <f aca="false">AZ79/AZ$9*100</f>
        <v>0</v>
      </c>
      <c r="GA79" s="1" t="n">
        <f aca="false">BA79/BA$9*100</f>
        <v>0</v>
      </c>
      <c r="GB79" s="1" t="n">
        <f aca="false">BC79/BC$9*100</f>
        <v>0</v>
      </c>
      <c r="GC79" s="1" t="n">
        <f aca="false">BD79/BD$9*100</f>
        <v>0</v>
      </c>
      <c r="GD79" s="1" t="n">
        <f aca="false">BF79/BF$9*100</f>
        <v>0</v>
      </c>
      <c r="GE79" s="1" t="n">
        <f aca="false">BG79/BG$9*100</f>
        <v>0</v>
      </c>
      <c r="GF79" s="1" t="n">
        <f aca="false">BI79/BI$9*100</f>
        <v>0</v>
      </c>
      <c r="GG79" s="1" t="n">
        <f aca="false">BJ79/BJ$9*100</f>
        <v>0</v>
      </c>
      <c r="GH79" s="1" t="n">
        <f aca="false">BL79/BL$9*100</f>
        <v>0</v>
      </c>
      <c r="GI79" s="1" t="n">
        <f aca="false">BM79/BM$9*100</f>
        <v>0</v>
      </c>
      <c r="GJ79" s="1" t="n">
        <f aca="false">BO79/BO$9*100</f>
        <v>0</v>
      </c>
      <c r="GK79" s="1" t="n">
        <f aca="false">BP79/BP$9*100</f>
        <v>0</v>
      </c>
      <c r="GL79" s="1" t="n">
        <f aca="false">BR79/BR$9*100</f>
        <v>0</v>
      </c>
      <c r="GM79" s="1" t="n">
        <f aca="false">BS79/BS$9*100</f>
        <v>0</v>
      </c>
      <c r="GO79" s="1" t="n">
        <f aca="false">$AM79</f>
        <v>68</v>
      </c>
      <c r="GP79" s="1" t="n">
        <f aca="false">FT79</f>
        <v>0</v>
      </c>
      <c r="GQ79" s="1" t="n">
        <f aca="false">GQ$6*(1+GQ$5*(-1)^$FQ79)*EXP(-$FQ79/GQ$4)</f>
        <v>8.69799868770384E-021</v>
      </c>
      <c r="GR79" s="1" t="n">
        <f aca="false">(GP79-GQ79)^2</f>
        <v>7.56551811712977E-041</v>
      </c>
      <c r="GS79" s="1" t="n">
        <f aca="false">EXP($FQ79/$JG$4)*GP79</f>
        <v>0</v>
      </c>
      <c r="GT79" s="1" t="n">
        <f aca="false">EXP($FQ79/$JG$4)*(-1)^$FQ79*GP79</f>
        <v>0</v>
      </c>
      <c r="GU79" s="1" t="n">
        <f aca="false">(-1)^GO79*GP79</f>
        <v>0</v>
      </c>
      <c r="GW79" s="1" t="n">
        <f aca="false">$AM79</f>
        <v>68</v>
      </c>
      <c r="GX79" s="1" t="n">
        <f aca="false">FX79</f>
        <v>0</v>
      </c>
      <c r="GY79" s="1" t="n">
        <f aca="false">GY$6*(1+GY$5*(-1)^$FQ79)*EXP(-$FQ79/GY$4)</f>
        <v>8.69799868770384E-021</v>
      </c>
      <c r="GZ79" s="1" t="n">
        <f aca="false">(GX79-GY79)^2</f>
        <v>7.56551811712977E-041</v>
      </c>
      <c r="HA79" s="1" t="n">
        <f aca="false">EXP($FQ79/$JG$4)*GX79</f>
        <v>0</v>
      </c>
      <c r="HB79" s="1" t="n">
        <f aca="false">EXP($FQ79/$JG$4)*(-1)^$FQ79*GX79</f>
        <v>0</v>
      </c>
      <c r="HC79" s="1" t="n">
        <f aca="false">(-1)^GW79*GX79</f>
        <v>0</v>
      </c>
      <c r="HE79" s="1" t="n">
        <f aca="false">$AM79</f>
        <v>68</v>
      </c>
      <c r="HF79" s="1" t="n">
        <f aca="false">GB79</f>
        <v>0</v>
      </c>
      <c r="HG79" s="1" t="n">
        <f aca="false">HG$6*(1+HG$5*(-1)^$FQ79)*EXP(-$FQ79/HG$4)</f>
        <v>8.69799868770384E-021</v>
      </c>
      <c r="HH79" s="1" t="n">
        <f aca="false">(HF79-HG79)^2</f>
        <v>7.56551811712977E-041</v>
      </c>
      <c r="HI79" s="1" t="n">
        <f aca="false">EXP($FQ79/$JG$4)*HF79</f>
        <v>0</v>
      </c>
      <c r="HJ79" s="1" t="n">
        <f aca="false">EXP($FQ79/$JG$4)*(-1)^$FQ79*HF79</f>
        <v>0</v>
      </c>
      <c r="HK79" s="1" t="n">
        <f aca="false">(-1)^HE79*HF79</f>
        <v>0</v>
      </c>
      <c r="HM79" s="1" t="n">
        <f aca="false">$AM79</f>
        <v>68</v>
      </c>
      <c r="HN79" s="1" t="n">
        <f aca="false">GF79</f>
        <v>0</v>
      </c>
      <c r="HO79" s="1" t="n">
        <f aca="false">HO$6*(1+HO$5*(-1)^$FQ79)*EXP(-$FQ79/HO$4)</f>
        <v>3.42137674296881E-016</v>
      </c>
      <c r="HP79" s="1" t="n">
        <f aca="false">(HN79-HO79)^2</f>
        <v>1.17058188173279E-031</v>
      </c>
      <c r="HQ79" s="1" t="n">
        <f aca="false">EXP($FQ79/$JG$4)*HN79</f>
        <v>0</v>
      </c>
      <c r="HR79" s="1" t="n">
        <f aca="false">EXP($FQ79/$JG$4)*(-1)^$FQ79*HN79</f>
        <v>0</v>
      </c>
      <c r="HS79" s="1" t="n">
        <f aca="false">(-1)^HM79*HN79</f>
        <v>0</v>
      </c>
      <c r="HU79" s="1" t="n">
        <f aca="false">$AM79</f>
        <v>68</v>
      </c>
      <c r="HV79" s="1" t="n">
        <f aca="false">GJ79</f>
        <v>0</v>
      </c>
      <c r="HW79" s="1" t="n">
        <f aca="false">HW$6*(1+HW$5*(-1)^$FQ79)*EXP(-$FQ79/HW$4)</f>
        <v>8.0238728097218E-012</v>
      </c>
      <c r="HX79" s="1" t="n">
        <f aca="false">(HV79-HW79)^2</f>
        <v>6.43825348665928E-023</v>
      </c>
      <c r="HY79" s="1" t="n">
        <f aca="false">EXP($FQ79/$JG$4)*HV79</f>
        <v>0</v>
      </c>
      <c r="HZ79" s="1" t="n">
        <f aca="false">EXP($FQ79/$JG$4)*(-1)^$FQ79*HV79</f>
        <v>0</v>
      </c>
      <c r="IA79" s="1" t="n">
        <f aca="false">(-1)^HU79*HV79</f>
        <v>0</v>
      </c>
      <c r="ID79" s="1" t="n">
        <f aca="false">$AM79</f>
        <v>68</v>
      </c>
      <c r="IE79" s="1" t="n">
        <f aca="false">FZ79</f>
        <v>0</v>
      </c>
      <c r="IF79" s="1" t="n">
        <f aca="false">IF$6*(1+IF$5*(-1)^$FQ79)*EXP(-$FQ79/IF$4)</f>
        <v>7.89613401197048E-009</v>
      </c>
      <c r="IG79" s="1" t="n">
        <f aca="false">(IE79-IF79)^2</f>
        <v>6.2348932334997E-017</v>
      </c>
      <c r="IH79" s="1" t="n">
        <f aca="false">EXP($FQ79/$JG$4)*IE79</f>
        <v>0</v>
      </c>
      <c r="II79" s="1" t="n">
        <f aca="false">EXP($FQ79/$JG$4)*(-1)^$FQ79*IE79</f>
        <v>0</v>
      </c>
      <c r="IJ79" s="1" t="n">
        <f aca="false">(-1)^ID79*IE79</f>
        <v>0</v>
      </c>
      <c r="IK79" s="1" t="n">
        <v>0</v>
      </c>
      <c r="IM79" s="1" t="n">
        <f aca="false">$AM79</f>
        <v>68</v>
      </c>
      <c r="IN79" s="1" t="n">
        <f aca="false">GD79</f>
        <v>0</v>
      </c>
      <c r="IO79" s="1" t="n">
        <f aca="false">IO$6*(1+IO$5*(-1)^$FQ79)*EXP(-$FQ79/IO$4)</f>
        <v>1.74530132996249E-007</v>
      </c>
      <c r="IP79" s="1" t="n">
        <f aca="false">(IN79-IO79)^2</f>
        <v>3.04607673236884E-014</v>
      </c>
      <c r="IQ79" s="1" t="n">
        <f aca="false">EXP($FQ79/$JG$4)*IN79</f>
        <v>0</v>
      </c>
      <c r="IR79" s="1" t="n">
        <f aca="false">EXP($FQ79/$JG$4)*(-1)^$FQ79*IN79</f>
        <v>0</v>
      </c>
      <c r="IS79" s="1" t="n">
        <f aca="false">(-1)^IM79*IN79</f>
        <v>0</v>
      </c>
      <c r="IT79" s="1" t="n">
        <v>0</v>
      </c>
      <c r="IV79" s="1" t="n">
        <f aca="false">$AM79</f>
        <v>68</v>
      </c>
      <c r="IW79" s="1" t="n">
        <f aca="false">GH79</f>
        <v>0</v>
      </c>
      <c r="IX79" s="1" t="n">
        <f aca="false">IX$6*(1+IX$5*(-1)^$FQ79)*EXP(-$FQ79/IX$4)</f>
        <v>7.47946409762778E-005</v>
      </c>
      <c r="IY79" s="1" t="n">
        <f aca="false">(IW79-IX79)^2</f>
        <v>5.59423831877029E-009</v>
      </c>
      <c r="IZ79" s="1" t="n">
        <f aca="false">EXP($FQ79/$JG$4)*IW79</f>
        <v>0</v>
      </c>
      <c r="JA79" s="1" t="n">
        <f aca="false">EXP($FQ79/$JG$4)*(-1)^$FQ79*IW79</f>
        <v>0</v>
      </c>
      <c r="JB79" s="1" t="n">
        <f aca="false">(-1)^IV79*IW79</f>
        <v>0</v>
      </c>
      <c r="JE79" s="1" t="n">
        <f aca="false">$AM79</f>
        <v>68</v>
      </c>
      <c r="JF79" s="1" t="n">
        <f aca="false">GL79</f>
        <v>0</v>
      </c>
      <c r="JG79" s="1" t="n">
        <f aca="false">JG$6*(1+JG$5*(-1)^$FQ79)*EXP(-$FQ79/JG$4)</f>
        <v>6.28604576667718E-006</v>
      </c>
      <c r="JH79" s="1" t="n">
        <f aca="false">(JF79-JG79)^2</f>
        <v>3.95143713807601E-011</v>
      </c>
      <c r="JI79" s="1" t="n">
        <f aca="false">EXP($FQ79/$JG$4)*JF79</f>
        <v>0</v>
      </c>
      <c r="JJ79" s="1" t="n">
        <f aca="false">EXP($FQ79/$JG$4)*(-1)^$FQ79*JF79</f>
        <v>0</v>
      </c>
      <c r="JK79" s="1" t="n">
        <f aca="false">(-1)^JE79*JF79</f>
        <v>0</v>
      </c>
      <c r="JO79" s="1" t="n">
        <f aca="false">$AM79</f>
        <v>68</v>
      </c>
      <c r="JP79" s="1" t="n">
        <f aca="false">GM79</f>
        <v>0</v>
      </c>
      <c r="JQ79" s="1" t="n">
        <f aca="false">JQ$6*(1+JQ$5*(-1)^$FQ79)*EXP(-$FQ79/JQ$4)</f>
        <v>0.0624158426430328</v>
      </c>
      <c r="JR79" s="1" t="n">
        <f aca="false">(JP79-JQ79)^2</f>
        <v>0.00389573741283983</v>
      </c>
      <c r="JS79" s="1" t="n">
        <f aca="false">EXP($FQ79/$JG$4)*JP79</f>
        <v>0</v>
      </c>
      <c r="JT79" s="1" t="n">
        <f aca="false">EXP($FQ79/$JG$4)*(-1)^$FQ79*JP79</f>
        <v>0</v>
      </c>
      <c r="JU79" s="1" t="n">
        <f aca="false">(-1)^JO79*JP79</f>
        <v>0</v>
      </c>
    </row>
    <row r="80" customFormat="false" ht="16" hidden="false" customHeight="false" outlineLevel="0" collapsed="false">
      <c r="A80" s="1" t="n">
        <v>1</v>
      </c>
      <c r="B80" s="1" t="n">
        <v>1</v>
      </c>
      <c r="C80" s="1" t="n">
        <f aca="false">B80-A80</f>
        <v>0</v>
      </c>
      <c r="D80" s="1" t="n">
        <v>2</v>
      </c>
      <c r="E80" s="1" t="n">
        <v>2</v>
      </c>
      <c r="F80" s="1" t="n">
        <f aca="false">E80-D80</f>
        <v>0</v>
      </c>
      <c r="G80" s="1" t="n">
        <v>1</v>
      </c>
      <c r="H80" s="1" t="n">
        <v>1</v>
      </c>
      <c r="I80" s="1" t="n">
        <f aca="false">H80-G80</f>
        <v>0</v>
      </c>
      <c r="J80" s="1" t="n">
        <v>1</v>
      </c>
      <c r="K80" s="1" t="n">
        <v>1</v>
      </c>
      <c r="L80" s="1" t="n">
        <f aca="false">K80-J80</f>
        <v>0</v>
      </c>
      <c r="M80" s="1" t="n">
        <v>5</v>
      </c>
      <c r="N80" s="1" t="n">
        <v>5</v>
      </c>
      <c r="O80" s="1" t="n">
        <f aca="false">N80-M80</f>
        <v>0</v>
      </c>
      <c r="P80" s="1" t="n">
        <v>2</v>
      </c>
      <c r="Q80" s="1" t="n">
        <v>2</v>
      </c>
      <c r="R80" s="1" t="n">
        <f aca="false">Q80-P80</f>
        <v>0</v>
      </c>
      <c r="S80" s="1" t="n">
        <v>5</v>
      </c>
      <c r="T80" s="1" t="n">
        <v>5</v>
      </c>
      <c r="U80" s="1" t="n">
        <f aca="false">T80-S80</f>
        <v>0</v>
      </c>
      <c r="V80" s="1" t="n">
        <v>4</v>
      </c>
      <c r="W80" s="1" t="n">
        <v>6</v>
      </c>
      <c r="X80" s="1" t="n">
        <f aca="false">W80-V80</f>
        <v>2</v>
      </c>
      <c r="Y80" s="1" t="n">
        <v>10</v>
      </c>
      <c r="Z80" s="1" t="n">
        <v>20</v>
      </c>
      <c r="AA80" s="1" t="n">
        <f aca="false">Z80-Y80</f>
        <v>10</v>
      </c>
      <c r="AB80" s="1" t="n">
        <v>3</v>
      </c>
      <c r="AC80" s="1" t="n">
        <v>3</v>
      </c>
      <c r="AD80" s="1" t="n">
        <f aca="false">AC80-AB80</f>
        <v>0</v>
      </c>
      <c r="AE80" s="1" t="n">
        <v>4</v>
      </c>
      <c r="AF80" s="1" t="n">
        <v>19</v>
      </c>
      <c r="AG80" s="1" t="n">
        <f aca="false">AF80-AE80</f>
        <v>15</v>
      </c>
      <c r="AM80" s="1" t="n">
        <v>69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W80" s="1" t="n">
        <f aca="false">$AM80</f>
        <v>69</v>
      </c>
      <c r="BX80" s="1" t="n">
        <f aca="false">MAX(BX79-AN80/AN$9*100,0)</f>
        <v>0</v>
      </c>
      <c r="BY80" s="1" t="n">
        <f aca="false">MAX(BY79-AO80/AO$9*100,0)</f>
        <v>0</v>
      </c>
      <c r="BZ80" s="1" t="n">
        <f aca="false">MAX(BZ79-AQ80/AQ$9*100,0)</f>
        <v>0</v>
      </c>
      <c r="CA80" s="1" t="n">
        <f aca="false">MAX(CA79-AR80/AR$9*100,0)</f>
        <v>0</v>
      </c>
      <c r="CB80" s="1" t="n">
        <f aca="false">CB$7*EXP(-$AM80/CB$8)</f>
        <v>2.52841615839584E-037</v>
      </c>
      <c r="CC80" s="1" t="n">
        <f aca="false">(BZ80-CB80)^2</f>
        <v>6.39288827003718E-074</v>
      </c>
      <c r="CD80" s="1" t="n">
        <f aca="false">MAX(CD79-AT80/AT$9*100,0)</f>
        <v>0</v>
      </c>
      <c r="CE80" s="1" t="n">
        <f aca="false">MAX(CE79-AU80/AU$9*100,0)</f>
        <v>5.32907051820075E-015</v>
      </c>
      <c r="CF80" s="1" t="n">
        <f aca="false">CF$7*EXP(-$AM80/CF$8)</f>
        <v>2.44397410972672E-036</v>
      </c>
      <c r="CG80" s="1" t="n">
        <f aca="false">(CD80-CF80)^2</f>
        <v>5.97300944901451E-072</v>
      </c>
      <c r="CH80" s="1" t="n">
        <f aca="false">$AM80</f>
        <v>69</v>
      </c>
      <c r="CI80" s="1" t="n">
        <f aca="false">MAX(CI79-AW80/AW$9*100,0)</f>
        <v>0</v>
      </c>
      <c r="CJ80" s="1" t="n">
        <f aca="false">MAX(CJ79-AX80/AX$9*100,0)</f>
        <v>0</v>
      </c>
      <c r="CK80" s="1" t="n">
        <f aca="false">CK$7*EXP(-$AM80/CK$8)</f>
        <v>4.34691678088767E-024</v>
      </c>
      <c r="CL80" s="1" t="n">
        <f aca="false">(CI80-CK80)^2</f>
        <v>1.88956854999628E-047</v>
      </c>
      <c r="CM80" s="1" t="n">
        <f aca="false">MAX(CM79-AZ80/AZ$9*100,0)</f>
        <v>0</v>
      </c>
      <c r="CN80" s="1" t="n">
        <f aca="false">MAX(CN79-BA80/BA$9*100,0)</f>
        <v>5.32907051820075E-015</v>
      </c>
      <c r="CO80" s="1" t="n">
        <f aca="false">CO$7*EXP(-$AM80/CO$8)</f>
        <v>5.21155572097937E-013</v>
      </c>
      <c r="CP80" s="1" t="n">
        <f aca="false">(CM80-CO80)^2</f>
        <v>2.71603130328728E-025</v>
      </c>
      <c r="CQ80" s="1" t="n">
        <f aca="false">$AM80</f>
        <v>69</v>
      </c>
      <c r="CR80" s="1" t="n">
        <f aca="false">MAX(CR79-BC80/BC$9*100,0)</f>
        <v>0</v>
      </c>
      <c r="CS80" s="1" t="n">
        <f aca="false">MAX(CS79-BD80/BD$9*100,0)</f>
        <v>0</v>
      </c>
      <c r="CT80" s="1" t="n">
        <f aca="false">CT$7*EXP(-$AM80/CT$8)</f>
        <v>3.7307003268904E-022</v>
      </c>
      <c r="CU80" s="1" t="n">
        <f aca="false">(CR80-CT80)^2</f>
        <v>1.39181249290601E-043</v>
      </c>
      <c r="CV80" s="1" t="n">
        <f aca="false">MAX(CV79-BF80/BF$9*100,0)</f>
        <v>8.88178419700125E-015</v>
      </c>
      <c r="CW80" s="1" t="n">
        <f aca="false">MAX(CW79-BG80/BG$9*100,0)</f>
        <v>5.32907051820075E-015</v>
      </c>
      <c r="CX80" s="1" t="n">
        <f aca="false">CX$7*EXP(-$AM80/CX$8)</f>
        <v>5.58358770236551E-011</v>
      </c>
      <c r="CY80" s="1" t="n">
        <f aca="false">(CV80-CX80)^2</f>
        <v>3.11665339746648E-021</v>
      </c>
      <c r="CZ80" s="1" t="n">
        <f aca="false">$AM80</f>
        <v>69</v>
      </c>
      <c r="DA80" s="1" t="n">
        <f aca="false">MAX(DA79-BI80/BI$9*100,0)</f>
        <v>0</v>
      </c>
      <c r="DB80" s="1" t="n">
        <f aca="false">MAX(DB79-BJ80/BJ$9*100,0)</f>
        <v>9.88098491916389E-015</v>
      </c>
      <c r="DC80" s="1" t="n">
        <f aca="false">DC$7*EXP(-$AM80/DC$8)</f>
        <v>2.14236888295932E-020</v>
      </c>
      <c r="DD80" s="1" t="n">
        <f aca="false">(DA80-DC80)^2</f>
        <v>4.58974443067236E-040</v>
      </c>
      <c r="DE80" s="1" t="n">
        <f aca="false">MAX(DE79-BL80/BL$9*100,0)</f>
        <v>0</v>
      </c>
      <c r="DF80" s="1" t="n">
        <f aca="false">MAX(DF79-BM80/BM$9*100,0)</f>
        <v>0</v>
      </c>
      <c r="DG80" s="1" t="n">
        <f aca="false">DG$7*EXP(-$AM80/DG$8)</f>
        <v>3.88514501839436E-006</v>
      </c>
      <c r="DH80" s="1" t="n">
        <f aca="false">(DE80-DG80)^2</f>
        <v>1.50943518139545E-011</v>
      </c>
      <c r="DI80" s="1" t="n">
        <f aca="false">$AM80</f>
        <v>69</v>
      </c>
      <c r="DJ80" s="1" t="n">
        <f aca="false">MAX(DJ79-BO80/BO$9*100,0)</f>
        <v>0</v>
      </c>
      <c r="DK80" s="1" t="n">
        <f aca="false">MAX(DK79-BP80/BP$9*100,0)</f>
        <v>9.99200722162641E-015</v>
      </c>
      <c r="DL80" s="1" t="n">
        <f aca="false">DL$7*EXP(-$AM80/DL$8)</f>
        <v>6.19221917064337E-017</v>
      </c>
      <c r="DM80" s="1" t="n">
        <f aca="false">(DJ80-DL80)^2</f>
        <v>3.83435782572833E-033</v>
      </c>
      <c r="DN80" s="1" t="n">
        <f aca="false">MAX(DN79-BR80/BR$9*100,0)</f>
        <v>0</v>
      </c>
      <c r="DO80" s="1" t="n">
        <f aca="false">MAX(DO79-BS80/BS$9*100,0)</f>
        <v>0</v>
      </c>
      <c r="DP80" s="1" t="n">
        <f aca="false">DP$7*EXP(-$AM80/DP$8)</f>
        <v>3.95655812138317E-007</v>
      </c>
      <c r="DQ80" s="1" t="n">
        <f aca="false">(DN80-DP80)^2</f>
        <v>1.56543521678831E-013</v>
      </c>
      <c r="DS80" s="1" t="n">
        <f aca="false">$AM80</f>
        <v>69</v>
      </c>
      <c r="DT80" s="1" t="n">
        <f aca="false">CA80</f>
        <v>0</v>
      </c>
      <c r="DU80" s="1" t="n">
        <f aca="false">DU$7*EXP(-DS80/DU$8)</f>
        <v>2.08485076901925E-029</v>
      </c>
      <c r="DV80" s="1" t="n">
        <f aca="false">(DT80-DU80)^2</f>
        <v>4.34660272908016E-058</v>
      </c>
      <c r="DX80" s="1" t="n">
        <f aca="false">$AM80</f>
        <v>69</v>
      </c>
      <c r="DY80" s="1" t="n">
        <f aca="false">CM80</f>
        <v>0</v>
      </c>
      <c r="DZ80" s="1" t="n">
        <f aca="false">DZ$7*EXP(-DX80/DZ$8)</f>
        <v>2.31018240383958E-015</v>
      </c>
      <c r="EA80" s="1" t="n">
        <f aca="false">(DY80-DZ80)^2</f>
        <v>5.33694273901002E-030</v>
      </c>
      <c r="EC80" s="1" t="n">
        <f aca="false">$AM80</f>
        <v>69</v>
      </c>
      <c r="ED80" s="1" t="n">
        <f aca="false">CV80</f>
        <v>8.88178419700125E-015</v>
      </c>
      <c r="EE80" s="1" t="n">
        <f aca="false">EE$7*EXP(-EC80/EE$8)</f>
        <v>1.16562650350976E-011</v>
      </c>
      <c r="EF80" s="1" t="n">
        <f aca="false">(ED80-EE80)^2</f>
        <v>1.3566153659336E-022</v>
      </c>
      <c r="EH80" s="1" t="n">
        <f aca="false">$AM80</f>
        <v>69</v>
      </c>
      <c r="EI80" s="1" t="n">
        <f aca="false">DE80</f>
        <v>0</v>
      </c>
      <c r="EJ80" s="1" t="n">
        <f aca="false">EJ$7*EXP(-EH80/EJ$8)</f>
        <v>3.86902408470808E-006</v>
      </c>
      <c r="EK80" s="1" t="n">
        <f aca="false">(EI80-EJ80)^2</f>
        <v>1.49693473680512E-011</v>
      </c>
      <c r="EM80" s="1" t="n">
        <f aca="false">AM80</f>
        <v>69</v>
      </c>
      <c r="EN80" s="1" t="n">
        <f aca="false">DN80</f>
        <v>0</v>
      </c>
      <c r="EO80" s="1" t="n">
        <f aca="false">EO$7*EXP(-EM80/EO$8)</f>
        <v>7.39998375323752E-007</v>
      </c>
      <c r="EP80" s="1" t="n">
        <f aca="false">(EN80-EO80)^2</f>
        <v>5.47597595481793E-013</v>
      </c>
      <c r="ER80" s="1" t="n">
        <f aca="false">$AM80</f>
        <v>69</v>
      </c>
      <c r="ES80" s="1" t="n">
        <f aca="false">BZ80</f>
        <v>0</v>
      </c>
      <c r="ET80" s="1" t="n">
        <f aca="false">ET$7*EXP(-ER80/ET$8)</f>
        <v>3.87490897335319E-034</v>
      </c>
      <c r="EU80" s="1" t="n">
        <f aca="false">(ES80-ET80)^2</f>
        <v>1.50149195517731E-067</v>
      </c>
      <c r="EW80" s="1" t="n">
        <f aca="false">$AM80</f>
        <v>69</v>
      </c>
      <c r="EX80" s="1" t="n">
        <f aca="false">CI80</f>
        <v>0</v>
      </c>
      <c r="EY80" s="1" t="n">
        <f aca="false">EY$7*EXP(-EW80/EY$8)</f>
        <v>2.87835879591311E-031</v>
      </c>
      <c r="EZ80" s="1" t="n">
        <f aca="false">(EX80-EY80)^2</f>
        <v>8.28494935801037E-062</v>
      </c>
      <c r="FB80" s="1" t="n">
        <f aca="false">$AM80</f>
        <v>69</v>
      </c>
      <c r="FC80" s="1" t="n">
        <f aca="false">CR80</f>
        <v>0</v>
      </c>
      <c r="FD80" s="1" t="n">
        <f aca="false">FD$7*EXP(-FB80/FD$8)</f>
        <v>5.14124540518011E-027</v>
      </c>
      <c r="FE80" s="1" t="n">
        <f aca="false">(FC80-FD80)^2</f>
        <v>2.64324043162856E-053</v>
      </c>
      <c r="FG80" s="1" t="n">
        <f aca="false">$AM80</f>
        <v>69</v>
      </c>
      <c r="FH80" s="1" t="n">
        <f aca="false">DA80</f>
        <v>0</v>
      </c>
      <c r="FI80" s="1" t="n">
        <f aca="false">FI$7*EXP(-FG80/FI$8)</f>
        <v>3.19124277046408E-023</v>
      </c>
      <c r="FJ80" s="1" t="n">
        <f aca="false">(FH80-FI80)^2</f>
        <v>1.01840304200393E-045</v>
      </c>
      <c r="FL80" s="1" t="n">
        <f aca="false">EM80</f>
        <v>69</v>
      </c>
      <c r="FM80" s="1" t="n">
        <f aca="false">DJ80</f>
        <v>0</v>
      </c>
      <c r="FN80" s="1" t="n">
        <f aca="false">FN$7*EXP(-FL80/FN$8)</f>
        <v>1.79020495078415E-018</v>
      </c>
      <c r="FO80" s="1" t="n">
        <f aca="false">(FM80-FN80)^2</f>
        <v>3.20483376581208E-036</v>
      </c>
      <c r="FQ80" s="1" t="n">
        <f aca="false">AM80</f>
        <v>69</v>
      </c>
      <c r="FR80" s="1" t="n">
        <f aca="false">AN80/AN$9*100</f>
        <v>0</v>
      </c>
      <c r="FS80" s="1" t="n">
        <f aca="false">AO80/AO$9*100</f>
        <v>0</v>
      </c>
      <c r="FT80" s="1" t="n">
        <f aca="false">AQ80/AQ$9*100</f>
        <v>0</v>
      </c>
      <c r="FU80" s="1" t="n">
        <f aca="false">AR80/AR$9*100</f>
        <v>0</v>
      </c>
      <c r="FV80" s="1" t="n">
        <f aca="false">AT80/AT$9*100</f>
        <v>0</v>
      </c>
      <c r="FW80" s="1" t="n">
        <f aca="false">AU80/AU$9*100</f>
        <v>0</v>
      </c>
      <c r="FX80" s="1" t="n">
        <f aca="false">AW80/AW$9*100</f>
        <v>0</v>
      </c>
      <c r="FY80" s="1" t="n">
        <f aca="false">AX80/AX$9*100</f>
        <v>0</v>
      </c>
      <c r="FZ80" s="1" t="n">
        <f aca="false">AZ80/AZ$9*100</f>
        <v>0</v>
      </c>
      <c r="GA80" s="1" t="n">
        <f aca="false">BA80/BA$9*100</f>
        <v>0</v>
      </c>
      <c r="GB80" s="1" t="n">
        <f aca="false">BC80/BC$9*100</f>
        <v>0</v>
      </c>
      <c r="GC80" s="1" t="n">
        <f aca="false">BD80/BD$9*100</f>
        <v>0</v>
      </c>
      <c r="GD80" s="1" t="n">
        <f aca="false">BF80/BF$9*100</f>
        <v>0</v>
      </c>
      <c r="GE80" s="1" t="n">
        <f aca="false">BG80/BG$9*100</f>
        <v>0</v>
      </c>
      <c r="GF80" s="1" t="n">
        <f aca="false">BI80/BI$9*100</f>
        <v>0</v>
      </c>
      <c r="GG80" s="1" t="n">
        <f aca="false">BJ80/BJ$9*100</f>
        <v>0</v>
      </c>
      <c r="GH80" s="1" t="n">
        <f aca="false">BL80/BL$9*100</f>
        <v>0</v>
      </c>
      <c r="GI80" s="1" t="n">
        <f aca="false">BM80/BM$9*100</f>
        <v>0</v>
      </c>
      <c r="GJ80" s="1" t="n">
        <f aca="false">BO80/BO$9*100</f>
        <v>0</v>
      </c>
      <c r="GK80" s="1" t="n">
        <f aca="false">BP80/BP$9*100</f>
        <v>0</v>
      </c>
      <c r="GL80" s="1" t="n">
        <f aca="false">BR80/BR$9*100</f>
        <v>0</v>
      </c>
      <c r="GM80" s="1" t="n">
        <f aca="false">BS80/BS$9*100</f>
        <v>0</v>
      </c>
      <c r="GO80" s="1" t="n">
        <f aca="false">$AM80</f>
        <v>69</v>
      </c>
      <c r="GP80" s="1" t="n">
        <f aca="false">FT80</f>
        <v>0</v>
      </c>
      <c r="GQ80" s="1" t="n">
        <f aca="false">GQ$6*(1+GQ$5*(-1)^$FQ80)*EXP(-$FQ80/GQ$4)</f>
        <v>1.39570062942282E-021</v>
      </c>
      <c r="GR80" s="1" t="n">
        <f aca="false">(GP80-GQ80)^2</f>
        <v>1.94798024697126E-042</v>
      </c>
      <c r="GS80" s="1" t="n">
        <f aca="false">EXP($FQ80/$JG$4)*GP80</f>
        <v>0</v>
      </c>
      <c r="GT80" s="1" t="n">
        <f aca="false">EXP($FQ80/$JG$4)*(-1)^$FQ80*GP80</f>
        <v>-0</v>
      </c>
      <c r="GU80" s="1" t="n">
        <f aca="false">(-1)^GO80*GP80</f>
        <v>-0</v>
      </c>
      <c r="GW80" s="1" t="n">
        <f aca="false">$AM80</f>
        <v>69</v>
      </c>
      <c r="GX80" s="1" t="n">
        <f aca="false">FX80</f>
        <v>0</v>
      </c>
      <c r="GY80" s="1" t="n">
        <f aca="false">GY$6*(1+GY$5*(-1)^$FQ80)*EXP(-$FQ80/GY$4)</f>
        <v>1.39570062942282E-021</v>
      </c>
      <c r="GZ80" s="1" t="n">
        <f aca="false">(GX80-GY80)^2</f>
        <v>1.94798024697126E-042</v>
      </c>
      <c r="HA80" s="1" t="n">
        <f aca="false">EXP($FQ80/$JG$4)*GX80</f>
        <v>0</v>
      </c>
      <c r="HB80" s="1" t="n">
        <f aca="false">EXP($FQ80/$JG$4)*(-1)^$FQ80*GX80</f>
        <v>-0</v>
      </c>
      <c r="HC80" s="1" t="n">
        <f aca="false">(-1)^GW80*GX80</f>
        <v>-0</v>
      </c>
      <c r="HE80" s="1" t="n">
        <f aca="false">$AM80</f>
        <v>69</v>
      </c>
      <c r="HF80" s="1" t="n">
        <f aca="false">GB80</f>
        <v>0</v>
      </c>
      <c r="HG80" s="1" t="n">
        <f aca="false">HG$6*(1+HG$5*(-1)^$FQ80)*EXP(-$FQ80/HG$4)</f>
        <v>1.39570062942282E-021</v>
      </c>
      <c r="HH80" s="1" t="n">
        <f aca="false">(HF80-HG80)^2</f>
        <v>1.94798024697126E-042</v>
      </c>
      <c r="HI80" s="1" t="n">
        <f aca="false">EXP($FQ80/$JG$4)*HF80</f>
        <v>0</v>
      </c>
      <c r="HJ80" s="1" t="n">
        <f aca="false">EXP($FQ80/$JG$4)*(-1)^$FQ80*HF80</f>
        <v>-0</v>
      </c>
      <c r="HK80" s="1" t="n">
        <f aca="false">(-1)^HE80*HF80</f>
        <v>-0</v>
      </c>
      <c r="HM80" s="1" t="n">
        <f aca="false">$AM80</f>
        <v>69</v>
      </c>
      <c r="HN80" s="1" t="n">
        <f aca="false">GF80</f>
        <v>0</v>
      </c>
      <c r="HO80" s="1" t="n">
        <f aca="false">HO$6*(1+HO$5*(-1)^$FQ80)*EXP(-$FQ80/HO$4)</f>
        <v>4.12670073789643E-017</v>
      </c>
      <c r="HP80" s="1" t="n">
        <f aca="false">(HN80-HO80)^2</f>
        <v>1.70296589801549E-033</v>
      </c>
      <c r="HQ80" s="1" t="n">
        <f aca="false">EXP($FQ80/$JG$4)*HN80</f>
        <v>0</v>
      </c>
      <c r="HR80" s="1" t="n">
        <f aca="false">EXP($FQ80/$JG$4)*(-1)^$FQ80*HN80</f>
        <v>-0</v>
      </c>
      <c r="HS80" s="1" t="n">
        <f aca="false">(-1)^HM80*HN80</f>
        <v>-0</v>
      </c>
      <c r="HU80" s="1" t="n">
        <f aca="false">$AM80</f>
        <v>69</v>
      </c>
      <c r="HV80" s="1" t="n">
        <f aca="false">GJ80</f>
        <v>0</v>
      </c>
      <c r="HW80" s="1" t="n">
        <f aca="false">HW$6*(1+HW$5*(-1)^$FQ80)*EXP(-$FQ80/HW$4)</f>
        <v>1.7182924473287E-012</v>
      </c>
      <c r="HX80" s="1" t="n">
        <f aca="false">(HV80-HW80)^2</f>
        <v>2.95252893454685E-024</v>
      </c>
      <c r="HY80" s="1" t="n">
        <f aca="false">EXP($FQ80/$JG$4)*HV80</f>
        <v>0</v>
      </c>
      <c r="HZ80" s="1" t="n">
        <f aca="false">EXP($FQ80/$JG$4)*(-1)^$FQ80*HV80</f>
        <v>-0</v>
      </c>
      <c r="IA80" s="1" t="n">
        <f aca="false">(-1)^HU80*HV80</f>
        <v>-0</v>
      </c>
      <c r="ID80" s="1" t="n">
        <f aca="false">$AM80</f>
        <v>69</v>
      </c>
      <c r="IE80" s="1" t="n">
        <f aca="false">FZ80</f>
        <v>0</v>
      </c>
      <c r="IF80" s="1" t="n">
        <f aca="false">IF$6*(1+IF$5*(-1)^$FQ80)*EXP(-$FQ80/IF$4)</f>
        <v>2.91463828136604E-009</v>
      </c>
      <c r="IG80" s="1" t="n">
        <f aca="false">(IE80-IF80)^2</f>
        <v>8.49511631120438E-018</v>
      </c>
      <c r="IH80" s="1" t="n">
        <f aca="false">EXP($FQ80/$JG$4)*IE80</f>
        <v>0</v>
      </c>
      <c r="II80" s="1" t="n">
        <f aca="false">EXP($FQ80/$JG$4)*(-1)^$FQ80*IE80</f>
        <v>-0</v>
      </c>
      <c r="IJ80" s="1" t="n">
        <f aca="false">(-1)^ID80*IE80</f>
        <v>-0</v>
      </c>
      <c r="IK80" s="1" t="n">
        <v>0</v>
      </c>
      <c r="IM80" s="1" t="n">
        <f aca="false">$AM80</f>
        <v>69</v>
      </c>
      <c r="IN80" s="1" t="n">
        <f aca="false">GD80</f>
        <v>0</v>
      </c>
      <c r="IO80" s="1" t="n">
        <f aca="false">IO$6*(1+IO$5*(-1)^$FQ80)*EXP(-$FQ80/IO$4)</f>
        <v>6.03123518975015E-008</v>
      </c>
      <c r="IP80" s="1" t="n">
        <f aca="false">(IN80-IO80)^2</f>
        <v>3.63757979140805E-015</v>
      </c>
      <c r="IQ80" s="1" t="n">
        <f aca="false">EXP($FQ80/$JG$4)*IN80</f>
        <v>0</v>
      </c>
      <c r="IR80" s="1" t="n">
        <f aca="false">EXP($FQ80/$JG$4)*(-1)^$FQ80*IN80</f>
        <v>-0</v>
      </c>
      <c r="IS80" s="1" t="n">
        <f aca="false">(-1)^IM80*IN80</f>
        <v>-0</v>
      </c>
      <c r="IT80" s="1" t="n">
        <v>0</v>
      </c>
      <c r="IV80" s="1" t="n">
        <f aca="false">$AM80</f>
        <v>69</v>
      </c>
      <c r="IW80" s="1" t="n">
        <f aca="false">GH80</f>
        <v>0</v>
      </c>
      <c r="IX80" s="1" t="n">
        <f aca="false">IX$6*(1+IX$5*(-1)^$FQ80)*EXP(-$FQ80/IX$4)</f>
        <v>1.59125230095635E-005</v>
      </c>
      <c r="IY80" s="1" t="n">
        <f aca="false">(IW80-IX80)^2</f>
        <v>2.53208388529888E-010</v>
      </c>
      <c r="IZ80" s="1" t="n">
        <f aca="false">EXP($FQ80/$JG$4)*IW80</f>
        <v>0</v>
      </c>
      <c r="JA80" s="1" t="n">
        <f aca="false">EXP($FQ80/$JG$4)*(-1)^$FQ80*IW80</f>
        <v>-0</v>
      </c>
      <c r="JB80" s="1" t="n">
        <f aca="false">(-1)^IV80*IW80</f>
        <v>-0</v>
      </c>
      <c r="JE80" s="1" t="n">
        <f aca="false">$AM80</f>
        <v>69</v>
      </c>
      <c r="JF80" s="1" t="n">
        <f aca="false">GL80</f>
        <v>0</v>
      </c>
      <c r="JG80" s="1" t="n">
        <f aca="false">JG$6*(1+JG$5*(-1)^$FQ80)*EXP(-$FQ80/JG$4)</f>
        <v>7.60069420486687E-007</v>
      </c>
      <c r="JH80" s="1" t="n">
        <f aca="false">(JF80-JG80)^2</f>
        <v>5.77705523958968E-013</v>
      </c>
      <c r="JI80" s="1" t="n">
        <f aca="false">EXP($FQ80/$JG$4)*JF80</f>
        <v>0</v>
      </c>
      <c r="JJ80" s="1" t="n">
        <f aca="false">EXP($FQ80/$JG$4)*(-1)^$FQ80*JF80</f>
        <v>-0</v>
      </c>
      <c r="JK80" s="1" t="n">
        <f aca="false">(-1)^JE80*JF80</f>
        <v>-0</v>
      </c>
      <c r="JO80" s="1" t="n">
        <f aca="false">$AM80</f>
        <v>69</v>
      </c>
      <c r="JP80" s="1" t="n">
        <f aca="false">GM80</f>
        <v>0</v>
      </c>
      <c r="JQ80" s="1" t="n">
        <f aca="false">JQ$6*(1+JQ$5*(-1)^$FQ80)*EXP(-$FQ80/JQ$4)</f>
        <v>0.0109746827842438</v>
      </c>
      <c r="JR80" s="1" t="n">
        <f aca="false">(JP80-JQ80)^2</f>
        <v>0.000120443662214777</v>
      </c>
      <c r="JS80" s="1" t="n">
        <f aca="false">EXP($FQ80/$JG$4)*JP80</f>
        <v>0</v>
      </c>
      <c r="JT80" s="1" t="n">
        <f aca="false">EXP($FQ80/$JG$4)*(-1)^$FQ80*JP80</f>
        <v>-0</v>
      </c>
      <c r="JU80" s="1" t="n">
        <f aca="false">(-1)^JO80*JP80</f>
        <v>-0</v>
      </c>
    </row>
    <row r="81" customFormat="false" ht="16" hidden="false" customHeight="false" outlineLevel="0" collapsed="false">
      <c r="A81" s="1" t="n">
        <v>1</v>
      </c>
      <c r="B81" s="1" t="n">
        <v>1</v>
      </c>
      <c r="C81" s="1" t="n">
        <f aca="false">B81-A81</f>
        <v>0</v>
      </c>
      <c r="D81" s="1" t="n">
        <v>2</v>
      </c>
      <c r="E81" s="1" t="n">
        <v>2</v>
      </c>
      <c r="F81" s="1" t="n">
        <f aca="false">E81-D81</f>
        <v>0</v>
      </c>
      <c r="G81" s="1" t="n">
        <v>3</v>
      </c>
      <c r="H81" s="1" t="n">
        <v>3</v>
      </c>
      <c r="I81" s="1" t="n">
        <f aca="false">H81-G81</f>
        <v>0</v>
      </c>
      <c r="J81" s="1" t="n">
        <v>1</v>
      </c>
      <c r="K81" s="1" t="n">
        <v>2</v>
      </c>
      <c r="L81" s="1" t="n">
        <f aca="false">K81-J81</f>
        <v>1</v>
      </c>
      <c r="M81" s="1" t="n">
        <v>7</v>
      </c>
      <c r="N81" s="1" t="n">
        <v>9</v>
      </c>
      <c r="O81" s="1" t="n">
        <f aca="false">N81-M81</f>
        <v>2</v>
      </c>
      <c r="P81" s="1" t="n">
        <v>3</v>
      </c>
      <c r="Q81" s="1" t="n">
        <v>5</v>
      </c>
      <c r="R81" s="1" t="n">
        <f aca="false">Q81-P81</f>
        <v>2</v>
      </c>
      <c r="S81" s="1" t="n">
        <v>5</v>
      </c>
      <c r="T81" s="1" t="n">
        <v>8</v>
      </c>
      <c r="U81" s="1" t="n">
        <f aca="false">T81-S81</f>
        <v>3</v>
      </c>
      <c r="V81" s="1" t="n">
        <v>2</v>
      </c>
      <c r="W81" s="1" t="n">
        <v>5</v>
      </c>
      <c r="X81" s="1" t="n">
        <f aca="false">W81-V81</f>
        <v>3</v>
      </c>
      <c r="Y81" s="1" t="n">
        <v>4</v>
      </c>
      <c r="Z81" s="1" t="n">
        <v>12</v>
      </c>
      <c r="AA81" s="1" t="n">
        <f aca="false">Z81-Y81</f>
        <v>8</v>
      </c>
      <c r="AB81" s="1" t="n">
        <v>1</v>
      </c>
      <c r="AC81" s="1" t="n">
        <v>1</v>
      </c>
      <c r="AD81" s="1" t="n">
        <f aca="false">AC81-AB81</f>
        <v>0</v>
      </c>
      <c r="AE81" s="1" t="n">
        <v>1</v>
      </c>
      <c r="AF81" s="1" t="n">
        <v>19</v>
      </c>
      <c r="AG81" s="1" t="n">
        <f aca="false">AF81-AE81</f>
        <v>18</v>
      </c>
      <c r="AM81" s="1" t="n">
        <v>70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W81" s="1" t="n">
        <f aca="false">$AM81</f>
        <v>70</v>
      </c>
      <c r="BX81" s="1" t="n">
        <f aca="false">MAX(BX80-AN81/AN$9*100,0)</f>
        <v>0</v>
      </c>
      <c r="BY81" s="1" t="n">
        <f aca="false">MAX(BY80-AO81/AO$9*100,0)</f>
        <v>0</v>
      </c>
      <c r="BZ81" s="1" t="n">
        <f aca="false">MAX(BZ80-AQ81/AQ$9*100,0)</f>
        <v>0</v>
      </c>
      <c r="CA81" s="1" t="n">
        <f aca="false">MAX(CA80-AR81/AR$9*100,0)</f>
        <v>0</v>
      </c>
      <c r="CB81" s="1" t="n">
        <f aca="false">CB$7*EXP(-$AM81/CB$8)</f>
        <v>6.89969271564904E-038</v>
      </c>
      <c r="CC81" s="1" t="n">
        <f aca="false">(BZ81-CB81)^2</f>
        <v>4.76057595703804E-075</v>
      </c>
      <c r="CD81" s="1" t="n">
        <f aca="false">MAX(CD80-AT81/AT$9*100,0)</f>
        <v>0</v>
      </c>
      <c r="CE81" s="1" t="n">
        <f aca="false">MAX(CE80-AU81/AU$9*100,0)</f>
        <v>5.32907051820075E-015</v>
      </c>
      <c r="CF81" s="1" t="n">
        <f aca="false">CF$7*EXP(-$AM81/CF$8)</f>
        <v>6.89218220876237E-037</v>
      </c>
      <c r="CG81" s="1" t="n">
        <f aca="false">(CD81-CF81)^2</f>
        <v>4.75021755987805E-073</v>
      </c>
      <c r="CH81" s="1" t="n">
        <f aca="false">$AM81</f>
        <v>70</v>
      </c>
      <c r="CI81" s="1" t="n">
        <f aca="false">MAX(CI80-AW81/AW$9*100,0)</f>
        <v>0</v>
      </c>
      <c r="CJ81" s="1" t="n">
        <f aca="false">MAX(CJ80-AX81/AX$9*100,0)</f>
        <v>0</v>
      </c>
      <c r="CK81" s="1" t="n">
        <f aca="false">CK$7*EXP(-$AM81/CK$8)</f>
        <v>1.84922374380169E-024</v>
      </c>
      <c r="CL81" s="1" t="n">
        <f aca="false">(CI81-CK81)^2</f>
        <v>3.41962845463994E-048</v>
      </c>
      <c r="CM81" s="1" t="n">
        <f aca="false">MAX(CM80-AZ81/AZ$9*100,0)</f>
        <v>0</v>
      </c>
      <c r="CN81" s="1" t="n">
        <f aca="false">MAX(CN80-BA81/BA$9*100,0)</f>
        <v>5.32907051820075E-015</v>
      </c>
      <c r="CO81" s="1" t="n">
        <f aca="false">CO$7*EXP(-$AM81/CO$8)</f>
        <v>3.22234444551691E-013</v>
      </c>
      <c r="CP81" s="1" t="n">
        <f aca="false">(CM81-CO81)^2</f>
        <v>1.03835037255537E-025</v>
      </c>
      <c r="CQ81" s="1" t="n">
        <f aca="false">$AM81</f>
        <v>70</v>
      </c>
      <c r="CR81" s="1" t="n">
        <f aca="false">MAX(CR80-BC81/BC$9*100,0)</f>
        <v>0</v>
      </c>
      <c r="CS81" s="1" t="n">
        <f aca="false">MAX(CS80-BD81/BD$9*100,0)</f>
        <v>0</v>
      </c>
      <c r="CT81" s="1" t="n">
        <f aca="false">CT$7*EXP(-$AM81/CT$8)</f>
        <v>1.69756419383397E-022</v>
      </c>
      <c r="CU81" s="1" t="n">
        <f aca="false">(CR81-CT81)^2</f>
        <v>2.88172419218718E-044</v>
      </c>
      <c r="CV81" s="1" t="n">
        <f aca="false">MAX(CV80-BF81/BF$9*100,0)</f>
        <v>8.88178419700125E-015</v>
      </c>
      <c r="CW81" s="1" t="n">
        <f aca="false">MAX(CW80-BG81/BG$9*100,0)</f>
        <v>5.32907051820075E-015</v>
      </c>
      <c r="CX81" s="1" t="n">
        <f aca="false">CX$7*EXP(-$AM81/CX$8)</f>
        <v>3.69362509621841E-011</v>
      </c>
      <c r="CY81" s="1" t="n">
        <f aca="false">(CV81-CX81)^2</f>
        <v>1.36363059440735E-021</v>
      </c>
      <c r="CZ81" s="1" t="n">
        <f aca="false">$AM81</f>
        <v>70</v>
      </c>
      <c r="DA81" s="1" t="n">
        <f aca="false">MAX(DA80-BI81/BI$9*100,0)</f>
        <v>0</v>
      </c>
      <c r="DB81" s="1" t="n">
        <f aca="false">MAX(DB80-BJ81/BJ$9*100,0)</f>
        <v>9.88098491916389E-015</v>
      </c>
      <c r="DC81" s="1" t="n">
        <f aca="false">DC$7*EXP(-$AM81/DC$8)</f>
        <v>1.03250218716027E-020</v>
      </c>
      <c r="DD81" s="1" t="n">
        <f aca="false">(DA81-DC81)^2</f>
        <v>1.06606076649074E-040</v>
      </c>
      <c r="DE81" s="1" t="n">
        <f aca="false">MAX(DE80-BL81/BL$9*100,0)</f>
        <v>0</v>
      </c>
      <c r="DF81" s="1" t="n">
        <f aca="false">MAX(DF80-BM81/BM$9*100,0)</f>
        <v>0</v>
      </c>
      <c r="DG81" s="1" t="n">
        <f aca="false">DG$7*EXP(-$AM81/DG$8)</f>
        <v>3.0257539826715E-006</v>
      </c>
      <c r="DH81" s="1" t="n">
        <f aca="false">(DE81-DG81)^2</f>
        <v>9.15518716365244E-012</v>
      </c>
      <c r="DI81" s="1" t="n">
        <f aca="false">$AM81</f>
        <v>70</v>
      </c>
      <c r="DJ81" s="1" t="n">
        <f aca="false">MAX(DJ80-BO81/BO$9*100,0)</f>
        <v>0</v>
      </c>
      <c r="DK81" s="1" t="n">
        <f aca="false">MAX(DK80-BP81/BP$9*100,0)</f>
        <v>9.99200722162641E-015</v>
      </c>
      <c r="DL81" s="1" t="n">
        <f aca="false">DL$7*EXP(-$AM81/DL$8)</f>
        <v>3.35280261951913E-017</v>
      </c>
      <c r="DM81" s="1" t="n">
        <f aca="false">(DJ81-DL81)^2</f>
        <v>1.12412854054543E-033</v>
      </c>
      <c r="DN81" s="1" t="n">
        <f aca="false">MAX(DN80-BR81/BR$9*100,0)</f>
        <v>0</v>
      </c>
      <c r="DO81" s="1" t="n">
        <f aca="false">MAX(DO80-BS81/BS$9*100,0)</f>
        <v>0</v>
      </c>
      <c r="DP81" s="1" t="n">
        <f aca="false">DP$7*EXP(-$AM81/DP$8)</f>
        <v>2.98049193895608E-007</v>
      </c>
      <c r="DQ81" s="1" t="n">
        <f aca="false">(DN81-DP81)^2</f>
        <v>8.88333219818217E-014</v>
      </c>
      <c r="DS81" s="1" t="n">
        <f aca="false">$AM81</f>
        <v>70</v>
      </c>
      <c r="DT81" s="1" t="n">
        <f aca="false">CA81</f>
        <v>0</v>
      </c>
      <c r="DU81" s="1" t="n">
        <f aca="false">DU$7*EXP(-DS81/DU$8)</f>
        <v>7.43615963152029E-030</v>
      </c>
      <c r="DV81" s="1" t="n">
        <f aca="false">(DT81-DU81)^2</f>
        <v>5.5296470065452E-059</v>
      </c>
      <c r="DX81" s="1" t="n">
        <f aca="false">$AM81</f>
        <v>70</v>
      </c>
      <c r="DY81" s="1" t="n">
        <f aca="false">CM81</f>
        <v>0</v>
      </c>
      <c r="DZ81" s="1" t="n">
        <f aca="false">DZ$7*EXP(-DX81/DZ$8)</f>
        <v>1.31722694990893E-015</v>
      </c>
      <c r="EA81" s="1" t="n">
        <f aca="false">(DY81-DZ81)^2</f>
        <v>1.73508683756638E-030</v>
      </c>
      <c r="EC81" s="1" t="n">
        <f aca="false">$AM81</f>
        <v>70</v>
      </c>
      <c r="ED81" s="1" t="n">
        <f aca="false">CV81</f>
        <v>8.88178419700125E-015</v>
      </c>
      <c r="EE81" s="1" t="n">
        <f aca="false">EE$7*EXP(-EC81/EE$8)</f>
        <v>7.53201486227194E-012</v>
      </c>
      <c r="EF81" s="1" t="n">
        <f aca="false">(ED81-EE81)^2</f>
        <v>5.65975313104253E-023</v>
      </c>
      <c r="EH81" s="1" t="n">
        <f aca="false">$AM81</f>
        <v>70</v>
      </c>
      <c r="EI81" s="1" t="n">
        <f aca="false">DE81</f>
        <v>0</v>
      </c>
      <c r="EJ81" s="1" t="n">
        <f aca="false">EJ$7*EXP(-EH81/EJ$8)</f>
        <v>3.01319898689278E-006</v>
      </c>
      <c r="EK81" s="1" t="n">
        <f aca="false">(EI81-EJ81)^2</f>
        <v>9.07936813461168E-012</v>
      </c>
      <c r="EM81" s="1" t="n">
        <f aca="false">AM81</f>
        <v>70</v>
      </c>
      <c r="EN81" s="1" t="n">
        <f aca="false">DN81</f>
        <v>0</v>
      </c>
      <c r="EO81" s="1" t="n">
        <f aca="false">EO$7*EXP(-EM81/EO$8)</f>
        <v>5.62659915528572E-007</v>
      </c>
      <c r="EP81" s="1" t="n">
        <f aca="false">(EN81-EO81)^2</f>
        <v>3.1658618054262E-013</v>
      </c>
      <c r="ER81" s="1" t="n">
        <f aca="false">$AM81</f>
        <v>70</v>
      </c>
      <c r="ES81" s="1" t="n">
        <f aca="false">BZ81</f>
        <v>0</v>
      </c>
      <c r="ET81" s="1" t="n">
        <f aca="false">ET$7*EXP(-ER81/ET$8)</f>
        <v>1.1782684921708E-034</v>
      </c>
      <c r="EU81" s="1" t="n">
        <f aca="false">(ES81-ET81)^2</f>
        <v>1.38831663964245E-068</v>
      </c>
      <c r="EW81" s="1" t="n">
        <f aca="false">$AM81</f>
        <v>70</v>
      </c>
      <c r="EX81" s="1" t="n">
        <f aca="false">CI81</f>
        <v>0</v>
      </c>
      <c r="EY81" s="1" t="n">
        <f aca="false">EY$7*EXP(-EW81/EY$8)</f>
        <v>9.59175872156995E-032</v>
      </c>
      <c r="EZ81" s="1" t="n">
        <f aca="false">(EX81-EY81)^2</f>
        <v>9.20018353728132E-063</v>
      </c>
      <c r="FB81" s="1" t="n">
        <f aca="false">$AM81</f>
        <v>70</v>
      </c>
      <c r="FC81" s="1" t="n">
        <f aca="false">CR81</f>
        <v>0</v>
      </c>
      <c r="FD81" s="1" t="n">
        <f aca="false">FD$7*EXP(-FB81/FD$8)</f>
        <v>1.98360202095583E-027</v>
      </c>
      <c r="FE81" s="1" t="n">
        <f aca="false">(FC81-FD81)^2</f>
        <v>3.93467697754005E-054</v>
      </c>
      <c r="FG81" s="1" t="n">
        <f aca="false">$AM81</f>
        <v>70</v>
      </c>
      <c r="FH81" s="1" t="n">
        <f aca="false">DA81</f>
        <v>0</v>
      </c>
      <c r="FI81" s="1" t="n">
        <f aca="false">FI$7*EXP(-FG81/FI$8)</f>
        <v>1.39649306884091E-023</v>
      </c>
      <c r="FJ81" s="1" t="n">
        <f aca="false">(FH81-FI81)^2</f>
        <v>1.9501928913207E-046</v>
      </c>
      <c r="FL81" s="1" t="n">
        <f aca="false">EM81</f>
        <v>70</v>
      </c>
      <c r="FM81" s="1" t="n">
        <f aca="false">DJ81</f>
        <v>0</v>
      </c>
      <c r="FN81" s="1" t="n">
        <f aca="false">FN$7*EXP(-FL81/FN$8)</f>
        <v>9.19121868309483E-019</v>
      </c>
      <c r="FO81" s="1" t="n">
        <f aca="false">(FM81-FN81)^2</f>
        <v>8.44785008804715E-037</v>
      </c>
      <c r="FQ81" s="1" t="n">
        <f aca="false">AM81</f>
        <v>70</v>
      </c>
      <c r="FR81" s="1" t="n">
        <f aca="false">AN81/AN$9*100</f>
        <v>0</v>
      </c>
      <c r="FS81" s="1" t="n">
        <f aca="false">AO81/AO$9*100</f>
        <v>0</v>
      </c>
      <c r="FT81" s="1" t="n">
        <f aca="false">AQ81/AQ$9*100</f>
        <v>0</v>
      </c>
      <c r="FU81" s="1" t="n">
        <f aca="false">AR81/AR$9*100</f>
        <v>0</v>
      </c>
      <c r="FV81" s="1" t="n">
        <f aca="false">AT81/AT$9*100</f>
        <v>0</v>
      </c>
      <c r="FW81" s="1" t="n">
        <f aca="false">AU81/AU$9*100</f>
        <v>0</v>
      </c>
      <c r="FX81" s="1" t="n">
        <f aca="false">AW81/AW$9*100</f>
        <v>0</v>
      </c>
      <c r="FY81" s="1" t="n">
        <f aca="false">AX81/AX$9*100</f>
        <v>0</v>
      </c>
      <c r="FZ81" s="1" t="n">
        <f aca="false">AZ81/AZ$9*100</f>
        <v>0</v>
      </c>
      <c r="GA81" s="1" t="n">
        <f aca="false">BA81/BA$9*100</f>
        <v>0</v>
      </c>
      <c r="GB81" s="1" t="n">
        <f aca="false">BC81/BC$9*100</f>
        <v>0</v>
      </c>
      <c r="GC81" s="1" t="n">
        <f aca="false">BD81/BD$9*100</f>
        <v>0</v>
      </c>
      <c r="GD81" s="1" t="n">
        <f aca="false">BF81/BF$9*100</f>
        <v>0</v>
      </c>
      <c r="GE81" s="1" t="n">
        <f aca="false">BG81/BG$9*100</f>
        <v>0</v>
      </c>
      <c r="GF81" s="1" t="n">
        <f aca="false">BI81/BI$9*100</f>
        <v>0</v>
      </c>
      <c r="GG81" s="1" t="n">
        <f aca="false">BJ81/BJ$9*100</f>
        <v>0</v>
      </c>
      <c r="GH81" s="1" t="n">
        <f aca="false">BL81/BL$9*100</f>
        <v>0</v>
      </c>
      <c r="GI81" s="1" t="n">
        <f aca="false">BM81/BM$9*100</f>
        <v>0</v>
      </c>
      <c r="GJ81" s="1" t="n">
        <f aca="false">BO81/BO$9*100</f>
        <v>0</v>
      </c>
      <c r="GK81" s="1" t="n">
        <f aca="false">BP81/BP$9*100</f>
        <v>0</v>
      </c>
      <c r="GL81" s="1" t="n">
        <f aca="false">BR81/BR$9*100</f>
        <v>0</v>
      </c>
      <c r="GM81" s="1" t="n">
        <f aca="false">BS81/BS$9*100</f>
        <v>0</v>
      </c>
      <c r="GO81" s="1" t="n">
        <f aca="false">$AM81</f>
        <v>70</v>
      </c>
      <c r="GP81" s="1" t="n">
        <f aca="false">FT81</f>
        <v>0</v>
      </c>
      <c r="GQ81" s="1" t="n">
        <f aca="false">GQ$6*(1+GQ$5*(-1)^$FQ81)*EXP(-$FQ81/GQ$4)</f>
        <v>1.91160164479627E-021</v>
      </c>
      <c r="GR81" s="1" t="n">
        <f aca="false">(GP81-GQ81)^2</f>
        <v>3.6542208483878E-042</v>
      </c>
      <c r="GS81" s="1" t="n">
        <f aca="false">EXP($FQ81/$JG$4)*GP81</f>
        <v>0</v>
      </c>
      <c r="GT81" s="1" t="n">
        <f aca="false">EXP($FQ81/$JG$4)*(-1)^$FQ81*GP81</f>
        <v>0</v>
      </c>
      <c r="GU81" s="1" t="n">
        <f aca="false">(-1)^GO81*GP81</f>
        <v>0</v>
      </c>
      <c r="GW81" s="1" t="n">
        <f aca="false">$AM81</f>
        <v>70</v>
      </c>
      <c r="GX81" s="1" t="n">
        <f aca="false">FX81</f>
        <v>0</v>
      </c>
      <c r="GY81" s="1" t="n">
        <f aca="false">GY$6*(1+GY$5*(-1)^$FQ81)*EXP(-$FQ81/GY$4)</f>
        <v>1.91160164479627E-021</v>
      </c>
      <c r="GZ81" s="1" t="n">
        <f aca="false">(GX81-GY81)^2</f>
        <v>3.6542208483878E-042</v>
      </c>
      <c r="HA81" s="1" t="n">
        <f aca="false">EXP($FQ81/$JG$4)*GX81</f>
        <v>0</v>
      </c>
      <c r="HB81" s="1" t="n">
        <f aca="false">EXP($FQ81/$JG$4)*(-1)^$FQ81*GX81</f>
        <v>0</v>
      </c>
      <c r="HC81" s="1" t="n">
        <f aca="false">(-1)^GW81*GX81</f>
        <v>0</v>
      </c>
      <c r="HE81" s="1" t="n">
        <f aca="false">$AM81</f>
        <v>70</v>
      </c>
      <c r="HF81" s="1" t="n">
        <f aca="false">GB81</f>
        <v>0</v>
      </c>
      <c r="HG81" s="1" t="n">
        <f aca="false">HG$6*(1+HG$5*(-1)^$FQ81)*EXP(-$FQ81/HG$4)</f>
        <v>1.91160164479627E-021</v>
      </c>
      <c r="HH81" s="1" t="n">
        <f aca="false">(HF81-HG81)^2</f>
        <v>3.6542208483878E-042</v>
      </c>
      <c r="HI81" s="1" t="n">
        <f aca="false">EXP($FQ81/$JG$4)*HF81</f>
        <v>0</v>
      </c>
      <c r="HJ81" s="1" t="n">
        <f aca="false">EXP($FQ81/$JG$4)*(-1)^$FQ81*HF81</f>
        <v>0</v>
      </c>
      <c r="HK81" s="1" t="n">
        <f aca="false">(-1)^HE81*HF81</f>
        <v>0</v>
      </c>
      <c r="HM81" s="1" t="n">
        <f aca="false">$AM81</f>
        <v>70</v>
      </c>
      <c r="HN81" s="1" t="n">
        <f aca="false">GF81</f>
        <v>0</v>
      </c>
      <c r="HO81" s="1" t="n">
        <f aca="false">HO$6*(1+HO$5*(-1)^$FQ81)*EXP(-$FQ81/HO$4)</f>
        <v>1.03297009088631E-016</v>
      </c>
      <c r="HP81" s="1" t="n">
        <f aca="false">(HN81-HO81)^2</f>
        <v>1.06702720866567E-032</v>
      </c>
      <c r="HQ81" s="1" t="n">
        <f aca="false">EXP($FQ81/$JG$4)*HN81</f>
        <v>0</v>
      </c>
      <c r="HR81" s="1" t="n">
        <f aca="false">EXP($FQ81/$JG$4)*(-1)^$FQ81*HN81</f>
        <v>0</v>
      </c>
      <c r="HS81" s="1" t="n">
        <f aca="false">(-1)^HM81*HN81</f>
        <v>0</v>
      </c>
      <c r="HU81" s="1" t="n">
        <f aca="false">$AM81</f>
        <v>70</v>
      </c>
      <c r="HV81" s="1" t="n">
        <f aca="false">GJ81</f>
        <v>0</v>
      </c>
      <c r="HW81" s="1" t="n">
        <f aca="false">HW$6*(1+HW$5*(-1)^$FQ81)*EXP(-$FQ81/HW$4)</f>
        <v>3.31171256587291E-012</v>
      </c>
      <c r="HX81" s="1" t="n">
        <f aca="false">(HV81-HW81)^2</f>
        <v>1.09674401189605E-023</v>
      </c>
      <c r="HY81" s="1" t="n">
        <f aca="false">EXP($FQ81/$JG$4)*HV81</f>
        <v>0</v>
      </c>
      <c r="HZ81" s="1" t="n">
        <f aca="false">EXP($FQ81/$JG$4)*(-1)^$FQ81*HV81</f>
        <v>0</v>
      </c>
      <c r="IA81" s="1" t="n">
        <f aca="false">(-1)^HU81*HV81</f>
        <v>0</v>
      </c>
      <c r="ID81" s="1" t="n">
        <f aca="false">$AM81</f>
        <v>70</v>
      </c>
      <c r="IE81" s="1" t="n">
        <f aca="false">FZ81</f>
        <v>0</v>
      </c>
      <c r="IF81" s="1" t="n">
        <f aca="false">IF$6*(1+IF$5*(-1)^$FQ81)*EXP(-$FQ81/IF$4)</f>
        <v>4.05401037592116E-009</v>
      </c>
      <c r="IG81" s="1" t="n">
        <f aca="false">(IE81-IF81)^2</f>
        <v>1.64350001280764E-017</v>
      </c>
      <c r="IH81" s="1" t="n">
        <f aca="false">EXP($FQ81/$JG$4)*IE81</f>
        <v>0</v>
      </c>
      <c r="II81" s="1" t="n">
        <f aca="false">EXP($FQ81/$JG$4)*(-1)^$FQ81*IE81</f>
        <v>0</v>
      </c>
      <c r="IJ81" s="1" t="n">
        <f aca="false">(-1)^ID81*IE81</f>
        <v>0</v>
      </c>
      <c r="IK81" s="1" t="n">
        <v>0</v>
      </c>
      <c r="IM81" s="1" t="n">
        <f aca="false">$AM81</f>
        <v>70</v>
      </c>
      <c r="IN81" s="1" t="n">
        <f aca="false">GD81</f>
        <v>0</v>
      </c>
      <c r="IO81" s="1" t="n">
        <f aca="false">IO$6*(1+IO$5*(-1)^$FQ81)*EXP(-$FQ81/IO$4)</f>
        <v>9.8560328939406E-008</v>
      </c>
      <c r="IP81" s="1" t="n">
        <f aca="false">(IN81-IO81)^2</f>
        <v>9.71413844064391E-015</v>
      </c>
      <c r="IQ81" s="1" t="n">
        <f aca="false">EXP($FQ81/$JG$4)*IN81</f>
        <v>0</v>
      </c>
      <c r="IR81" s="1" t="n">
        <f aca="false">EXP($FQ81/$JG$4)*(-1)^$FQ81*IN81</f>
        <v>0</v>
      </c>
      <c r="IS81" s="1" t="n">
        <f aca="false">(-1)^IM81*IN81</f>
        <v>0</v>
      </c>
      <c r="IT81" s="1" t="n">
        <v>0</v>
      </c>
      <c r="IV81" s="1" t="n">
        <f aca="false">$AM81</f>
        <v>70</v>
      </c>
      <c r="IW81" s="1" t="n">
        <f aca="false">GH81</f>
        <v>0</v>
      </c>
      <c r="IX81" s="1" t="n">
        <f aca="false">IX$6*(1+IX$5*(-1)^$FQ81)*EXP(-$FQ81/IX$4)</f>
        <v>5.09136394406986E-005</v>
      </c>
      <c r="IY81" s="1" t="n">
        <f aca="false">(IW81-IX81)^2</f>
        <v>2.59219868109746E-009</v>
      </c>
      <c r="IZ81" s="1" t="n">
        <f aca="false">EXP($FQ81/$JG$4)*IW81</f>
        <v>0</v>
      </c>
      <c r="JA81" s="1" t="n">
        <f aca="false">EXP($FQ81/$JG$4)*(-1)^$FQ81*IW81</f>
        <v>0</v>
      </c>
      <c r="JB81" s="1" t="n">
        <f aca="false">(-1)^IV81*IW81</f>
        <v>0</v>
      </c>
      <c r="JE81" s="1" t="n">
        <f aca="false">$AM81</f>
        <v>70</v>
      </c>
      <c r="JF81" s="1" t="n">
        <f aca="false">GL81</f>
        <v>0</v>
      </c>
      <c r="JG81" s="1" t="n">
        <f aca="false">JG$6*(1+JG$5*(-1)^$FQ81)*EXP(-$FQ81/JG$4)</f>
        <v>3.9394554356449E-006</v>
      </c>
      <c r="JH81" s="1" t="n">
        <f aca="false">(JF81-JG81)^2</f>
        <v>1.55193091294322E-011</v>
      </c>
      <c r="JI81" s="1" t="n">
        <f aca="false">EXP($FQ81/$JG$4)*JF81</f>
        <v>0</v>
      </c>
      <c r="JJ81" s="1" t="n">
        <f aca="false">EXP($FQ81/$JG$4)*(-1)^$FQ81*JF81</f>
        <v>0</v>
      </c>
      <c r="JK81" s="1" t="n">
        <f aca="false">(-1)^JE81*JF81</f>
        <v>0</v>
      </c>
      <c r="JO81" s="1" t="n">
        <f aca="false">$AM81</f>
        <v>70</v>
      </c>
      <c r="JP81" s="1" t="n">
        <f aca="false">GM81</f>
        <v>0</v>
      </c>
      <c r="JQ81" s="1" t="n">
        <f aca="false">JQ$6*(1+JQ$5*(-1)^$FQ81)*EXP(-$FQ81/JQ$4)</f>
        <v>0.0531872726413529</v>
      </c>
      <c r="JR81" s="1" t="n">
        <f aca="false">(JP81-JQ81)^2</f>
        <v>0.00282888597102561</v>
      </c>
      <c r="JS81" s="1" t="n">
        <f aca="false">EXP($FQ81/$JG$4)*JP81</f>
        <v>0</v>
      </c>
      <c r="JT81" s="1" t="n">
        <f aca="false">EXP($FQ81/$JG$4)*(-1)^$FQ81*JP81</f>
        <v>0</v>
      </c>
      <c r="JU81" s="1" t="n">
        <f aca="false">(-1)^JO81*JP81</f>
        <v>0</v>
      </c>
    </row>
    <row r="82" customFormat="false" ht="16" hidden="false" customHeight="false" outlineLevel="0" collapsed="false">
      <c r="A82" s="1" t="n">
        <v>1</v>
      </c>
      <c r="B82" s="1" t="n">
        <v>1</v>
      </c>
      <c r="C82" s="1" t="n">
        <f aca="false">B82-A82</f>
        <v>0</v>
      </c>
      <c r="D82" s="1" t="n">
        <v>3</v>
      </c>
      <c r="E82" s="1" t="n">
        <v>3</v>
      </c>
      <c r="F82" s="1" t="n">
        <f aca="false">E82-D82</f>
        <v>0</v>
      </c>
      <c r="G82" s="1" t="n">
        <v>2</v>
      </c>
      <c r="H82" s="1" t="n">
        <v>2</v>
      </c>
      <c r="I82" s="1" t="n">
        <f aca="false">H82-G82</f>
        <v>0</v>
      </c>
      <c r="J82" s="1" t="n">
        <v>1</v>
      </c>
      <c r="K82" s="1" t="n">
        <v>1</v>
      </c>
      <c r="L82" s="1" t="n">
        <f aca="false">K82-J82</f>
        <v>0</v>
      </c>
      <c r="M82" s="1" t="n">
        <v>4</v>
      </c>
      <c r="N82" s="1" t="n">
        <v>4</v>
      </c>
      <c r="O82" s="1" t="n">
        <f aca="false">N82-M82</f>
        <v>0</v>
      </c>
      <c r="P82" s="1" t="n">
        <v>1</v>
      </c>
      <c r="Q82" s="1" t="n">
        <v>1</v>
      </c>
      <c r="R82" s="1" t="n">
        <f aca="false">Q82-P82</f>
        <v>0</v>
      </c>
      <c r="S82" s="1" t="n">
        <v>4</v>
      </c>
      <c r="T82" s="1" t="n">
        <v>7</v>
      </c>
      <c r="U82" s="1" t="n">
        <f aca="false">T82-S82</f>
        <v>3</v>
      </c>
      <c r="V82" s="1" t="n">
        <v>2</v>
      </c>
      <c r="W82" s="1" t="n">
        <v>2</v>
      </c>
      <c r="X82" s="1" t="n">
        <f aca="false">W82-V82</f>
        <v>0</v>
      </c>
      <c r="Y82" s="1" t="n">
        <v>4</v>
      </c>
      <c r="Z82" s="1" t="n">
        <v>10</v>
      </c>
      <c r="AA82" s="1" t="n">
        <f aca="false">Z82-Y82</f>
        <v>6</v>
      </c>
      <c r="AB82" s="1" t="n">
        <v>1</v>
      </c>
      <c r="AC82" s="1" t="n">
        <v>1</v>
      </c>
      <c r="AD82" s="1" t="n">
        <f aca="false">AC82-AB82</f>
        <v>0</v>
      </c>
      <c r="AE82" s="1" t="n">
        <v>3</v>
      </c>
      <c r="AF82" s="1" t="n">
        <v>4</v>
      </c>
      <c r="AG82" s="1" t="n">
        <f aca="false">AF82-AE82</f>
        <v>1</v>
      </c>
      <c r="AM82" s="1" t="n">
        <v>71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W82" s="1" t="n">
        <f aca="false">$AM82</f>
        <v>71</v>
      </c>
      <c r="BX82" s="1" t="n">
        <f aca="false">MAX(BX81-AN82/AN$9*100,0)</f>
        <v>0</v>
      </c>
      <c r="BY82" s="1" t="n">
        <f aca="false">MAX(BY81-AO82/AO$9*100,0)</f>
        <v>0</v>
      </c>
      <c r="BZ82" s="1" t="n">
        <f aca="false">MAX(BZ81-AQ82/AQ$9*100,0)</f>
        <v>0</v>
      </c>
      <c r="CA82" s="1" t="n">
        <f aca="false">MAX(CA81-AR82/AR$9*100,0)</f>
        <v>0</v>
      </c>
      <c r="CB82" s="1" t="n">
        <f aca="false">CB$7*EXP(-$AM82/CB$8)</f>
        <v>1.88282927287508E-038</v>
      </c>
      <c r="CC82" s="1" t="n">
        <f aca="false">(BZ82-CB82)^2</f>
        <v>3.5450460707953E-076</v>
      </c>
      <c r="CD82" s="1" t="n">
        <f aca="false">MAX(CD81-AT82/AT$9*100,0)</f>
        <v>0</v>
      </c>
      <c r="CE82" s="1" t="n">
        <f aca="false">MAX(CE81-AU82/AU$9*100,0)</f>
        <v>5.32907051820075E-015</v>
      </c>
      <c r="CF82" s="1" t="n">
        <f aca="false">CF$7*EXP(-$AM82/CF$8)</f>
        <v>1.9436447959791E-037</v>
      </c>
      <c r="CG82" s="1" t="n">
        <f aca="false">(CD82-CF82)^2</f>
        <v>3.77775509293664E-074</v>
      </c>
      <c r="CH82" s="1" t="n">
        <f aca="false">$AM82</f>
        <v>71</v>
      </c>
      <c r="CI82" s="1" t="n">
        <f aca="false">MAX(CI81-AW82/AW$9*100,0)</f>
        <v>0</v>
      </c>
      <c r="CJ82" s="1" t="n">
        <f aca="false">MAX(CJ81-AX82/AX$9*100,0)</f>
        <v>0</v>
      </c>
      <c r="CK82" s="1" t="n">
        <f aca="false">CK$7*EXP(-$AM82/CK$8)</f>
        <v>7.86679070939475E-025</v>
      </c>
      <c r="CL82" s="1" t="n">
        <f aca="false">(CI82-CK82)^2</f>
        <v>6.18863960654196E-049</v>
      </c>
      <c r="CM82" s="1" t="n">
        <f aca="false">MAX(CM81-AZ82/AZ$9*100,0)</f>
        <v>0</v>
      </c>
      <c r="CN82" s="1" t="n">
        <f aca="false">MAX(CN81-BA82/BA$9*100,0)</f>
        <v>5.32907051820075E-015</v>
      </c>
      <c r="CO82" s="1" t="n">
        <f aca="false">CO$7*EXP(-$AM82/CO$8)</f>
        <v>1.99240002054557E-013</v>
      </c>
      <c r="CP82" s="1" t="n">
        <f aca="false">(CM82-CO82)^2</f>
        <v>3.96965784186999E-026</v>
      </c>
      <c r="CQ82" s="1" t="n">
        <f aca="false">$AM82</f>
        <v>71</v>
      </c>
      <c r="CR82" s="1" t="n">
        <f aca="false">MAX(CR81-BC82/BC$9*100,0)</f>
        <v>0</v>
      </c>
      <c r="CS82" s="1" t="n">
        <f aca="false">MAX(CS81-BD82/BD$9*100,0)</f>
        <v>0</v>
      </c>
      <c r="CT82" s="1" t="n">
        <f aca="false">CT$7*EXP(-$AM82/CT$8)</f>
        <v>7.72435183661388E-023</v>
      </c>
      <c r="CU82" s="1" t="n">
        <f aca="false">(CR82-CT82)^2</f>
        <v>5.96656112958002E-045</v>
      </c>
      <c r="CV82" s="1" t="n">
        <f aca="false">MAX(CV81-BF82/BF$9*100,0)</f>
        <v>8.88178419700125E-015</v>
      </c>
      <c r="CW82" s="1" t="n">
        <f aca="false">MAX(CW81-BG82/BG$9*100,0)</f>
        <v>5.32907051820075E-015</v>
      </c>
      <c r="CX82" s="1" t="n">
        <f aca="false">CX$7*EXP(-$AM82/CX$8)</f>
        <v>2.4433871336228E-011</v>
      </c>
      <c r="CY82" s="1" t="n">
        <f aca="false">(CV82-CX82)^2</f>
        <v>5.96580114616823E-022</v>
      </c>
      <c r="CZ82" s="1" t="n">
        <f aca="false">$AM82</f>
        <v>71</v>
      </c>
      <c r="DA82" s="1" t="n">
        <f aca="false">MAX(DA81-BI82/BI$9*100,0)</f>
        <v>0</v>
      </c>
      <c r="DB82" s="1" t="n">
        <f aca="false">MAX(DB81-BJ82/BJ$9*100,0)</f>
        <v>9.88098491916389E-015</v>
      </c>
      <c r="DC82" s="1" t="n">
        <f aca="false">DC$7*EXP(-$AM82/DC$8)</f>
        <v>4.97608406736263E-021</v>
      </c>
      <c r="DD82" s="1" t="n">
        <f aca="false">(DA82-DC82)^2</f>
        <v>2.47614126454602E-041</v>
      </c>
      <c r="DE82" s="1" t="n">
        <f aca="false">MAX(DE81-BL82/BL$9*100,0)</f>
        <v>0</v>
      </c>
      <c r="DF82" s="1" t="n">
        <f aca="false">MAX(DF81-BM82/BM$9*100,0)</f>
        <v>0</v>
      </c>
      <c r="DG82" s="1" t="n">
        <f aca="false">DG$7*EXP(-$AM82/DG$8)</f>
        <v>2.35645957108598E-006</v>
      </c>
      <c r="DH82" s="1" t="n">
        <f aca="false">(DE82-DG82)^2</f>
        <v>5.55290171016272E-012</v>
      </c>
      <c r="DI82" s="1" t="n">
        <f aca="false">$AM82</f>
        <v>71</v>
      </c>
      <c r="DJ82" s="1" t="n">
        <f aca="false">MAX(DJ81-BO82/BO$9*100,0)</f>
        <v>0</v>
      </c>
      <c r="DK82" s="1" t="n">
        <f aca="false">MAX(DK81-BP82/BP$9*100,0)</f>
        <v>9.99200722162641E-015</v>
      </c>
      <c r="DL82" s="1" t="n">
        <f aca="false">DL$7*EXP(-$AM82/DL$8)</f>
        <v>1.81538881226105E-017</v>
      </c>
      <c r="DM82" s="1" t="n">
        <f aca="false">(DJ82-DL82)^2</f>
        <v>3.29563653968259E-034</v>
      </c>
      <c r="DN82" s="1" t="n">
        <f aca="false">MAX(DN81-BR82/BR$9*100,0)</f>
        <v>0</v>
      </c>
      <c r="DO82" s="1" t="n">
        <f aca="false">MAX(DO81-BS82/BS$9*100,0)</f>
        <v>0</v>
      </c>
      <c r="DP82" s="1" t="n">
        <f aca="false">DP$7*EXP(-$AM82/DP$8)</f>
        <v>2.24521716240493E-007</v>
      </c>
      <c r="DQ82" s="1" t="n">
        <f aca="false">(DN82-DP82)^2</f>
        <v>5.04100010635765E-014</v>
      </c>
      <c r="DS82" s="1" t="n">
        <f aca="false">$AM82</f>
        <v>71</v>
      </c>
      <c r="DT82" s="1" t="n">
        <f aca="false">CA82</f>
        <v>0</v>
      </c>
      <c r="DU82" s="1" t="n">
        <f aca="false">DU$7*EXP(-DS82/DU$8)</f>
        <v>2.65229871063934E-030</v>
      </c>
      <c r="DV82" s="1" t="n">
        <f aca="false">(DT82-DU82)^2</f>
        <v>7.03468845045911E-060</v>
      </c>
      <c r="DX82" s="1" t="n">
        <f aca="false">$AM82</f>
        <v>71</v>
      </c>
      <c r="DY82" s="1" t="n">
        <f aca="false">CM82</f>
        <v>0</v>
      </c>
      <c r="DZ82" s="1" t="n">
        <f aca="false">DZ$7*EXP(-DX82/DZ$8)</f>
        <v>7.51060537333602E-016</v>
      </c>
      <c r="EA82" s="1" t="n">
        <f aca="false">(DY82-DZ82)^2</f>
        <v>5.64091930739839E-031</v>
      </c>
      <c r="EC82" s="1" t="n">
        <f aca="false">$AM82</f>
        <v>71</v>
      </c>
      <c r="ED82" s="1" t="n">
        <f aca="false">CV82</f>
        <v>8.88178419700125E-015</v>
      </c>
      <c r="EE82" s="1" t="n">
        <f aca="false">EE$7*EXP(-EC82/EE$8)</f>
        <v>4.86701766943913E-012</v>
      </c>
      <c r="EF82" s="1" t="n">
        <f aca="false">(ED82-EE82)^2</f>
        <v>2.36014842794773E-023</v>
      </c>
      <c r="EH82" s="1" t="n">
        <f aca="false">$AM82</f>
        <v>71</v>
      </c>
      <c r="EI82" s="1" t="n">
        <f aca="false">DE82</f>
        <v>0</v>
      </c>
      <c r="EJ82" s="1" t="n">
        <f aca="false">EJ$7*EXP(-EH82/EJ$8)</f>
        <v>2.34668173054206E-006</v>
      </c>
      <c r="EK82" s="1" t="n">
        <f aca="false">(EI82-EJ82)^2</f>
        <v>5.50691514445988E-012</v>
      </c>
      <c r="EM82" s="1" t="n">
        <f aca="false">AM82</f>
        <v>71</v>
      </c>
      <c r="EN82" s="1" t="n">
        <f aca="false">DN82</f>
        <v>0</v>
      </c>
      <c r="EO82" s="1" t="n">
        <f aca="false">EO$7*EXP(-EM82/EO$8)</f>
        <v>4.27820102178081E-007</v>
      </c>
      <c r="EP82" s="1" t="n">
        <f aca="false">(EN82-EO82)^2</f>
        <v>1.83030039827664E-013</v>
      </c>
      <c r="ER82" s="1" t="n">
        <f aca="false">$AM82</f>
        <v>71</v>
      </c>
      <c r="ES82" s="1" t="n">
        <f aca="false">BZ82</f>
        <v>0</v>
      </c>
      <c r="ET82" s="1" t="n">
        <f aca="false">ET$7*EXP(-ER82/ET$8)</f>
        <v>3.58283678194659E-035</v>
      </c>
      <c r="EU82" s="1" t="n">
        <f aca="false">(ES82-ET82)^2</f>
        <v>1.28367194060694E-069</v>
      </c>
      <c r="EW82" s="1" t="n">
        <f aca="false">$AM82</f>
        <v>71</v>
      </c>
      <c r="EX82" s="1" t="n">
        <f aca="false">CI82</f>
        <v>0</v>
      </c>
      <c r="EY82" s="1" t="n">
        <f aca="false">EY$7*EXP(-EW82/EY$8)</f>
        <v>3.1963296411637E-032</v>
      </c>
      <c r="EZ82" s="1" t="n">
        <f aca="false">(EX82-EY82)^2</f>
        <v>1.02165231749817E-063</v>
      </c>
      <c r="FB82" s="1" t="n">
        <f aca="false">$AM82</f>
        <v>71</v>
      </c>
      <c r="FC82" s="1" t="n">
        <f aca="false">CR82</f>
        <v>0</v>
      </c>
      <c r="FD82" s="1" t="n">
        <f aca="false">FD$7*EXP(-FB82/FD$8)</f>
        <v>7.65315923954061E-028</v>
      </c>
      <c r="FE82" s="1" t="n">
        <f aca="false">(FC82-FD82)^2</f>
        <v>5.85708463457658E-055</v>
      </c>
      <c r="FG82" s="1" t="n">
        <f aca="false">$AM82</f>
        <v>71</v>
      </c>
      <c r="FH82" s="1" t="n">
        <f aca="false">DA82</f>
        <v>0</v>
      </c>
      <c r="FI82" s="1" t="n">
        <f aca="false">FI$7*EXP(-FG82/FI$8)</f>
        <v>6.11107656669153E-024</v>
      </c>
      <c r="FJ82" s="1" t="n">
        <f aca="false">(FH82-FI82)^2</f>
        <v>3.73452568039663E-047</v>
      </c>
      <c r="FL82" s="1" t="n">
        <f aca="false">EM82</f>
        <v>71</v>
      </c>
      <c r="FM82" s="1" t="n">
        <f aca="false">DJ82</f>
        <v>0</v>
      </c>
      <c r="FN82" s="1" t="n">
        <f aca="false">FN$7*EXP(-FL82/FN$8)</f>
        <v>4.71892901667306E-019</v>
      </c>
      <c r="FO82" s="1" t="n">
        <f aca="false">(FM82-FN82)^2</f>
        <v>2.2268291064399E-037</v>
      </c>
      <c r="FQ82" s="1" t="n">
        <f aca="false">AM82</f>
        <v>71</v>
      </c>
      <c r="FR82" s="1" t="n">
        <f aca="false">AN82/AN$9*100</f>
        <v>0</v>
      </c>
      <c r="FS82" s="1" t="n">
        <f aca="false">AO82/AO$9*100</f>
        <v>0</v>
      </c>
      <c r="FT82" s="1" t="n">
        <f aca="false">AQ82/AQ$9*100</f>
        <v>0</v>
      </c>
      <c r="FU82" s="1" t="n">
        <f aca="false">AR82/AR$9*100</f>
        <v>0</v>
      </c>
      <c r="FV82" s="1" t="n">
        <f aca="false">AT82/AT$9*100</f>
        <v>0</v>
      </c>
      <c r="FW82" s="1" t="n">
        <f aca="false">AU82/AU$9*100</f>
        <v>0</v>
      </c>
      <c r="FX82" s="1" t="n">
        <f aca="false">AW82/AW$9*100</f>
        <v>0</v>
      </c>
      <c r="FY82" s="1" t="n">
        <f aca="false">AX82/AX$9*100</f>
        <v>0</v>
      </c>
      <c r="FZ82" s="1" t="n">
        <f aca="false">AZ82/AZ$9*100</f>
        <v>0</v>
      </c>
      <c r="GA82" s="1" t="n">
        <f aca="false">BA82/BA$9*100</f>
        <v>0</v>
      </c>
      <c r="GB82" s="1" t="n">
        <f aca="false">BC82/BC$9*100</f>
        <v>0</v>
      </c>
      <c r="GC82" s="1" t="n">
        <f aca="false">BD82/BD$9*100</f>
        <v>0</v>
      </c>
      <c r="GD82" s="1" t="n">
        <f aca="false">BF82/BF$9*100</f>
        <v>0</v>
      </c>
      <c r="GE82" s="1" t="n">
        <f aca="false">BG82/BG$9*100</f>
        <v>0</v>
      </c>
      <c r="GF82" s="1" t="n">
        <f aca="false">BI82/BI$9*100</f>
        <v>0</v>
      </c>
      <c r="GG82" s="1" t="n">
        <f aca="false">BJ82/BJ$9*100</f>
        <v>0</v>
      </c>
      <c r="GH82" s="1" t="n">
        <f aca="false">BL82/BL$9*100</f>
        <v>0</v>
      </c>
      <c r="GI82" s="1" t="n">
        <f aca="false">BM82/BM$9*100</f>
        <v>0</v>
      </c>
      <c r="GJ82" s="1" t="n">
        <f aca="false">BO82/BO$9*100</f>
        <v>0</v>
      </c>
      <c r="GK82" s="1" t="n">
        <f aca="false">BP82/BP$9*100</f>
        <v>0</v>
      </c>
      <c r="GL82" s="1" t="n">
        <f aca="false">BR82/BR$9*100</f>
        <v>0</v>
      </c>
      <c r="GM82" s="1" t="n">
        <f aca="false">BS82/BS$9*100</f>
        <v>0</v>
      </c>
      <c r="GO82" s="1" t="n">
        <f aca="false">$AM82</f>
        <v>71</v>
      </c>
      <c r="GP82" s="1" t="n">
        <f aca="false">FT82</f>
        <v>0</v>
      </c>
      <c r="GQ82" s="1" t="n">
        <f aca="false">GQ$6*(1+GQ$5*(-1)^$FQ82)*EXP(-$FQ82/GQ$4)</f>
        <v>3.06739942674353E-022</v>
      </c>
      <c r="GR82" s="1" t="n">
        <f aca="false">(GP82-GQ82)^2</f>
        <v>9.40893924318654E-044</v>
      </c>
      <c r="GS82" s="1" t="n">
        <f aca="false">EXP($FQ82/$JG$4)*GP82</f>
        <v>0</v>
      </c>
      <c r="GT82" s="1" t="n">
        <f aca="false">EXP($FQ82/$JG$4)*(-1)^$FQ82*GP82</f>
        <v>-0</v>
      </c>
      <c r="GU82" s="1" t="n">
        <f aca="false">(-1)^GO82*GP82</f>
        <v>-0</v>
      </c>
      <c r="GW82" s="1" t="n">
        <f aca="false">$AM82</f>
        <v>71</v>
      </c>
      <c r="GX82" s="1" t="n">
        <f aca="false">FX82</f>
        <v>0</v>
      </c>
      <c r="GY82" s="1" t="n">
        <f aca="false">GY$6*(1+GY$5*(-1)^$FQ82)*EXP(-$FQ82/GY$4)</f>
        <v>3.06739942674353E-022</v>
      </c>
      <c r="GZ82" s="1" t="n">
        <f aca="false">(GX82-GY82)^2</f>
        <v>9.40893924318654E-044</v>
      </c>
      <c r="HA82" s="1" t="n">
        <f aca="false">EXP($FQ82/$JG$4)*GX82</f>
        <v>0</v>
      </c>
      <c r="HB82" s="1" t="n">
        <f aca="false">EXP($FQ82/$JG$4)*(-1)^$FQ82*GX82</f>
        <v>-0</v>
      </c>
      <c r="HC82" s="1" t="n">
        <f aca="false">(-1)^GW82*GX82</f>
        <v>-0</v>
      </c>
      <c r="HE82" s="1" t="n">
        <f aca="false">$AM82</f>
        <v>71</v>
      </c>
      <c r="HF82" s="1" t="n">
        <f aca="false">GB82</f>
        <v>0</v>
      </c>
      <c r="HG82" s="1" t="n">
        <f aca="false">HG$6*(1+HG$5*(-1)^$FQ82)*EXP(-$FQ82/HG$4)</f>
        <v>3.06739942674353E-022</v>
      </c>
      <c r="HH82" s="1" t="n">
        <f aca="false">(HF82-HG82)^2</f>
        <v>9.40893924318654E-044</v>
      </c>
      <c r="HI82" s="1" t="n">
        <f aca="false">EXP($FQ82/$JG$4)*HF82</f>
        <v>0</v>
      </c>
      <c r="HJ82" s="1" t="n">
        <f aca="false">EXP($FQ82/$JG$4)*(-1)^$FQ82*HF82</f>
        <v>-0</v>
      </c>
      <c r="HK82" s="1" t="n">
        <f aca="false">(-1)^HE82*HF82</f>
        <v>-0</v>
      </c>
      <c r="HM82" s="1" t="n">
        <f aca="false">$AM82</f>
        <v>71</v>
      </c>
      <c r="HN82" s="1" t="n">
        <f aca="false">GF82</f>
        <v>0</v>
      </c>
      <c r="HO82" s="1" t="n">
        <f aca="false">HO$6*(1+HO$5*(-1)^$FQ82)*EXP(-$FQ82/HO$4)</f>
        <v>1.24591904269115E-017</v>
      </c>
      <c r="HP82" s="1" t="n">
        <f aca="false">(HN82-HO82)^2</f>
        <v>1.55231426094043E-034</v>
      </c>
      <c r="HQ82" s="1" t="n">
        <f aca="false">EXP($FQ82/$JG$4)*HN82</f>
        <v>0</v>
      </c>
      <c r="HR82" s="1" t="n">
        <f aca="false">EXP($FQ82/$JG$4)*(-1)^$FQ82*HN82</f>
        <v>-0</v>
      </c>
      <c r="HS82" s="1" t="n">
        <f aca="false">(-1)^HM82*HN82</f>
        <v>-0</v>
      </c>
      <c r="HU82" s="1" t="n">
        <f aca="false">$AM82</f>
        <v>71</v>
      </c>
      <c r="HV82" s="1" t="n">
        <f aca="false">GJ82</f>
        <v>0</v>
      </c>
      <c r="HW82" s="1" t="n">
        <f aca="false">HW$6*(1+HW$5*(-1)^$FQ82)*EXP(-$FQ82/HW$4)</f>
        <v>7.09195026467562E-013</v>
      </c>
      <c r="HX82" s="1" t="n">
        <f aca="false">(HV82-HW82)^2</f>
        <v>5.02957585566326E-025</v>
      </c>
      <c r="HY82" s="1" t="n">
        <f aca="false">EXP($FQ82/$JG$4)*HV82</f>
        <v>0</v>
      </c>
      <c r="HZ82" s="1" t="n">
        <f aca="false">EXP($FQ82/$JG$4)*(-1)^$FQ82*HV82</f>
        <v>-0</v>
      </c>
      <c r="IA82" s="1" t="n">
        <f aca="false">(-1)^HU82*HV82</f>
        <v>-0</v>
      </c>
      <c r="ID82" s="1" t="n">
        <f aca="false">$AM82</f>
        <v>71</v>
      </c>
      <c r="IE82" s="1" t="n">
        <f aca="false">FZ82</f>
        <v>0</v>
      </c>
      <c r="IF82" s="1" t="n">
        <f aca="false">IF$6*(1+IF$5*(-1)^$FQ82)*EXP(-$FQ82/IF$4)</f>
        <v>1.49642518944106E-009</v>
      </c>
      <c r="IG82" s="1" t="n">
        <f aca="false">(IE82-IF82)^2</f>
        <v>2.23928834759371E-018</v>
      </c>
      <c r="IH82" s="1" t="n">
        <f aca="false">EXP($FQ82/$JG$4)*IE82</f>
        <v>0</v>
      </c>
      <c r="II82" s="1" t="n">
        <f aca="false">EXP($FQ82/$JG$4)*(-1)^$FQ82*IE82</f>
        <v>-0</v>
      </c>
      <c r="IJ82" s="1" t="n">
        <f aca="false">(-1)^ID82*IE82</f>
        <v>-0</v>
      </c>
      <c r="IK82" s="1" t="n">
        <v>0</v>
      </c>
      <c r="IM82" s="1" t="n">
        <f aca="false">$AM82</f>
        <v>71</v>
      </c>
      <c r="IN82" s="1" t="n">
        <f aca="false">GD82</f>
        <v>0</v>
      </c>
      <c r="IO82" s="1" t="n">
        <f aca="false">IO$6*(1+IO$5*(-1)^$FQ82)*EXP(-$FQ82/IO$4)</f>
        <v>3.40594780974282E-008</v>
      </c>
      <c r="IP82" s="1" t="n">
        <f aca="false">(IN82-IO82)^2</f>
        <v>1.16004804826919E-015</v>
      </c>
      <c r="IQ82" s="1" t="n">
        <f aca="false">EXP($FQ82/$JG$4)*IN82</f>
        <v>0</v>
      </c>
      <c r="IR82" s="1" t="n">
        <f aca="false">EXP($FQ82/$JG$4)*(-1)^$FQ82*IN82</f>
        <v>-0</v>
      </c>
      <c r="IS82" s="1" t="n">
        <f aca="false">(-1)^IM82*IN82</f>
        <v>-0</v>
      </c>
      <c r="IT82" s="1" t="n">
        <v>0</v>
      </c>
      <c r="IV82" s="1" t="n">
        <f aca="false">$AM82</f>
        <v>71</v>
      </c>
      <c r="IW82" s="1" t="n">
        <f aca="false">GH82</f>
        <v>0</v>
      </c>
      <c r="IX82" s="1" t="n">
        <f aca="false">IX$6*(1+IX$5*(-1)^$FQ82)*EXP(-$FQ82/IX$4)</f>
        <v>1.0831851701216E-005</v>
      </c>
      <c r="IY82" s="1" t="n">
        <f aca="false">(IW82-IX82)^2</f>
        <v>1.17329011277136E-010</v>
      </c>
      <c r="IZ82" s="1" t="n">
        <f aca="false">EXP($FQ82/$JG$4)*IW82</f>
        <v>0</v>
      </c>
      <c r="JA82" s="1" t="n">
        <f aca="false">EXP($FQ82/$JG$4)*(-1)^$FQ82*IW82</f>
        <v>-0</v>
      </c>
      <c r="JB82" s="1" t="n">
        <f aca="false">(-1)^IV82*IW82</f>
        <v>-0</v>
      </c>
      <c r="JE82" s="1" t="n">
        <f aca="false">$AM82</f>
        <v>71</v>
      </c>
      <c r="JF82" s="1" t="n">
        <f aca="false">GL82</f>
        <v>0</v>
      </c>
      <c r="JG82" s="1" t="n">
        <f aca="false">JG$6*(1+JG$5*(-1)^$FQ82)*EXP(-$FQ82/JG$4)</f>
        <v>4.76334363627536E-007</v>
      </c>
      <c r="JH82" s="1" t="n">
        <f aca="false">(JF82-JG82)^2</f>
        <v>2.2689442597245E-013</v>
      </c>
      <c r="JI82" s="1" t="n">
        <f aca="false">EXP($FQ82/$JG$4)*JF82</f>
        <v>0</v>
      </c>
      <c r="JJ82" s="1" t="n">
        <f aca="false">EXP($FQ82/$JG$4)*(-1)^$FQ82*JF82</f>
        <v>-0</v>
      </c>
      <c r="JK82" s="1" t="n">
        <f aca="false">(-1)^JE82*JF82</f>
        <v>-0</v>
      </c>
      <c r="JO82" s="1" t="n">
        <f aca="false">$AM82</f>
        <v>71</v>
      </c>
      <c r="JP82" s="1" t="n">
        <f aca="false">GM82</f>
        <v>0</v>
      </c>
      <c r="JQ82" s="1" t="n">
        <f aca="false">JQ$6*(1+JQ$5*(-1)^$FQ82)*EXP(-$FQ82/JQ$4)</f>
        <v>0.00935200777046772</v>
      </c>
      <c r="JR82" s="1" t="n">
        <f aca="false">(JP82-JQ82)^2</f>
        <v>8.74600493388886E-005</v>
      </c>
      <c r="JS82" s="1" t="n">
        <f aca="false">EXP($FQ82/$JG$4)*JP82</f>
        <v>0</v>
      </c>
      <c r="JT82" s="1" t="n">
        <f aca="false">EXP($FQ82/$JG$4)*(-1)^$FQ82*JP82</f>
        <v>-0</v>
      </c>
      <c r="JU82" s="1" t="n">
        <f aca="false">(-1)^JO82*JP82</f>
        <v>-0</v>
      </c>
    </row>
    <row r="83" customFormat="false" ht="16" hidden="false" customHeight="false" outlineLevel="0" collapsed="false">
      <c r="A83" s="1" t="n">
        <v>1</v>
      </c>
      <c r="B83" s="1" t="n">
        <v>1</v>
      </c>
      <c r="C83" s="1" t="n">
        <f aca="false">B83-A83</f>
        <v>0</v>
      </c>
      <c r="D83" s="1" t="n">
        <v>2</v>
      </c>
      <c r="E83" s="1" t="n">
        <v>2</v>
      </c>
      <c r="F83" s="1" t="n">
        <f aca="false">E83-D83</f>
        <v>0</v>
      </c>
      <c r="G83" s="1" t="n">
        <v>2</v>
      </c>
      <c r="H83" s="1" t="n">
        <v>2</v>
      </c>
      <c r="I83" s="1" t="n">
        <f aca="false">H83-G83</f>
        <v>0</v>
      </c>
      <c r="J83" s="1" t="n">
        <v>1</v>
      </c>
      <c r="K83" s="1" t="n">
        <v>2</v>
      </c>
      <c r="L83" s="1" t="n">
        <f aca="false">K83-J83</f>
        <v>1</v>
      </c>
      <c r="M83" s="1" t="n">
        <v>2</v>
      </c>
      <c r="N83" s="1" t="n">
        <v>4</v>
      </c>
      <c r="O83" s="1" t="n">
        <f aca="false">N83-M83</f>
        <v>2</v>
      </c>
      <c r="P83" s="1" t="n">
        <v>2</v>
      </c>
      <c r="Q83" s="1" t="n">
        <v>4</v>
      </c>
      <c r="R83" s="1" t="n">
        <f aca="false">Q83-P83</f>
        <v>2</v>
      </c>
      <c r="S83" s="1" t="n">
        <v>9</v>
      </c>
      <c r="T83" s="1" t="n">
        <v>15</v>
      </c>
      <c r="U83" s="1" t="n">
        <f aca="false">T83-S83</f>
        <v>6</v>
      </c>
      <c r="V83" s="1" t="n">
        <v>4</v>
      </c>
      <c r="W83" s="1" t="n">
        <v>6</v>
      </c>
      <c r="X83" s="1" t="n">
        <f aca="false">W83-V83</f>
        <v>2</v>
      </c>
      <c r="Y83" s="1" t="n">
        <v>5</v>
      </c>
      <c r="Z83" s="1" t="n">
        <v>15</v>
      </c>
      <c r="AA83" s="1" t="n">
        <f aca="false">Z83-Y83</f>
        <v>10</v>
      </c>
      <c r="AB83" s="1" t="n">
        <v>2</v>
      </c>
      <c r="AC83" s="1" t="n">
        <v>4</v>
      </c>
      <c r="AD83" s="1" t="n">
        <f aca="false">AC83-AB83</f>
        <v>2</v>
      </c>
      <c r="AE83" s="1" t="n">
        <v>2</v>
      </c>
      <c r="AF83" s="1" t="n">
        <v>8</v>
      </c>
      <c r="AG83" s="1" t="n">
        <f aca="false">AF83-AE83</f>
        <v>6</v>
      </c>
      <c r="AM83" s="1" t="n">
        <v>72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W83" s="1" t="n">
        <f aca="false">$AM83</f>
        <v>72</v>
      </c>
      <c r="BX83" s="1" t="n">
        <f aca="false">MAX(BX82-AN83/AN$9*100,0)</f>
        <v>0</v>
      </c>
      <c r="BY83" s="1" t="n">
        <f aca="false">MAX(BY82-AO83/AO$9*100,0)</f>
        <v>0</v>
      </c>
      <c r="BZ83" s="1" t="n">
        <f aca="false">MAX(BZ82-AQ83/AQ$9*100,0)</f>
        <v>0</v>
      </c>
      <c r="CA83" s="1" t="n">
        <f aca="false">MAX(CA82-AR83/AR$9*100,0)</f>
        <v>0</v>
      </c>
      <c r="CB83" s="1" t="n">
        <f aca="false">CB$7*EXP(-$AM83/CB$8)</f>
        <v>5.13797674315974E-039</v>
      </c>
      <c r="CC83" s="1" t="n">
        <f aca="false">(BZ83-CB83)^2</f>
        <v>2.63988050132504E-077</v>
      </c>
      <c r="CD83" s="1" t="n">
        <f aca="false">MAX(CD82-AT83/AT$9*100,0)</f>
        <v>0</v>
      </c>
      <c r="CE83" s="1" t="n">
        <f aca="false">MAX(CE82-AU83/AU$9*100,0)</f>
        <v>5.32907051820075E-015</v>
      </c>
      <c r="CF83" s="1" t="n">
        <f aca="false">CF$7*EXP(-$AM83/CF$8)</f>
        <v>5.48121767316865E-038</v>
      </c>
      <c r="CG83" s="1" t="n">
        <f aca="false">(CD83-CF83)^2</f>
        <v>3.00437471806564E-075</v>
      </c>
      <c r="CH83" s="1" t="n">
        <f aca="false">$AM83</f>
        <v>72</v>
      </c>
      <c r="CI83" s="1" t="n">
        <f aca="false">MAX(CI82-AW83/AW$9*100,0)</f>
        <v>0</v>
      </c>
      <c r="CJ83" s="1" t="n">
        <f aca="false">MAX(CJ82-AX83/AX$9*100,0)</f>
        <v>0</v>
      </c>
      <c r="CK83" s="1" t="n">
        <f aca="false">CK$7*EXP(-$AM83/CK$8)</f>
        <v>3.34661483083664E-025</v>
      </c>
      <c r="CL83" s="1" t="n">
        <f aca="false">(CI83-CK83)^2</f>
        <v>1.11998308259758E-049</v>
      </c>
      <c r="CM83" s="1" t="n">
        <f aca="false">MAX(CM82-AZ83/AZ$9*100,0)</f>
        <v>0</v>
      </c>
      <c r="CN83" s="1" t="n">
        <f aca="false">MAX(CN82-BA83/BA$9*100,0)</f>
        <v>5.32907051820075E-015</v>
      </c>
      <c r="CO83" s="1" t="n">
        <f aca="false">CO$7*EXP(-$AM83/CO$8)</f>
        <v>1.23191605025118E-013</v>
      </c>
      <c r="CP83" s="1" t="n">
        <f aca="false">(CM83-CO83)^2</f>
        <v>1.51761715486647E-026</v>
      </c>
      <c r="CQ83" s="1" t="n">
        <f aca="false">$AM83</f>
        <v>72</v>
      </c>
      <c r="CR83" s="1" t="n">
        <f aca="false">MAX(CR82-BC83/BC$9*100,0)</f>
        <v>0</v>
      </c>
      <c r="CS83" s="1" t="n">
        <f aca="false">MAX(CS82-BD83/BD$9*100,0)</f>
        <v>0</v>
      </c>
      <c r="CT83" s="1" t="n">
        <f aca="false">CT$7*EXP(-$AM83/CT$8)</f>
        <v>3.51477791016814E-023</v>
      </c>
      <c r="CU83" s="1" t="n">
        <f aca="false">(CR83-CT83)^2</f>
        <v>1.23536637578059E-045</v>
      </c>
      <c r="CV83" s="1" t="n">
        <f aca="false">MAX(CV82-BF83/BF$9*100,0)</f>
        <v>8.88178419700125E-015</v>
      </c>
      <c r="CW83" s="1" t="n">
        <f aca="false">MAX(CW82-BG83/BG$9*100,0)</f>
        <v>5.32907051820075E-015</v>
      </c>
      <c r="CX83" s="1" t="n">
        <f aca="false">CX$7*EXP(-$AM83/CX$8)</f>
        <v>1.6163363983166E-011</v>
      </c>
      <c r="CY83" s="1" t="n">
        <f aca="false">(CV83-CX83)^2</f>
        <v>2.60967295116806E-022</v>
      </c>
      <c r="CZ83" s="1" t="n">
        <f aca="false">$AM83</f>
        <v>72</v>
      </c>
      <c r="DA83" s="1" t="n">
        <f aca="false">MAX(DA82-BI83/BI$9*100,0)</f>
        <v>0</v>
      </c>
      <c r="DB83" s="1" t="n">
        <f aca="false">MAX(DB82-BJ83/BJ$9*100,0)</f>
        <v>9.88098491916389E-015</v>
      </c>
      <c r="DC83" s="1" t="n">
        <f aca="false">DC$7*EXP(-$AM83/DC$8)</f>
        <v>2.39819469182556E-021</v>
      </c>
      <c r="DD83" s="1" t="n">
        <f aca="false">(DA83-DC83)^2</f>
        <v>5.75133777990029E-042</v>
      </c>
      <c r="DE83" s="1" t="n">
        <f aca="false">MAX(DE82-BL83/BL$9*100,0)</f>
        <v>0</v>
      </c>
      <c r="DF83" s="1" t="n">
        <f aca="false">MAX(DF82-BM83/BM$9*100,0)</f>
        <v>0</v>
      </c>
      <c r="DG83" s="1" t="n">
        <f aca="false">DG$7*EXP(-$AM83/DG$8)</f>
        <v>1.83521255923787E-006</v>
      </c>
      <c r="DH83" s="1" t="n">
        <f aca="false">(DE83-DG83)^2</f>
        <v>3.36800513758441E-012</v>
      </c>
      <c r="DI83" s="1" t="n">
        <f aca="false">$AM83</f>
        <v>72</v>
      </c>
      <c r="DJ83" s="1" t="n">
        <f aca="false">MAX(DJ82-BO83/BO$9*100,0)</f>
        <v>0</v>
      </c>
      <c r="DK83" s="1" t="n">
        <f aca="false">MAX(DK82-BP83/BP$9*100,0)</f>
        <v>9.99200722162641E-015</v>
      </c>
      <c r="DL83" s="1" t="n">
        <f aca="false">DL$7*EXP(-$AM83/DL$8)</f>
        <v>9.82949762833124E-018</v>
      </c>
      <c r="DM83" s="1" t="n">
        <f aca="false">(DJ83-DL83)^2</f>
        <v>9.66190236253695E-035</v>
      </c>
      <c r="DN83" s="1" t="n">
        <f aca="false">MAX(DN82-BR83/BR$9*100,0)</f>
        <v>0</v>
      </c>
      <c r="DO83" s="1" t="n">
        <f aca="false">MAX(DO82-BS83/BS$9*100,0)</f>
        <v>0</v>
      </c>
      <c r="DP83" s="1" t="n">
        <f aca="false">DP$7*EXP(-$AM83/DP$8)</f>
        <v>1.69133156861458E-007</v>
      </c>
      <c r="DQ83" s="1" t="n">
        <f aca="false">(DN83-DP83)^2</f>
        <v>2.86060247499226E-014</v>
      </c>
      <c r="DS83" s="1" t="n">
        <f aca="false">$AM83</f>
        <v>72</v>
      </c>
      <c r="DT83" s="1" t="n">
        <f aca="false">CA83</f>
        <v>0</v>
      </c>
      <c r="DU83" s="1" t="n">
        <f aca="false">DU$7*EXP(-DS83/DU$8)</f>
        <v>9.46010951760698E-031</v>
      </c>
      <c r="DV83" s="1" t="n">
        <f aca="false">(DT83-DU83)^2</f>
        <v>8.94936720851182E-061</v>
      </c>
      <c r="DX83" s="1" t="n">
        <f aca="false">$AM83</f>
        <v>72</v>
      </c>
      <c r="DY83" s="1" t="n">
        <f aca="false">CM83</f>
        <v>0</v>
      </c>
      <c r="DZ83" s="1" t="n">
        <f aca="false">DZ$7*EXP(-DX83/DZ$8)</f>
        <v>4.28242020692665E-016</v>
      </c>
      <c r="EA83" s="1" t="n">
        <f aca="false">(DY83-DZ83)^2</f>
        <v>1.83391228286937E-031</v>
      </c>
      <c r="EC83" s="1" t="n">
        <f aca="false">$AM83</f>
        <v>72</v>
      </c>
      <c r="ED83" s="1" t="n">
        <f aca="false">CV83</f>
        <v>8.88178419700125E-015</v>
      </c>
      <c r="EE83" s="1" t="n">
        <f aca="false">EE$7*EXP(-EC83/EE$8)</f>
        <v>3.14495675165031E-012</v>
      </c>
      <c r="EF83" s="1" t="n">
        <f aca="false">(ED83-EE83)^2</f>
        <v>9.83496620148727E-024</v>
      </c>
      <c r="EH83" s="1" t="n">
        <f aca="false">$AM83</f>
        <v>72</v>
      </c>
      <c r="EI83" s="1" t="n">
        <f aca="false">DE83</f>
        <v>0</v>
      </c>
      <c r="EJ83" s="1" t="n">
        <f aca="false">EJ$7*EXP(-EH83/EJ$8)</f>
        <v>1.82759756936552E-006</v>
      </c>
      <c r="EK83" s="1" t="n">
        <f aca="false">(EI83-EJ83)^2</f>
        <v>3.34011287555076E-012</v>
      </c>
      <c r="EM83" s="1" t="n">
        <f aca="false">AM83</f>
        <v>72</v>
      </c>
      <c r="EN83" s="1" t="n">
        <f aca="false">DN83</f>
        <v>0</v>
      </c>
      <c r="EO83" s="1" t="n">
        <f aca="false">EO$7*EXP(-EM83/EO$8)</f>
        <v>3.25294258176756E-007</v>
      </c>
      <c r="EP83" s="1" t="n">
        <f aca="false">(EN83-EO83)^2</f>
        <v>1.05816354402766E-013</v>
      </c>
      <c r="ER83" s="1" t="n">
        <f aca="false">$AM83</f>
        <v>72</v>
      </c>
      <c r="ES83" s="1" t="n">
        <f aca="false">BZ83</f>
        <v>0</v>
      </c>
      <c r="ET83" s="1" t="n">
        <f aca="false">ET$7*EXP(-ER83/ET$8)</f>
        <v>1.08945622253036E-035</v>
      </c>
      <c r="EU83" s="1" t="n">
        <f aca="false">(ES83-ET83)^2</f>
        <v>1.18691486081012E-070</v>
      </c>
      <c r="EW83" s="1" t="n">
        <f aca="false">$AM83</f>
        <v>72</v>
      </c>
      <c r="EX83" s="1" t="n">
        <f aca="false">CI83</f>
        <v>0</v>
      </c>
      <c r="EY83" s="1" t="n">
        <f aca="false">EY$7*EXP(-EW83/EY$8)</f>
        <v>1.06513554724918E-032</v>
      </c>
      <c r="EZ83" s="1" t="n">
        <f aca="false">(EX83-EY83)^2</f>
        <v>1.13451373401381E-064</v>
      </c>
      <c r="FB83" s="1" t="n">
        <f aca="false">$AM83</f>
        <v>72</v>
      </c>
      <c r="FC83" s="1" t="n">
        <f aca="false">CR83</f>
        <v>0</v>
      </c>
      <c r="FD83" s="1" t="n">
        <f aca="false">FD$7*EXP(-FB83/FD$8)</f>
        <v>2.95275189917095E-028</v>
      </c>
      <c r="FE83" s="1" t="n">
        <f aca="false">(FC83-FD83)^2</f>
        <v>8.71874377805765E-056</v>
      </c>
      <c r="FG83" s="1" t="n">
        <f aca="false">$AM83</f>
        <v>72</v>
      </c>
      <c r="FH83" s="1" t="n">
        <f aca="false">DA83</f>
        <v>0</v>
      </c>
      <c r="FI83" s="1" t="n">
        <f aca="false">FI$7*EXP(-FG83/FI$8)</f>
        <v>2.67421712554315E-024</v>
      </c>
      <c r="FJ83" s="1" t="n">
        <f aca="false">(FH83-FI83)^2</f>
        <v>7.15143723454827E-048</v>
      </c>
      <c r="FL83" s="1" t="n">
        <f aca="false">EM83</f>
        <v>72</v>
      </c>
      <c r="FM83" s="1" t="n">
        <f aca="false">DJ83</f>
        <v>0</v>
      </c>
      <c r="FN83" s="1" t="n">
        <f aca="false">FN$7*EXP(-FL83/FN$8)</f>
        <v>2.42277894065959E-019</v>
      </c>
      <c r="FO83" s="1" t="n">
        <f aca="false">(FM83-FN83)^2</f>
        <v>5.86985779530361E-038</v>
      </c>
      <c r="FQ83" s="1" t="n">
        <f aca="false">AM83</f>
        <v>72</v>
      </c>
      <c r="FR83" s="1" t="n">
        <f aca="false">AN83/AN$9*100</f>
        <v>0</v>
      </c>
      <c r="FS83" s="1" t="n">
        <f aca="false">AO83/AO$9*100</f>
        <v>0</v>
      </c>
      <c r="FT83" s="1" t="n">
        <f aca="false">AQ83/AQ$9*100</f>
        <v>0</v>
      </c>
      <c r="FU83" s="1" t="n">
        <f aca="false">AR83/AR$9*100</f>
        <v>0</v>
      </c>
      <c r="FV83" s="1" t="n">
        <f aca="false">AT83/AT$9*100</f>
        <v>0</v>
      </c>
      <c r="FW83" s="1" t="n">
        <f aca="false">AU83/AU$9*100</f>
        <v>0</v>
      </c>
      <c r="FX83" s="1" t="n">
        <f aca="false">AW83/AW$9*100</f>
        <v>0</v>
      </c>
      <c r="FY83" s="1" t="n">
        <f aca="false">AX83/AX$9*100</f>
        <v>0</v>
      </c>
      <c r="FZ83" s="1" t="n">
        <f aca="false">AZ83/AZ$9*100</f>
        <v>0</v>
      </c>
      <c r="GA83" s="1" t="n">
        <f aca="false">BA83/BA$9*100</f>
        <v>0</v>
      </c>
      <c r="GB83" s="1" t="n">
        <f aca="false">BC83/BC$9*100</f>
        <v>0</v>
      </c>
      <c r="GC83" s="1" t="n">
        <f aca="false">BD83/BD$9*100</f>
        <v>0</v>
      </c>
      <c r="GD83" s="1" t="n">
        <f aca="false">BF83/BF$9*100</f>
        <v>0</v>
      </c>
      <c r="GE83" s="1" t="n">
        <f aca="false">BG83/BG$9*100</f>
        <v>0</v>
      </c>
      <c r="GF83" s="1" t="n">
        <f aca="false">BI83/BI$9*100</f>
        <v>0</v>
      </c>
      <c r="GG83" s="1" t="n">
        <f aca="false">BJ83/BJ$9*100</f>
        <v>0</v>
      </c>
      <c r="GH83" s="1" t="n">
        <f aca="false">BL83/BL$9*100</f>
        <v>0</v>
      </c>
      <c r="GI83" s="1" t="n">
        <f aca="false">BM83/BM$9*100</f>
        <v>0</v>
      </c>
      <c r="GJ83" s="1" t="n">
        <f aca="false">BO83/BO$9*100</f>
        <v>0</v>
      </c>
      <c r="GK83" s="1" t="n">
        <f aca="false">BP83/BP$9*100</f>
        <v>0</v>
      </c>
      <c r="GL83" s="1" t="n">
        <f aca="false">BR83/BR$9*100</f>
        <v>0</v>
      </c>
      <c r="GM83" s="1" t="n">
        <f aca="false">BS83/BS$9*100</f>
        <v>0</v>
      </c>
      <c r="GO83" s="1" t="n">
        <f aca="false">$AM83</f>
        <v>72</v>
      </c>
      <c r="GP83" s="1" t="n">
        <f aca="false">FT83</f>
        <v>0</v>
      </c>
      <c r="GQ83" s="1" t="n">
        <f aca="false">GQ$6*(1+GQ$5*(-1)^$FQ83)*EXP(-$FQ83/GQ$4)</f>
        <v>4.20122028019356E-022</v>
      </c>
      <c r="GR83" s="1" t="n">
        <f aca="false">(GP83-GQ83)^2</f>
        <v>1.76502518427097E-043</v>
      </c>
      <c r="GS83" s="1" t="n">
        <f aca="false">EXP($FQ83/$JG$4)*GP83</f>
        <v>0</v>
      </c>
      <c r="GT83" s="1" t="n">
        <f aca="false">EXP($FQ83/$JG$4)*(-1)^$FQ83*GP83</f>
        <v>0</v>
      </c>
      <c r="GU83" s="1" t="n">
        <f aca="false">(-1)^GO83*GP83</f>
        <v>0</v>
      </c>
      <c r="GW83" s="1" t="n">
        <f aca="false">$AM83</f>
        <v>72</v>
      </c>
      <c r="GX83" s="1" t="n">
        <f aca="false">FX83</f>
        <v>0</v>
      </c>
      <c r="GY83" s="1" t="n">
        <f aca="false">GY$6*(1+GY$5*(-1)^$FQ83)*EXP(-$FQ83/GY$4)</f>
        <v>4.20122028019356E-022</v>
      </c>
      <c r="GZ83" s="1" t="n">
        <f aca="false">(GX83-GY83)^2</f>
        <v>1.76502518427097E-043</v>
      </c>
      <c r="HA83" s="1" t="n">
        <f aca="false">EXP($FQ83/$JG$4)*GX83</f>
        <v>0</v>
      </c>
      <c r="HB83" s="1" t="n">
        <f aca="false">EXP($FQ83/$JG$4)*(-1)^$FQ83*GX83</f>
        <v>0</v>
      </c>
      <c r="HC83" s="1" t="n">
        <f aca="false">(-1)^GW83*GX83</f>
        <v>0</v>
      </c>
      <c r="HE83" s="1" t="n">
        <f aca="false">$AM83</f>
        <v>72</v>
      </c>
      <c r="HF83" s="1" t="n">
        <f aca="false">GB83</f>
        <v>0</v>
      </c>
      <c r="HG83" s="1" t="n">
        <f aca="false">HG$6*(1+HG$5*(-1)^$FQ83)*EXP(-$FQ83/HG$4)</f>
        <v>4.20122028019356E-022</v>
      </c>
      <c r="HH83" s="1" t="n">
        <f aca="false">(HF83-HG83)^2</f>
        <v>1.76502518427097E-043</v>
      </c>
      <c r="HI83" s="1" t="n">
        <f aca="false">EXP($FQ83/$JG$4)*HF83</f>
        <v>0</v>
      </c>
      <c r="HJ83" s="1" t="n">
        <f aca="false">EXP($FQ83/$JG$4)*(-1)^$FQ83*HF83</f>
        <v>0</v>
      </c>
      <c r="HK83" s="1" t="n">
        <f aca="false">(-1)^HE83*HF83</f>
        <v>0</v>
      </c>
      <c r="HM83" s="1" t="n">
        <f aca="false">$AM83</f>
        <v>72</v>
      </c>
      <c r="HN83" s="1" t="n">
        <f aca="false">GF83</f>
        <v>0</v>
      </c>
      <c r="HO83" s="1" t="n">
        <f aca="false">HO$6*(1+HO$5*(-1)^$FQ83)*EXP(-$FQ83/HO$4)</f>
        <v>3.11870714284387E-017</v>
      </c>
      <c r="HP83" s="1" t="n">
        <f aca="false">(HN83-HO83)^2</f>
        <v>9.72633424282538E-034</v>
      </c>
      <c r="HQ83" s="1" t="n">
        <f aca="false">EXP($FQ83/$JG$4)*HN83</f>
        <v>0</v>
      </c>
      <c r="HR83" s="1" t="n">
        <f aca="false">EXP($FQ83/$JG$4)*(-1)^$FQ83*HN83</f>
        <v>0</v>
      </c>
      <c r="HS83" s="1" t="n">
        <f aca="false">(-1)^HM83*HN83</f>
        <v>0</v>
      </c>
      <c r="HU83" s="1" t="n">
        <f aca="false">$AM83</f>
        <v>72</v>
      </c>
      <c r="HV83" s="1" t="n">
        <f aca="false">GJ83</f>
        <v>0</v>
      </c>
      <c r="HW83" s="1" t="n">
        <f aca="false">HW$6*(1+HW$5*(-1)^$FQ83)*EXP(-$FQ83/HW$4)</f>
        <v>1.36685119256531E-012</v>
      </c>
      <c r="HX83" s="1" t="n">
        <f aca="false">(HV83-HW83)^2</f>
        <v>1.86828218261721E-024</v>
      </c>
      <c r="HY83" s="1" t="n">
        <f aca="false">EXP($FQ83/$JG$4)*HV83</f>
        <v>0</v>
      </c>
      <c r="HZ83" s="1" t="n">
        <f aca="false">EXP($FQ83/$JG$4)*(-1)^$FQ83*HV83</f>
        <v>0</v>
      </c>
      <c r="IA83" s="1" t="n">
        <f aca="false">(-1)^HU83*HV83</f>
        <v>0</v>
      </c>
      <c r="ID83" s="1" t="n">
        <f aca="false">$AM83</f>
        <v>72</v>
      </c>
      <c r="IE83" s="1" t="n">
        <f aca="false">FZ83</f>
        <v>0</v>
      </c>
      <c r="IF83" s="1" t="n">
        <f aca="false">IF$6*(1+IF$5*(-1)^$FQ83)*EXP(-$FQ83/IF$4)</f>
        <v>2.08139832773367E-009</v>
      </c>
      <c r="IG83" s="1" t="n">
        <f aca="false">(IE83-IF83)^2</f>
        <v>4.33221899869252E-018</v>
      </c>
      <c r="IH83" s="1" t="n">
        <f aca="false">EXP($FQ83/$JG$4)*IE83</f>
        <v>0</v>
      </c>
      <c r="II83" s="1" t="n">
        <f aca="false">EXP($FQ83/$JG$4)*(-1)^$FQ83*IE83</f>
        <v>0</v>
      </c>
      <c r="IJ83" s="1" t="n">
        <f aca="false">(-1)^ID83*IE83</f>
        <v>0</v>
      </c>
      <c r="IK83" s="1" t="n">
        <v>0</v>
      </c>
      <c r="IM83" s="1" t="n">
        <f aca="false">$AM83</f>
        <v>72</v>
      </c>
      <c r="IN83" s="1" t="n">
        <f aca="false">GD83</f>
        <v>0</v>
      </c>
      <c r="IO83" s="1" t="n">
        <f aca="false">IO$6*(1+IO$5*(-1)^$FQ83)*EXP(-$FQ83/IO$4)</f>
        <v>5.56588038631283E-008</v>
      </c>
      <c r="IP83" s="1" t="n">
        <f aca="false">(IN83-IO83)^2</f>
        <v>3.09790244747419E-015</v>
      </c>
      <c r="IQ83" s="1" t="n">
        <f aca="false">EXP($FQ83/$JG$4)*IN83</f>
        <v>0</v>
      </c>
      <c r="IR83" s="1" t="n">
        <f aca="false">EXP($FQ83/$JG$4)*(-1)^$FQ83*IN83</f>
        <v>0</v>
      </c>
      <c r="IS83" s="1" t="n">
        <f aca="false">(-1)^IM83*IN83</f>
        <v>0</v>
      </c>
      <c r="IT83" s="1" t="n">
        <v>0</v>
      </c>
      <c r="IV83" s="1" t="n">
        <f aca="false">$AM83</f>
        <v>72</v>
      </c>
      <c r="IW83" s="1" t="n">
        <f aca="false">GH83</f>
        <v>0</v>
      </c>
      <c r="IX83" s="1" t="n">
        <f aca="false">IX$6*(1+IX$5*(-1)^$FQ83)*EXP(-$FQ83/IX$4)</f>
        <v>3.46575456110501E-005</v>
      </c>
      <c r="IY83" s="1" t="n">
        <f aca="false">(IW83-IX83)^2</f>
        <v>1.20114546778202E-009</v>
      </c>
      <c r="IZ83" s="1" t="n">
        <f aca="false">EXP($FQ83/$JG$4)*IW83</f>
        <v>0</v>
      </c>
      <c r="JA83" s="1" t="n">
        <f aca="false">EXP($FQ83/$JG$4)*(-1)^$FQ83*IW83</f>
        <v>0</v>
      </c>
      <c r="JB83" s="1" t="n">
        <f aca="false">(-1)^IV83*IW83</f>
        <v>0</v>
      </c>
      <c r="JE83" s="1" t="n">
        <f aca="false">$AM83</f>
        <v>72</v>
      </c>
      <c r="JF83" s="1" t="n">
        <f aca="false">GL83</f>
        <v>0</v>
      </c>
      <c r="JG83" s="1" t="n">
        <f aca="false">JG$6*(1+JG$5*(-1)^$FQ83)*EXP(-$FQ83/JG$4)</f>
        <v>2.46885080151678E-006</v>
      </c>
      <c r="JH83" s="1" t="n">
        <f aca="false">(JF83-JG83)^2</f>
        <v>6.09522428015005E-012</v>
      </c>
      <c r="JI83" s="1" t="n">
        <f aca="false">EXP($FQ83/$JG$4)*JF83</f>
        <v>0</v>
      </c>
      <c r="JJ83" s="1" t="n">
        <f aca="false">EXP($FQ83/$JG$4)*(-1)^$FQ83*JF83</f>
        <v>0</v>
      </c>
      <c r="JK83" s="1" t="n">
        <f aca="false">(-1)^JE83*JF83</f>
        <v>0</v>
      </c>
      <c r="JO83" s="1" t="n">
        <f aca="false">$AM83</f>
        <v>72</v>
      </c>
      <c r="JP83" s="1" t="n">
        <f aca="false">GM83</f>
        <v>0</v>
      </c>
      <c r="JQ83" s="1" t="n">
        <f aca="false">JQ$6*(1+JQ$5*(-1)^$FQ83)*EXP(-$FQ83/JQ$4)</f>
        <v>0.0453232040333814</v>
      </c>
      <c r="JR83" s="1" t="n">
        <f aca="false">(JP83-JQ83)^2</f>
        <v>0.00205419282385152</v>
      </c>
      <c r="JS83" s="1" t="n">
        <f aca="false">EXP($FQ83/$JG$4)*JP83</f>
        <v>0</v>
      </c>
      <c r="JT83" s="1" t="n">
        <f aca="false">EXP($FQ83/$JG$4)*(-1)^$FQ83*JP83</f>
        <v>0</v>
      </c>
      <c r="JU83" s="1" t="n">
        <f aca="false">(-1)^JO83*JP83</f>
        <v>0</v>
      </c>
    </row>
    <row r="84" customFormat="false" ht="16" hidden="false" customHeight="false" outlineLevel="0" collapsed="false">
      <c r="A84" s="1" t="n">
        <v>1</v>
      </c>
      <c r="B84" s="1" t="n">
        <v>1</v>
      </c>
      <c r="C84" s="1" t="n">
        <f aca="false">B84-A84</f>
        <v>0</v>
      </c>
      <c r="D84" s="1" t="n">
        <v>1</v>
      </c>
      <c r="E84" s="1" t="n">
        <v>3</v>
      </c>
      <c r="F84" s="1" t="n">
        <f aca="false">E84-D84</f>
        <v>2</v>
      </c>
      <c r="G84" s="1" t="n">
        <v>1</v>
      </c>
      <c r="H84" s="1" t="n">
        <v>1</v>
      </c>
      <c r="I84" s="1" t="n">
        <f aca="false">H84-G84</f>
        <v>0</v>
      </c>
      <c r="J84" s="1" t="n">
        <v>1</v>
      </c>
      <c r="K84" s="1" t="n">
        <v>2</v>
      </c>
      <c r="L84" s="1" t="n">
        <f aca="false">K84-J84</f>
        <v>1</v>
      </c>
      <c r="M84" s="1" t="n">
        <v>1</v>
      </c>
      <c r="N84" s="1" t="n">
        <v>1</v>
      </c>
      <c r="O84" s="1" t="n">
        <f aca="false">N84-M84</f>
        <v>0</v>
      </c>
      <c r="P84" s="1" t="n">
        <v>2</v>
      </c>
      <c r="Q84" s="1" t="n">
        <v>2</v>
      </c>
      <c r="R84" s="1" t="n">
        <f aca="false">Q84-P84</f>
        <v>0</v>
      </c>
      <c r="S84" s="1" t="n">
        <v>5</v>
      </c>
      <c r="T84" s="1" t="n">
        <v>10</v>
      </c>
      <c r="U84" s="1" t="n">
        <f aca="false">T84-S84</f>
        <v>5</v>
      </c>
      <c r="V84" s="1" t="n">
        <v>1</v>
      </c>
      <c r="W84" s="1" t="n">
        <v>2</v>
      </c>
      <c r="X84" s="1" t="n">
        <f aca="false">W84-V84</f>
        <v>1</v>
      </c>
      <c r="Y84" s="1" t="n">
        <v>8</v>
      </c>
      <c r="Z84" s="1" t="n">
        <v>20</v>
      </c>
      <c r="AA84" s="1" t="n">
        <f aca="false">Z84-Y84</f>
        <v>12</v>
      </c>
      <c r="AB84" s="1" t="n">
        <v>6</v>
      </c>
      <c r="AC84" s="1" t="n">
        <v>8</v>
      </c>
      <c r="AD84" s="1" t="n">
        <f aca="false">AC84-AB84</f>
        <v>2</v>
      </c>
      <c r="AE84" s="1" t="n">
        <v>4</v>
      </c>
      <c r="AF84" s="1" t="n">
        <v>21</v>
      </c>
      <c r="AG84" s="1" t="n">
        <f aca="false">AF84-AE84</f>
        <v>17</v>
      </c>
      <c r="AM84" s="1" t="n">
        <v>73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W84" s="1" t="n">
        <f aca="false">$AM84</f>
        <v>73</v>
      </c>
      <c r="BX84" s="1" t="n">
        <f aca="false">MAX(BX83-AN84/AN$9*100,0)</f>
        <v>0</v>
      </c>
      <c r="BY84" s="1" t="n">
        <f aca="false">MAX(BY83-AO84/AO$9*100,0)</f>
        <v>0</v>
      </c>
      <c r="BZ84" s="1" t="n">
        <f aca="false">MAX(BZ83-AQ84/AQ$9*100,0)</f>
        <v>0</v>
      </c>
      <c r="CA84" s="1" t="n">
        <f aca="false">MAX(CA83-AR84/AR$9*100,0)</f>
        <v>0</v>
      </c>
      <c r="CB84" s="1" t="n">
        <f aca="false">CB$7*EXP(-$AM84/CB$8)</f>
        <v>1.40208171784684E-039</v>
      </c>
      <c r="CC84" s="1" t="n">
        <f aca="false">(BZ84-CB84)^2</f>
        <v>1.96583314352035E-078</v>
      </c>
      <c r="CD84" s="1" t="n">
        <f aca="false">MAX(CD83-AT84/AT$9*100,0)</f>
        <v>0</v>
      </c>
      <c r="CE84" s="1" t="n">
        <f aca="false">MAX(CE83-AU84/AU$9*100,0)</f>
        <v>5.32907051820075E-015</v>
      </c>
      <c r="CF84" s="1" t="n">
        <f aca="false">CF$7*EXP(-$AM84/CF$8)</f>
        <v>1.54574268111175E-038</v>
      </c>
      <c r="CG84" s="1" t="n">
        <f aca="false">(CD84-CF84)^2</f>
        <v>2.38932043621054E-076</v>
      </c>
      <c r="CH84" s="1" t="n">
        <f aca="false">$AM84</f>
        <v>73</v>
      </c>
      <c r="CI84" s="1" t="n">
        <f aca="false">MAX(CI83-AW84/AW$9*100,0)</f>
        <v>0</v>
      </c>
      <c r="CJ84" s="1" t="n">
        <f aca="false">MAX(CJ83-AX84/AX$9*100,0)</f>
        <v>0</v>
      </c>
      <c r="CK84" s="1" t="n">
        <f aca="false">CK$7*EXP(-$AM84/CK$8)</f>
        <v>1.42368485951971E-025</v>
      </c>
      <c r="CL84" s="1" t="n">
        <f aca="false">(CI84-CK84)^2</f>
        <v>2.02687857922566E-050</v>
      </c>
      <c r="CM84" s="1" t="n">
        <f aca="false">MAX(CM83-AZ84/AZ$9*100,0)</f>
        <v>0</v>
      </c>
      <c r="CN84" s="1" t="n">
        <f aca="false">MAX(CN83-BA84/BA$9*100,0)</f>
        <v>5.32907051820075E-015</v>
      </c>
      <c r="CO84" s="1" t="n">
        <f aca="false">CO$7*EXP(-$AM84/CO$8)</f>
        <v>7.61703041164841E-014</v>
      </c>
      <c r="CP84" s="1" t="n">
        <f aca="false">(CM84-CO84)^2</f>
        <v>5.80191522919768E-027</v>
      </c>
      <c r="CQ84" s="1" t="n">
        <f aca="false">$AM84</f>
        <v>73</v>
      </c>
      <c r="CR84" s="1" t="n">
        <f aca="false">MAX(CR83-BC84/BC$9*100,0)</f>
        <v>0</v>
      </c>
      <c r="CS84" s="1" t="n">
        <f aca="false">MAX(CS83-BD84/BD$9*100,0)</f>
        <v>0</v>
      </c>
      <c r="CT84" s="1" t="n">
        <f aca="false">CT$7*EXP(-$AM84/CT$8)</f>
        <v>1.59931396434441E-023</v>
      </c>
      <c r="CU84" s="1" t="n">
        <f aca="false">(CR84-CT84)^2</f>
        <v>2.55780515654703E-046</v>
      </c>
      <c r="CV84" s="1" t="n">
        <f aca="false">MAX(CV83-BF84/BF$9*100,0)</f>
        <v>8.88178419700125E-015</v>
      </c>
      <c r="CW84" s="1" t="n">
        <f aca="false">MAX(CW83-BG84/BG$9*100,0)</f>
        <v>5.32907051820075E-015</v>
      </c>
      <c r="CX84" s="1" t="n">
        <f aca="false">CX$7*EXP(-$AM84/CX$8)</f>
        <v>1.06923021594596E-011</v>
      </c>
      <c r="CY84" s="1" t="n">
        <f aca="false">(CV84-CX84)^2</f>
        <v>1.14135470914576E-022</v>
      </c>
      <c r="CZ84" s="1" t="n">
        <f aca="false">$AM84</f>
        <v>73</v>
      </c>
      <c r="DA84" s="1" t="n">
        <f aca="false">MAX(DA83-BI84/BI$9*100,0)</f>
        <v>0</v>
      </c>
      <c r="DB84" s="1" t="n">
        <f aca="false">MAX(DB83-BJ84/BJ$9*100,0)</f>
        <v>9.88098491916389E-015</v>
      </c>
      <c r="DC84" s="1" t="n">
        <f aca="false">DC$7*EXP(-$AM84/DC$8)</f>
        <v>1.15579594356583E-021</v>
      </c>
      <c r="DD84" s="1" t="n">
        <f aca="false">(DA84-DC84)^2</f>
        <v>1.33586426316323E-042</v>
      </c>
      <c r="DE84" s="1" t="n">
        <f aca="false">MAX(DE83-BL84/BL$9*100,0)</f>
        <v>0</v>
      </c>
      <c r="DF84" s="1" t="n">
        <f aca="false">MAX(DF83-BM84/BM$9*100,0)</f>
        <v>0</v>
      </c>
      <c r="DG84" s="1" t="n">
        <f aca="false">DG$7*EXP(-$AM84/DG$8)</f>
        <v>1.42926497823693E-006</v>
      </c>
      <c r="DH84" s="1" t="n">
        <f aca="false">(DE84-DG84)^2</f>
        <v>2.04279837801461E-012</v>
      </c>
      <c r="DI84" s="1" t="n">
        <f aca="false">$AM84</f>
        <v>73</v>
      </c>
      <c r="DJ84" s="1" t="n">
        <f aca="false">MAX(DJ83-BO84/BO$9*100,0)</f>
        <v>0</v>
      </c>
      <c r="DK84" s="1" t="n">
        <f aca="false">MAX(DK83-BP84/BP$9*100,0)</f>
        <v>9.99200722162641E-015</v>
      </c>
      <c r="DL84" s="1" t="n">
        <f aca="false">DL$7*EXP(-$AM84/DL$8)</f>
        <v>5.32222204812591E-018</v>
      </c>
      <c r="DM84" s="1" t="n">
        <f aca="false">(DJ84-DL84)^2</f>
        <v>2.83260475295576E-035</v>
      </c>
      <c r="DN84" s="1" t="n">
        <f aca="false">MAX(DN83-BR84/BR$9*100,0)</f>
        <v>0</v>
      </c>
      <c r="DO84" s="1" t="n">
        <f aca="false">MAX(DO83-BS84/BS$9*100,0)</f>
        <v>0</v>
      </c>
      <c r="DP84" s="1" t="n">
        <f aca="false">DP$7*EXP(-$AM84/DP$8)</f>
        <v>1.27408721209317E-007</v>
      </c>
      <c r="DQ84" s="1" t="n">
        <f aca="false">(DN84-DP84)^2</f>
        <v>1.62329822401935E-014</v>
      </c>
      <c r="DS84" s="1" t="n">
        <f aca="false">$AM84</f>
        <v>73</v>
      </c>
      <c r="DT84" s="1" t="n">
        <f aca="false">CA84</f>
        <v>0</v>
      </c>
      <c r="DU84" s="1" t="n">
        <f aca="false">DU$7*EXP(-DS84/DU$8)</f>
        <v>3.37419279834989E-031</v>
      </c>
      <c r="DV84" s="1" t="n">
        <f aca="false">(DT84-DU84)^2</f>
        <v>1.13851770404363E-061</v>
      </c>
      <c r="DX84" s="1" t="n">
        <f aca="false">$AM84</f>
        <v>73</v>
      </c>
      <c r="DY84" s="1" t="n">
        <f aca="false">CM84</f>
        <v>0</v>
      </c>
      <c r="DZ84" s="1" t="n">
        <f aca="false">DZ$7*EXP(-DX84/DZ$8)</f>
        <v>2.44176360187968E-016</v>
      </c>
      <c r="EA84" s="1" t="n">
        <f aca="false">(DY84-DZ84)^2</f>
        <v>5.96220948746443E-032</v>
      </c>
      <c r="EC84" s="1" t="n">
        <f aca="false">$AM84</f>
        <v>73</v>
      </c>
      <c r="ED84" s="1" t="n">
        <f aca="false">CV84</f>
        <v>8.88178419700125E-015</v>
      </c>
      <c r="EE84" s="1" t="n">
        <f aca="false">EE$7*EXP(-EC84/EE$8)</f>
        <v>2.03219993053584E-012</v>
      </c>
      <c r="EF84" s="1" t="n">
        <f aca="false">(ED84-EE84)^2</f>
        <v>4.09381632130404E-024</v>
      </c>
      <c r="EH84" s="1" t="n">
        <f aca="false">$AM84</f>
        <v>73</v>
      </c>
      <c r="EI84" s="1" t="n">
        <f aca="false">DE84</f>
        <v>0</v>
      </c>
      <c r="EJ84" s="1" t="n">
        <f aca="false">EJ$7*EXP(-EH84/EJ$8)</f>
        <v>1.42333441816126E-006</v>
      </c>
      <c r="EK84" s="1" t="n">
        <f aca="false">(EI84-EJ84)^2</f>
        <v>2.02588086592245E-012</v>
      </c>
      <c r="EM84" s="1" t="n">
        <f aca="false">AM84</f>
        <v>73</v>
      </c>
      <c r="EN84" s="1" t="n">
        <f aca="false">DN84</f>
        <v>0</v>
      </c>
      <c r="EO84" s="1" t="n">
        <f aca="false">EO$7*EXP(-EM84/EO$8)</f>
        <v>2.47338434692627E-007</v>
      </c>
      <c r="EP84" s="1" t="n">
        <f aca="false">(EN84-EO84)^2</f>
        <v>6.11763012761989E-014</v>
      </c>
      <c r="ER84" s="1" t="n">
        <f aca="false">$AM84</f>
        <v>73</v>
      </c>
      <c r="ES84" s="1" t="n">
        <f aca="false">BZ84</f>
        <v>0</v>
      </c>
      <c r="ET84" s="1" t="n">
        <f aca="false">ET$7*EXP(-ER84/ET$8)</f>
        <v>3.31277960188086E-036</v>
      </c>
      <c r="EU84" s="1" t="n">
        <f aca="false">(ES84-ET84)^2</f>
        <v>1.09745086906379E-071</v>
      </c>
      <c r="EW84" s="1" t="n">
        <f aca="false">$AM84</f>
        <v>73</v>
      </c>
      <c r="EX84" s="1" t="n">
        <f aca="false">CI84</f>
        <v>0</v>
      </c>
      <c r="EY84" s="1" t="n">
        <f aca="false">EY$7*EXP(-EW84/EY$8)</f>
        <v>3.54942656540514E-033</v>
      </c>
      <c r="EZ84" s="1" t="n">
        <f aca="false">(EX84-EY84)^2</f>
        <v>1.25984289432037E-065</v>
      </c>
      <c r="FB84" s="1" t="n">
        <f aca="false">$AM84</f>
        <v>73</v>
      </c>
      <c r="FC84" s="1" t="n">
        <f aca="false">CR84</f>
        <v>0</v>
      </c>
      <c r="FD84" s="1" t="n">
        <f aca="false">FD$7*EXP(-FB84/FD$8)</f>
        <v>1.13923459648032E-028</v>
      </c>
      <c r="FE84" s="1" t="n">
        <f aca="false">(FC84-FD84)^2</f>
        <v>1.29785546581768E-056</v>
      </c>
      <c r="FG84" s="1" t="n">
        <f aca="false">$AM84</f>
        <v>73</v>
      </c>
      <c r="FH84" s="1" t="n">
        <f aca="false">DA84</f>
        <v>0</v>
      </c>
      <c r="FI84" s="1" t="n">
        <f aca="false">FI$7*EXP(-FG84/FI$8)</f>
        <v>1.17024179888813E-024</v>
      </c>
      <c r="FJ84" s="1" t="n">
        <f aca="false">(FH84-FI84)^2</f>
        <v>1.36946586786493E-048</v>
      </c>
      <c r="FL84" s="1" t="n">
        <f aca="false">EM84</f>
        <v>73</v>
      </c>
      <c r="FM84" s="1" t="n">
        <f aca="false">DJ84</f>
        <v>0</v>
      </c>
      <c r="FN84" s="1" t="n">
        <f aca="false">FN$7*EXP(-FL84/FN$8)</f>
        <v>1.24389618376628E-019</v>
      </c>
      <c r="FO84" s="1" t="n">
        <f aca="false">(FM84-FN84)^2</f>
        <v>1.54727771598832E-038</v>
      </c>
      <c r="FQ84" s="1" t="n">
        <f aca="false">AM84</f>
        <v>73</v>
      </c>
      <c r="FR84" s="1" t="n">
        <f aca="false">AN84/AN$9*100</f>
        <v>0</v>
      </c>
      <c r="FS84" s="1" t="n">
        <f aca="false">AO84/AO$9*100</f>
        <v>0</v>
      </c>
      <c r="FT84" s="1" t="n">
        <f aca="false">AQ84/AQ$9*100</f>
        <v>0</v>
      </c>
      <c r="FU84" s="1" t="n">
        <f aca="false">AR84/AR$9*100</f>
        <v>0</v>
      </c>
      <c r="FV84" s="1" t="n">
        <f aca="false">AT84/AT$9*100</f>
        <v>0</v>
      </c>
      <c r="FW84" s="1" t="n">
        <f aca="false">AU84/AU$9*100</f>
        <v>0</v>
      </c>
      <c r="FX84" s="1" t="n">
        <f aca="false">AW84/AW$9*100</f>
        <v>0</v>
      </c>
      <c r="FY84" s="1" t="n">
        <f aca="false">AX84/AX$9*100</f>
        <v>0</v>
      </c>
      <c r="FZ84" s="1" t="n">
        <f aca="false">AZ84/AZ$9*100</f>
        <v>0</v>
      </c>
      <c r="GA84" s="1" t="n">
        <f aca="false">BA84/BA$9*100</f>
        <v>0</v>
      </c>
      <c r="GB84" s="1" t="n">
        <f aca="false">BC84/BC$9*100</f>
        <v>0</v>
      </c>
      <c r="GC84" s="1" t="n">
        <f aca="false">BD84/BD$9*100</f>
        <v>0</v>
      </c>
      <c r="GD84" s="1" t="n">
        <f aca="false">BF84/BF$9*100</f>
        <v>0</v>
      </c>
      <c r="GE84" s="1" t="n">
        <f aca="false">BG84/BG$9*100</f>
        <v>0</v>
      </c>
      <c r="GF84" s="1" t="n">
        <f aca="false">BI84/BI$9*100</f>
        <v>0</v>
      </c>
      <c r="GG84" s="1" t="n">
        <f aca="false">BJ84/BJ$9*100</f>
        <v>0</v>
      </c>
      <c r="GH84" s="1" t="n">
        <f aca="false">BL84/BL$9*100</f>
        <v>0</v>
      </c>
      <c r="GI84" s="1" t="n">
        <f aca="false">BM84/BM$9*100</f>
        <v>0</v>
      </c>
      <c r="GJ84" s="1" t="n">
        <f aca="false">BO84/BO$9*100</f>
        <v>0</v>
      </c>
      <c r="GK84" s="1" t="n">
        <f aca="false">BP84/BP$9*100</f>
        <v>0</v>
      </c>
      <c r="GL84" s="1" t="n">
        <f aca="false">BR84/BR$9*100</f>
        <v>0</v>
      </c>
      <c r="GM84" s="1" t="n">
        <f aca="false">BS84/BS$9*100</f>
        <v>0</v>
      </c>
      <c r="GO84" s="1" t="n">
        <f aca="false">$AM84</f>
        <v>73</v>
      </c>
      <c r="GP84" s="1" t="n">
        <f aca="false">FT84</f>
        <v>0</v>
      </c>
      <c r="GQ84" s="1" t="n">
        <f aca="false">GQ$6*(1+GQ$5*(-1)^$FQ84)*EXP(-$FQ84/GQ$4)</f>
        <v>6.74137350434345E-023</v>
      </c>
      <c r="GR84" s="1" t="n">
        <f aca="false">(GP84-GQ84)^2</f>
        <v>4.54461167250639E-045</v>
      </c>
      <c r="GS84" s="1" t="n">
        <f aca="false">EXP($FQ84/$JG$4)*GP84</f>
        <v>0</v>
      </c>
      <c r="GT84" s="1" t="n">
        <f aca="false">EXP($FQ84/$JG$4)*(-1)^$FQ84*GP84</f>
        <v>-0</v>
      </c>
      <c r="GU84" s="1" t="n">
        <f aca="false">(-1)^GO84*GP84</f>
        <v>-0</v>
      </c>
      <c r="GW84" s="1" t="n">
        <f aca="false">$AM84</f>
        <v>73</v>
      </c>
      <c r="GX84" s="1" t="n">
        <f aca="false">FX84</f>
        <v>0</v>
      </c>
      <c r="GY84" s="1" t="n">
        <f aca="false">GY$6*(1+GY$5*(-1)^$FQ84)*EXP(-$FQ84/GY$4)</f>
        <v>6.74137350434345E-023</v>
      </c>
      <c r="GZ84" s="1" t="n">
        <f aca="false">(GX84-GY84)^2</f>
        <v>4.54461167250639E-045</v>
      </c>
      <c r="HA84" s="1" t="n">
        <f aca="false">EXP($FQ84/$JG$4)*GX84</f>
        <v>0</v>
      </c>
      <c r="HB84" s="1" t="n">
        <f aca="false">EXP($FQ84/$JG$4)*(-1)^$FQ84*GX84</f>
        <v>-0</v>
      </c>
      <c r="HC84" s="1" t="n">
        <f aca="false">(-1)^GW84*GX84</f>
        <v>-0</v>
      </c>
      <c r="HE84" s="1" t="n">
        <f aca="false">$AM84</f>
        <v>73</v>
      </c>
      <c r="HF84" s="1" t="n">
        <f aca="false">GB84</f>
        <v>0</v>
      </c>
      <c r="HG84" s="1" t="n">
        <f aca="false">HG$6*(1+HG$5*(-1)^$FQ84)*EXP(-$FQ84/HG$4)</f>
        <v>6.74137350434345E-023</v>
      </c>
      <c r="HH84" s="1" t="n">
        <f aca="false">(HF84-HG84)^2</f>
        <v>4.54461167250639E-045</v>
      </c>
      <c r="HI84" s="1" t="n">
        <f aca="false">EXP($FQ84/$JG$4)*HF84</f>
        <v>0</v>
      </c>
      <c r="HJ84" s="1" t="n">
        <f aca="false">EXP($FQ84/$JG$4)*(-1)^$FQ84*HF84</f>
        <v>-0</v>
      </c>
      <c r="HK84" s="1" t="n">
        <f aca="false">(-1)^HE84*HF84</f>
        <v>-0</v>
      </c>
      <c r="HM84" s="1" t="n">
        <f aca="false">$AM84</f>
        <v>73</v>
      </c>
      <c r="HN84" s="1" t="n">
        <f aca="false">GF84</f>
        <v>0</v>
      </c>
      <c r="HO84" s="1" t="n">
        <f aca="false">HO$6*(1+HO$5*(-1)^$FQ84)*EXP(-$FQ84/HO$4)</f>
        <v>3.76163516458847E-018</v>
      </c>
      <c r="HP84" s="1" t="n">
        <f aca="false">(HN84-HO84)^2</f>
        <v>1.41498991114685E-035</v>
      </c>
      <c r="HQ84" s="1" t="n">
        <f aca="false">EXP($FQ84/$JG$4)*HN84</f>
        <v>0</v>
      </c>
      <c r="HR84" s="1" t="n">
        <f aca="false">EXP($FQ84/$JG$4)*(-1)^$FQ84*HN84</f>
        <v>-0</v>
      </c>
      <c r="HS84" s="1" t="n">
        <f aca="false">(-1)^HM84*HN84</f>
        <v>-0</v>
      </c>
      <c r="HU84" s="1" t="n">
        <f aca="false">$AM84</f>
        <v>73</v>
      </c>
      <c r="HV84" s="1" t="n">
        <f aca="false">GJ84</f>
        <v>0</v>
      </c>
      <c r="HW84" s="1" t="n">
        <f aca="false">HW$6*(1+HW$5*(-1)^$FQ84)*EXP(-$FQ84/HW$4)</f>
        <v>2.92707790427779E-013</v>
      </c>
      <c r="HX84" s="1" t="n">
        <f aca="false">(HV84-HW84)^2</f>
        <v>8.56778505771126E-026</v>
      </c>
      <c r="HY84" s="1" t="n">
        <f aca="false">EXP($FQ84/$JG$4)*HV84</f>
        <v>0</v>
      </c>
      <c r="HZ84" s="1" t="n">
        <f aca="false">EXP($FQ84/$JG$4)*(-1)^$FQ84*HV84</f>
        <v>-0</v>
      </c>
      <c r="IA84" s="1" t="n">
        <f aca="false">(-1)^HU84*HV84</f>
        <v>-0</v>
      </c>
      <c r="ID84" s="1" t="n">
        <f aca="false">$AM84</f>
        <v>73</v>
      </c>
      <c r="IE84" s="1" t="n">
        <f aca="false">FZ84</f>
        <v>0</v>
      </c>
      <c r="IF84" s="1" t="n">
        <f aca="false">IF$6*(1+IF$5*(-1)^$FQ84)*EXP(-$FQ84/IF$4)</f>
        <v>7.68290309610629E-010</v>
      </c>
      <c r="IG84" s="1" t="n">
        <f aca="false">(IE84-IF84)^2</f>
        <v>5.90269999841596E-019</v>
      </c>
      <c r="IH84" s="1" t="n">
        <f aca="false">EXP($FQ84/$JG$4)*IE84</f>
        <v>0</v>
      </c>
      <c r="II84" s="1" t="n">
        <f aca="false">EXP($FQ84/$JG$4)*(-1)^$FQ84*IE84</f>
        <v>-0</v>
      </c>
      <c r="IJ84" s="1" t="n">
        <f aca="false">(-1)^ID84*IE84</f>
        <v>-0</v>
      </c>
      <c r="IK84" s="1" t="n">
        <v>0</v>
      </c>
      <c r="IM84" s="1" t="n">
        <f aca="false">$AM84</f>
        <v>73</v>
      </c>
      <c r="IN84" s="1" t="n">
        <f aca="false">GD84</f>
        <v>0</v>
      </c>
      <c r="IO84" s="1" t="n">
        <f aca="false">IO$6*(1+IO$5*(-1)^$FQ84)*EXP(-$FQ84/IO$4)</f>
        <v>1.9234004507744E-008</v>
      </c>
      <c r="IP84" s="1" t="n">
        <f aca="false">(IN84-IO84)^2</f>
        <v>3.69946929403917E-016</v>
      </c>
      <c r="IQ84" s="1" t="n">
        <f aca="false">EXP($FQ84/$JG$4)*IN84</f>
        <v>0</v>
      </c>
      <c r="IR84" s="1" t="n">
        <f aca="false">EXP($FQ84/$JG$4)*(-1)^$FQ84*IN84</f>
        <v>-0</v>
      </c>
      <c r="IS84" s="1" t="n">
        <f aca="false">(-1)^IM84*IN84</f>
        <v>-0</v>
      </c>
      <c r="IT84" s="1" t="n">
        <v>0</v>
      </c>
      <c r="IV84" s="1" t="n">
        <f aca="false">$AM84</f>
        <v>73</v>
      </c>
      <c r="IW84" s="1" t="n">
        <f aca="false">GH84</f>
        <v>0</v>
      </c>
      <c r="IX84" s="1" t="n">
        <f aca="false">IX$6*(1+IX$5*(-1)^$FQ84)*EXP(-$FQ84/IX$4)</f>
        <v>7.37337574981801E-006</v>
      </c>
      <c r="IY84" s="1" t="n">
        <f aca="false">(IW84-IX84)^2</f>
        <v>5.43666699480043E-011</v>
      </c>
      <c r="IZ84" s="1" t="n">
        <f aca="false">EXP($FQ84/$JG$4)*IW84</f>
        <v>0</v>
      </c>
      <c r="JA84" s="1" t="n">
        <f aca="false">EXP($FQ84/$JG$4)*(-1)^$FQ84*IW84</f>
        <v>-0</v>
      </c>
      <c r="JB84" s="1" t="n">
        <f aca="false">(-1)^IV84*IW84</f>
        <v>-0</v>
      </c>
      <c r="JE84" s="1" t="n">
        <f aca="false">$AM84</f>
        <v>73</v>
      </c>
      <c r="JF84" s="1" t="n">
        <f aca="false">GL84</f>
        <v>0</v>
      </c>
      <c r="JG84" s="1" t="n">
        <f aca="false">JG$6*(1+JG$5*(-1)^$FQ84)*EXP(-$FQ84/JG$4)</f>
        <v>2.985180298757E-007</v>
      </c>
      <c r="JH84" s="1" t="n">
        <f aca="false">(JF84-JG84)^2</f>
        <v>8.91130141608693E-014</v>
      </c>
      <c r="JI84" s="1" t="n">
        <f aca="false">EXP($FQ84/$JG$4)*JF84</f>
        <v>0</v>
      </c>
      <c r="JJ84" s="1" t="n">
        <f aca="false">EXP($FQ84/$JG$4)*(-1)^$FQ84*JF84</f>
        <v>-0</v>
      </c>
      <c r="JK84" s="1" t="n">
        <f aca="false">(-1)^JE84*JF84</f>
        <v>-0</v>
      </c>
      <c r="JO84" s="1" t="n">
        <f aca="false">$AM84</f>
        <v>73</v>
      </c>
      <c r="JP84" s="1" t="n">
        <f aca="false">GM84</f>
        <v>0</v>
      </c>
      <c r="JQ84" s="1" t="n">
        <f aca="false">JQ$6*(1+JQ$5*(-1)^$FQ84)*EXP(-$FQ84/JQ$4)</f>
        <v>0.00796925533596781</v>
      </c>
      <c r="JR84" s="1" t="n">
        <f aca="false">(JP84-JQ84)^2</f>
        <v>6.35090306098514E-005</v>
      </c>
      <c r="JS84" s="1" t="n">
        <f aca="false">EXP($FQ84/$JG$4)*JP84</f>
        <v>0</v>
      </c>
      <c r="JT84" s="1" t="n">
        <f aca="false">EXP($FQ84/$JG$4)*(-1)^$FQ84*JP84</f>
        <v>-0</v>
      </c>
      <c r="JU84" s="1" t="n">
        <f aca="false">(-1)^JO84*JP84</f>
        <v>-0</v>
      </c>
    </row>
    <row r="85" customFormat="false" ht="16" hidden="false" customHeight="false" outlineLevel="0" collapsed="false">
      <c r="A85" s="1" t="n">
        <v>2</v>
      </c>
      <c r="B85" s="1" t="n">
        <v>2</v>
      </c>
      <c r="C85" s="1" t="n">
        <f aca="false">B85-A85</f>
        <v>0</v>
      </c>
      <c r="D85" s="1" t="n">
        <v>2</v>
      </c>
      <c r="E85" s="1" t="n">
        <v>2</v>
      </c>
      <c r="F85" s="1" t="n">
        <f aca="false">E85-D85</f>
        <v>0</v>
      </c>
      <c r="G85" s="1" t="n">
        <v>1</v>
      </c>
      <c r="H85" s="1" t="n">
        <v>1</v>
      </c>
      <c r="I85" s="1" t="n">
        <f aca="false">H85-G85</f>
        <v>0</v>
      </c>
      <c r="J85" s="1" t="n">
        <v>2</v>
      </c>
      <c r="K85" s="1" t="n">
        <v>2</v>
      </c>
      <c r="L85" s="1" t="n">
        <f aca="false">K85-J85</f>
        <v>0</v>
      </c>
      <c r="M85" s="1" t="n">
        <v>2</v>
      </c>
      <c r="N85" s="1" t="n">
        <v>2</v>
      </c>
      <c r="O85" s="1" t="n">
        <f aca="false">N85-M85</f>
        <v>0</v>
      </c>
      <c r="P85" s="1" t="n">
        <v>1</v>
      </c>
      <c r="Q85" s="1" t="n">
        <v>3</v>
      </c>
      <c r="R85" s="1" t="n">
        <f aca="false">Q85-P85</f>
        <v>2</v>
      </c>
      <c r="S85" s="1" t="n">
        <v>9</v>
      </c>
      <c r="T85" s="1" t="n">
        <v>11</v>
      </c>
      <c r="U85" s="1" t="n">
        <f aca="false">T85-S85</f>
        <v>2</v>
      </c>
      <c r="V85" s="1" t="n">
        <v>2</v>
      </c>
      <c r="W85" s="1" t="n">
        <v>2</v>
      </c>
      <c r="X85" s="1" t="n">
        <f aca="false">W85-V85</f>
        <v>0</v>
      </c>
      <c r="Y85" s="1" t="n">
        <v>4</v>
      </c>
      <c r="Z85" s="1" t="n">
        <v>8</v>
      </c>
      <c r="AA85" s="1" t="n">
        <f aca="false">Z85-Y85</f>
        <v>4</v>
      </c>
      <c r="AB85" s="1" t="n">
        <v>1</v>
      </c>
      <c r="AC85" s="1" t="n">
        <v>3</v>
      </c>
      <c r="AD85" s="1" t="n">
        <f aca="false">AC85-AB85</f>
        <v>2</v>
      </c>
      <c r="AE85" s="1" t="n">
        <v>2</v>
      </c>
      <c r="AF85" s="1" t="n">
        <v>11</v>
      </c>
      <c r="AG85" s="1" t="n">
        <f aca="false">AF85-AE85</f>
        <v>9</v>
      </c>
      <c r="AM85" s="1" t="n">
        <v>74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W85" s="1" t="n">
        <f aca="false">$AM85</f>
        <v>74</v>
      </c>
      <c r="BX85" s="1" t="n">
        <f aca="false">MAX(BX84-AN85/AN$9*100,0)</f>
        <v>0</v>
      </c>
      <c r="BY85" s="1" t="n">
        <f aca="false">MAX(BY84-AO85/AO$9*100,0)</f>
        <v>0</v>
      </c>
      <c r="BZ85" s="1" t="n">
        <f aca="false">MAX(BZ84-AQ85/AQ$9*100,0)</f>
        <v>0</v>
      </c>
      <c r="CA85" s="1" t="n">
        <f aca="false">MAX(CA84-AR85/AR$9*100,0)</f>
        <v>0</v>
      </c>
      <c r="CB85" s="1" t="n">
        <f aca="false">CB$7*EXP(-$AM85/CB$8)</f>
        <v>3.82608416073015E-040</v>
      </c>
      <c r="CC85" s="1" t="n">
        <f aca="false">(BZ85-CB85)^2</f>
        <v>1.46389200049901E-079</v>
      </c>
      <c r="CD85" s="1" t="n">
        <f aca="false">MAX(CD84-AT85/AT$9*100,0)</f>
        <v>0</v>
      </c>
      <c r="CE85" s="1" t="n">
        <f aca="false">MAX(CE84-AU85/AU$9*100,0)</f>
        <v>5.32907051820075E-015</v>
      </c>
      <c r="CF85" s="1" t="n">
        <f aca="false">CF$7*EXP(-$AM85/CF$8)</f>
        <v>4.35910518187704E-039</v>
      </c>
      <c r="CG85" s="1" t="n">
        <f aca="false">(CD85-CF85)^2</f>
        <v>1.90017979866673E-077</v>
      </c>
      <c r="CH85" s="1" t="n">
        <f aca="false">$AM85</f>
        <v>74</v>
      </c>
      <c r="CI85" s="1" t="n">
        <f aca="false">MAX(CI84-AW85/AW$9*100,0)</f>
        <v>0</v>
      </c>
      <c r="CJ85" s="1" t="n">
        <f aca="false">MAX(CJ84-AX85/AX$9*100,0)</f>
        <v>0</v>
      </c>
      <c r="CK85" s="1" t="n">
        <f aca="false">CK$7*EXP(-$AM85/CK$8)</f>
        <v>6.05650390522824E-026</v>
      </c>
      <c r="CL85" s="1" t="n">
        <f aca="false">(CI85-CK85)^2</f>
        <v>3.66812395540449E-051</v>
      </c>
      <c r="CM85" s="1" t="n">
        <f aca="false">MAX(CM84-AZ85/AZ$9*100,0)</f>
        <v>0</v>
      </c>
      <c r="CN85" s="1" t="n">
        <f aca="false">MAX(CN84-BA85/BA$9*100,0)</f>
        <v>5.32907051820075E-015</v>
      </c>
      <c r="CO85" s="1" t="n">
        <f aca="false">CO$7*EXP(-$AM85/CO$8)</f>
        <v>4.70966769855361E-014</v>
      </c>
      <c r="CP85" s="1" t="n">
        <f aca="false">(CM85-CO85)^2</f>
        <v>2.21809698307993E-027</v>
      </c>
      <c r="CQ85" s="1" t="n">
        <f aca="false">$AM85</f>
        <v>74</v>
      </c>
      <c r="CR85" s="1" t="n">
        <f aca="false">MAX(CR84-BC85/BC$9*100,0)</f>
        <v>0</v>
      </c>
      <c r="CS85" s="1" t="n">
        <f aca="false">MAX(CS84-BD85/BD$9*100,0)</f>
        <v>0</v>
      </c>
      <c r="CT85" s="1" t="n">
        <f aca="false">CT$7*EXP(-$AM85/CT$8)</f>
        <v>7.27728813006184E-024</v>
      </c>
      <c r="CU85" s="1" t="n">
        <f aca="false">(CR85-CT85)^2</f>
        <v>5.2958922527939E-047</v>
      </c>
      <c r="CV85" s="1" t="n">
        <f aca="false">MAX(CV84-BF85/BF$9*100,0)</f>
        <v>8.88178419700125E-015</v>
      </c>
      <c r="CW85" s="1" t="n">
        <f aca="false">MAX(CW84-BG85/BG$9*100,0)</f>
        <v>5.32907051820075E-015</v>
      </c>
      <c r="CX85" s="1" t="n">
        <f aca="false">CX$7*EXP(-$AM85/CX$8)</f>
        <v>7.07311458111398E-012</v>
      </c>
      <c r="CY85" s="1" t="n">
        <f aca="false">(CV85-CX85)^2</f>
        <v>4.99033850090375E-023</v>
      </c>
      <c r="CZ85" s="1" t="n">
        <f aca="false">$AM85</f>
        <v>74</v>
      </c>
      <c r="DA85" s="1" t="n">
        <f aca="false">MAX(DA84-BI85/BI$9*100,0)</f>
        <v>0</v>
      </c>
      <c r="DB85" s="1" t="n">
        <f aca="false">MAX(DB84-BJ85/BJ$9*100,0)</f>
        <v>9.88098491916389E-015</v>
      </c>
      <c r="DC85" s="1" t="n">
        <f aca="false">DC$7*EXP(-$AM85/DC$8)</f>
        <v>5.57029113489666E-022</v>
      </c>
      <c r="DD85" s="1" t="n">
        <f aca="false">(DA85-DC85)^2</f>
        <v>3.10281433275083E-043</v>
      </c>
      <c r="DE85" s="1" t="n">
        <f aca="false">MAX(DE84-BL85/BL$9*100,0)</f>
        <v>0</v>
      </c>
      <c r="DF85" s="1" t="n">
        <f aca="false">MAX(DF84-BM85/BM$9*100,0)</f>
        <v>0</v>
      </c>
      <c r="DG85" s="1" t="n">
        <f aca="false">DG$7*EXP(-$AM85/DG$8)</f>
        <v>1.11311268426746E-006</v>
      </c>
      <c r="DH85" s="1" t="n">
        <f aca="false">(DE85-DG85)^2</f>
        <v>1.23901984787711E-012</v>
      </c>
      <c r="DI85" s="1" t="n">
        <f aca="false">$AM85</f>
        <v>74</v>
      </c>
      <c r="DJ85" s="1" t="n">
        <f aca="false">MAX(DJ84-BO85/BO$9*100,0)</f>
        <v>0</v>
      </c>
      <c r="DK85" s="1" t="n">
        <f aca="false">MAX(DK84-BP85/BP$9*100,0)</f>
        <v>9.99200722162641E-015</v>
      </c>
      <c r="DL85" s="1" t="n">
        <f aca="false">DL$7*EXP(-$AM85/DL$8)</f>
        <v>2.88173908785678E-018</v>
      </c>
      <c r="DM85" s="1" t="n">
        <f aca="false">(DJ85-DL85)^2</f>
        <v>8.30442017048163E-036</v>
      </c>
      <c r="DN85" s="1" t="n">
        <f aca="false">MAX(DN84-BR85/BR$9*100,0)</f>
        <v>0</v>
      </c>
      <c r="DO85" s="1" t="n">
        <f aca="false">MAX(DO84-BS85/BS$9*100,0)</f>
        <v>0</v>
      </c>
      <c r="DP85" s="1" t="n">
        <f aca="false">DP$7*EXP(-$AM85/DP$8)</f>
        <v>9.597752765586E-008</v>
      </c>
      <c r="DQ85" s="1" t="n">
        <f aca="false">(DN85-DP85)^2</f>
        <v>9.21168581493137E-015</v>
      </c>
      <c r="DS85" s="1" t="n">
        <f aca="false">$AM85</f>
        <v>74</v>
      </c>
      <c r="DT85" s="1" t="n">
        <f aca="false">CA85</f>
        <v>0</v>
      </c>
      <c r="DU85" s="1" t="n">
        <f aca="false">DU$7*EXP(-DS85/DU$8)</f>
        <v>1.20349315399006E-031</v>
      </c>
      <c r="DV85" s="1" t="n">
        <f aca="false">(DT85-DU85)^2</f>
        <v>1.44839577170094E-062</v>
      </c>
      <c r="DX85" s="1" t="n">
        <f aca="false">$AM85</f>
        <v>74</v>
      </c>
      <c r="DY85" s="1" t="n">
        <f aca="false">CM85</f>
        <v>0</v>
      </c>
      <c r="DZ85" s="1" t="n">
        <f aca="false">DZ$7*EXP(-DX85/DZ$8)</f>
        <v>1.39225232447315E-016</v>
      </c>
      <c r="EA85" s="1" t="n">
        <f aca="false">(DY85-DZ85)^2</f>
        <v>1.93836653500089E-032</v>
      </c>
      <c r="EC85" s="1" t="n">
        <f aca="false">$AM85</f>
        <v>74</v>
      </c>
      <c r="ED85" s="1" t="n">
        <f aca="false">CV85</f>
        <v>8.88178419700125E-015</v>
      </c>
      <c r="EE85" s="1" t="n">
        <f aca="false">EE$7*EXP(-EC85/EE$8)</f>
        <v>1.31316163743833E-012</v>
      </c>
      <c r="EF85" s="1" t="n">
        <f aca="false">(ED85-EE85)^2</f>
        <v>1.70114593557122E-024</v>
      </c>
      <c r="EH85" s="1" t="n">
        <f aca="false">$AM85</f>
        <v>74</v>
      </c>
      <c r="EI85" s="1" t="n">
        <f aca="false">DE85</f>
        <v>0</v>
      </c>
      <c r="EJ85" s="1" t="n">
        <f aca="false">EJ$7*EXP(-EH85/EJ$8)</f>
        <v>1.10849395943647E-006</v>
      </c>
      <c r="EK85" s="1" t="n">
        <f aca="false">(EI85-EJ85)^2</f>
        <v>1.22875885810714E-012</v>
      </c>
      <c r="EM85" s="1" t="n">
        <f aca="false">AM85</f>
        <v>74</v>
      </c>
      <c r="EN85" s="1" t="n">
        <f aca="false">DN85</f>
        <v>0</v>
      </c>
      <c r="EO85" s="1" t="n">
        <f aca="false">EO$7*EXP(-EM85/EO$8)</f>
        <v>1.88064497723035E-007</v>
      </c>
      <c r="EP85" s="1" t="n">
        <f aca="false">(EN85-EO85)^2</f>
        <v>3.53682553038174E-014</v>
      </c>
      <c r="ER85" s="1" t="n">
        <f aca="false">$AM85</f>
        <v>74</v>
      </c>
      <c r="ES85" s="1" t="n">
        <f aca="false">BZ85</f>
        <v>0</v>
      </c>
      <c r="ET85" s="1" t="n">
        <f aca="false">ET$7*EXP(-ER85/ET$8)</f>
        <v>1.00733819897312E-036</v>
      </c>
      <c r="EU85" s="1" t="n">
        <f aca="false">(ES85-ET85)^2</f>
        <v>1.01473024711041E-072</v>
      </c>
      <c r="EW85" s="1" t="n">
        <f aca="false">$AM85</f>
        <v>74</v>
      </c>
      <c r="EX85" s="1" t="n">
        <f aca="false">CI85</f>
        <v>0</v>
      </c>
      <c r="EY85" s="1" t="n">
        <f aca="false">EY$7*EXP(-EW85/EY$8)</f>
        <v>1.18280053423627E-033</v>
      </c>
      <c r="EZ85" s="1" t="n">
        <f aca="false">(EX85-EY85)^2</f>
        <v>1.39901710378961E-066</v>
      </c>
      <c r="FB85" s="1" t="n">
        <f aca="false">$AM85</f>
        <v>74</v>
      </c>
      <c r="FC85" s="1" t="n">
        <f aca="false">CR85</f>
        <v>0</v>
      </c>
      <c r="FD85" s="1" t="n">
        <f aca="false">FD$7*EXP(-FB85/FD$8)</f>
        <v>4.39540980798988E-029</v>
      </c>
      <c r="FE85" s="1" t="n">
        <f aca="false">(FC85-FD85)^2</f>
        <v>1.93196273801736E-057</v>
      </c>
      <c r="FG85" s="1" t="n">
        <f aca="false">$AM85</f>
        <v>74</v>
      </c>
      <c r="FH85" s="1" t="n">
        <f aca="false">DA85</f>
        <v>0</v>
      </c>
      <c r="FI85" s="1" t="n">
        <f aca="false">FI$7*EXP(-FG85/FI$8)</f>
        <v>5.12099729967437E-025</v>
      </c>
      <c r="FJ85" s="1" t="n">
        <f aca="false">(FH85-FI85)^2</f>
        <v>2.62246133432722E-049</v>
      </c>
      <c r="FL85" s="1" t="n">
        <f aca="false">EM85</f>
        <v>74</v>
      </c>
      <c r="FM85" s="1" t="n">
        <f aca="false">DJ85</f>
        <v>0</v>
      </c>
      <c r="FN85" s="1" t="n">
        <f aca="false">FN$7*EXP(-FL85/FN$8)</f>
        <v>6.38637595044919E-020</v>
      </c>
      <c r="FO85" s="1" t="n">
        <f aca="false">(FM85-FN85)^2</f>
        <v>4.07857977804758E-039</v>
      </c>
      <c r="FQ85" s="1" t="n">
        <f aca="false">AM85</f>
        <v>74</v>
      </c>
      <c r="FR85" s="1" t="n">
        <f aca="false">AN85/AN$9*100</f>
        <v>0</v>
      </c>
      <c r="FS85" s="1" t="n">
        <f aca="false">AO85/AO$9*100</f>
        <v>0</v>
      </c>
      <c r="FT85" s="1" t="n">
        <f aca="false">AQ85/AQ$9*100</f>
        <v>0</v>
      </c>
      <c r="FU85" s="1" t="n">
        <f aca="false">AR85/AR$9*100</f>
        <v>0</v>
      </c>
      <c r="FV85" s="1" t="n">
        <f aca="false">AT85/AT$9*100</f>
        <v>0</v>
      </c>
      <c r="FW85" s="1" t="n">
        <f aca="false">AU85/AU$9*100</f>
        <v>0</v>
      </c>
      <c r="FX85" s="1" t="n">
        <f aca="false">AW85/AW$9*100</f>
        <v>0</v>
      </c>
      <c r="FY85" s="1" t="n">
        <f aca="false">AX85/AX$9*100</f>
        <v>0</v>
      </c>
      <c r="FZ85" s="1" t="n">
        <f aca="false">AZ85/AZ$9*100</f>
        <v>0</v>
      </c>
      <c r="GA85" s="1" t="n">
        <f aca="false">BA85/BA$9*100</f>
        <v>0</v>
      </c>
      <c r="GB85" s="1" t="n">
        <f aca="false">BC85/BC$9*100</f>
        <v>0</v>
      </c>
      <c r="GC85" s="1" t="n">
        <f aca="false">BD85/BD$9*100</f>
        <v>0</v>
      </c>
      <c r="GD85" s="1" t="n">
        <f aca="false">BF85/BF$9*100</f>
        <v>0</v>
      </c>
      <c r="GE85" s="1" t="n">
        <f aca="false">BG85/BG$9*100</f>
        <v>0</v>
      </c>
      <c r="GF85" s="1" t="n">
        <f aca="false">BI85/BI$9*100</f>
        <v>0</v>
      </c>
      <c r="GG85" s="1" t="n">
        <f aca="false">BJ85/BJ$9*100</f>
        <v>0</v>
      </c>
      <c r="GH85" s="1" t="n">
        <f aca="false">BL85/BL$9*100</f>
        <v>0</v>
      </c>
      <c r="GI85" s="1" t="n">
        <f aca="false">BM85/BM$9*100</f>
        <v>0</v>
      </c>
      <c r="GJ85" s="1" t="n">
        <f aca="false">BO85/BO$9*100</f>
        <v>0</v>
      </c>
      <c r="GK85" s="1" t="n">
        <f aca="false">BP85/BP$9*100</f>
        <v>0</v>
      </c>
      <c r="GL85" s="1" t="n">
        <f aca="false">BR85/BR$9*100</f>
        <v>0</v>
      </c>
      <c r="GM85" s="1" t="n">
        <f aca="false">BS85/BS$9*100</f>
        <v>0</v>
      </c>
      <c r="GO85" s="1" t="n">
        <f aca="false">$AM85</f>
        <v>74</v>
      </c>
      <c r="GP85" s="1" t="n">
        <f aca="false">FT85</f>
        <v>0</v>
      </c>
      <c r="GQ85" s="1" t="n">
        <f aca="false">GQ$6*(1+GQ$5*(-1)^$FQ85)*EXP(-$FQ85/GQ$4)</f>
        <v>9.23322695957953E-023</v>
      </c>
      <c r="GR85" s="1" t="n">
        <f aca="false">(GP85-GQ85)^2</f>
        <v>8.52524800871063E-045</v>
      </c>
      <c r="GS85" s="1" t="n">
        <f aca="false">EXP($FQ85/$JG$4)*GP85</f>
        <v>0</v>
      </c>
      <c r="GT85" s="1" t="n">
        <f aca="false">EXP($FQ85/$JG$4)*(-1)^$FQ85*GP85</f>
        <v>0</v>
      </c>
      <c r="GU85" s="1" t="n">
        <f aca="false">(-1)^GO85*GP85</f>
        <v>0</v>
      </c>
      <c r="GW85" s="1" t="n">
        <f aca="false">$AM85</f>
        <v>74</v>
      </c>
      <c r="GX85" s="1" t="n">
        <f aca="false">FX85</f>
        <v>0</v>
      </c>
      <c r="GY85" s="1" t="n">
        <f aca="false">GY$6*(1+GY$5*(-1)^$FQ85)*EXP(-$FQ85/GY$4)</f>
        <v>9.23322695957953E-023</v>
      </c>
      <c r="GZ85" s="1" t="n">
        <f aca="false">(GX85-GY85)^2</f>
        <v>8.52524800871063E-045</v>
      </c>
      <c r="HA85" s="1" t="n">
        <f aca="false">EXP($FQ85/$JG$4)*GX85</f>
        <v>0</v>
      </c>
      <c r="HB85" s="1" t="n">
        <f aca="false">EXP($FQ85/$JG$4)*(-1)^$FQ85*GX85</f>
        <v>0</v>
      </c>
      <c r="HC85" s="1" t="n">
        <f aca="false">(-1)^GW85*GX85</f>
        <v>0</v>
      </c>
      <c r="HE85" s="1" t="n">
        <f aca="false">$AM85</f>
        <v>74</v>
      </c>
      <c r="HF85" s="1" t="n">
        <f aca="false">GB85</f>
        <v>0</v>
      </c>
      <c r="HG85" s="1" t="n">
        <f aca="false">HG$6*(1+HG$5*(-1)^$FQ85)*EXP(-$FQ85/HG$4)</f>
        <v>9.23322695957953E-023</v>
      </c>
      <c r="HH85" s="1" t="n">
        <f aca="false">(HF85-HG85)^2</f>
        <v>8.52524800871063E-045</v>
      </c>
      <c r="HI85" s="1" t="n">
        <f aca="false">EXP($FQ85/$JG$4)*HF85</f>
        <v>0</v>
      </c>
      <c r="HJ85" s="1" t="n">
        <f aca="false">EXP($FQ85/$JG$4)*(-1)^$FQ85*HF85</f>
        <v>0</v>
      </c>
      <c r="HK85" s="1" t="n">
        <f aca="false">(-1)^HE85*HF85</f>
        <v>0</v>
      </c>
      <c r="HM85" s="1" t="n">
        <f aca="false">$AM85</f>
        <v>74</v>
      </c>
      <c r="HN85" s="1" t="n">
        <f aca="false">GF85</f>
        <v>0</v>
      </c>
      <c r="HO85" s="1" t="n">
        <f aca="false">HO$6*(1+HO$5*(-1)^$FQ85)*EXP(-$FQ85/HO$4)</f>
        <v>9.41589144607271E-018</v>
      </c>
      <c r="HP85" s="1" t="n">
        <f aca="false">(HN85-HO85)^2</f>
        <v>8.86590117242252E-035</v>
      </c>
      <c r="HQ85" s="1" t="n">
        <f aca="false">EXP($FQ85/$JG$4)*HN85</f>
        <v>0</v>
      </c>
      <c r="HR85" s="1" t="n">
        <f aca="false">EXP($FQ85/$JG$4)*(-1)^$FQ85*HN85</f>
        <v>0</v>
      </c>
      <c r="HS85" s="1" t="n">
        <f aca="false">(-1)^HM85*HN85</f>
        <v>0</v>
      </c>
      <c r="HU85" s="1" t="n">
        <f aca="false">$AM85</f>
        <v>74</v>
      </c>
      <c r="HV85" s="1" t="n">
        <f aca="false">GJ85</f>
        <v>0</v>
      </c>
      <c r="HW85" s="1" t="n">
        <f aca="false">HW$6*(1+HW$5*(-1)^$FQ85)*EXP(-$FQ85/HW$4)</f>
        <v>5.64143821498818E-013</v>
      </c>
      <c r="HX85" s="1" t="n">
        <f aca="false">(HV85-HW85)^2</f>
        <v>3.1825825133529E-025</v>
      </c>
      <c r="HY85" s="1" t="n">
        <f aca="false">EXP($FQ85/$JG$4)*HV85</f>
        <v>0</v>
      </c>
      <c r="HZ85" s="1" t="n">
        <f aca="false">EXP($FQ85/$JG$4)*(-1)^$FQ85*HV85</f>
        <v>0</v>
      </c>
      <c r="IA85" s="1" t="n">
        <f aca="false">(-1)^HU85*HV85</f>
        <v>0</v>
      </c>
      <c r="ID85" s="1" t="n">
        <f aca="false">$AM85</f>
        <v>74</v>
      </c>
      <c r="IE85" s="1" t="n">
        <f aca="false">FZ85</f>
        <v>0</v>
      </c>
      <c r="IF85" s="1" t="n">
        <f aca="false">IF$6*(1+IF$5*(-1)^$FQ85)*EXP(-$FQ85/IF$4)</f>
        <v>1.06862553298428E-009</v>
      </c>
      <c r="IG85" s="1" t="n">
        <f aca="false">(IE85-IF85)^2</f>
        <v>1.14196052974594E-018</v>
      </c>
      <c r="IH85" s="1" t="n">
        <f aca="false">EXP($FQ85/$JG$4)*IE85</f>
        <v>0</v>
      </c>
      <c r="II85" s="1" t="n">
        <f aca="false">EXP($FQ85/$JG$4)*(-1)^$FQ85*IE85</f>
        <v>0</v>
      </c>
      <c r="IJ85" s="1" t="n">
        <f aca="false">(-1)^ID85*IE85</f>
        <v>0</v>
      </c>
      <c r="IK85" s="1" t="n">
        <v>0</v>
      </c>
      <c r="IM85" s="1" t="n">
        <f aca="false">$AM85</f>
        <v>74</v>
      </c>
      <c r="IN85" s="1" t="n">
        <f aca="false">GD85</f>
        <v>0</v>
      </c>
      <c r="IO85" s="1" t="n">
        <f aca="false">IO$6*(1+IO$5*(-1)^$FQ85)*EXP(-$FQ85/IO$4)</f>
        <v>3.14315351907841E-008</v>
      </c>
      <c r="IP85" s="1" t="n">
        <f aca="false">(IN85-IO85)^2</f>
        <v>9.87941404449499E-016</v>
      </c>
      <c r="IQ85" s="1" t="n">
        <f aca="false">EXP($FQ85/$JG$4)*IN85</f>
        <v>0</v>
      </c>
      <c r="IR85" s="1" t="n">
        <f aca="false">EXP($FQ85/$JG$4)*(-1)^$FQ85*IN85</f>
        <v>0</v>
      </c>
      <c r="IS85" s="1" t="n">
        <f aca="false">(-1)^IM85*IN85</f>
        <v>0</v>
      </c>
      <c r="IT85" s="1" t="n">
        <v>0</v>
      </c>
      <c r="IV85" s="1" t="n">
        <f aca="false">$AM85</f>
        <v>74</v>
      </c>
      <c r="IW85" s="1" t="n">
        <f aca="false">GH85</f>
        <v>0</v>
      </c>
      <c r="IX85" s="1" t="n">
        <f aca="false">IX$6*(1+IX$5*(-1)^$FQ85)*EXP(-$FQ85/IX$4)</f>
        <v>2.35918209929E-005</v>
      </c>
      <c r="IY85" s="1" t="n">
        <f aca="false">(IW85-IX85)^2</f>
        <v>5.56574017761037E-010</v>
      </c>
      <c r="IZ85" s="1" t="n">
        <f aca="false">EXP($FQ85/$JG$4)*IW85</f>
        <v>0</v>
      </c>
      <c r="JA85" s="1" t="n">
        <f aca="false">EXP($FQ85/$JG$4)*(-1)^$FQ85*IW85</f>
        <v>0</v>
      </c>
      <c r="JB85" s="1" t="n">
        <f aca="false">(-1)^IV85*IW85</f>
        <v>0</v>
      </c>
      <c r="JE85" s="1" t="n">
        <f aca="false">$AM85</f>
        <v>74</v>
      </c>
      <c r="JF85" s="1" t="n">
        <f aca="false">GL85</f>
        <v>0</v>
      </c>
      <c r="JG85" s="1" t="n">
        <f aca="false">JG$6*(1+JG$5*(-1)^$FQ85)*EXP(-$FQ85/JG$4)</f>
        <v>1.54722508725428E-006</v>
      </c>
      <c r="JH85" s="1" t="n">
        <f aca="false">(JF85-JG85)^2</f>
        <v>2.39390547062901E-012</v>
      </c>
      <c r="JI85" s="1" t="n">
        <f aca="false">EXP($FQ85/$JG$4)*JF85</f>
        <v>0</v>
      </c>
      <c r="JJ85" s="1" t="n">
        <f aca="false">EXP($FQ85/$JG$4)*(-1)^$FQ85*JF85</f>
        <v>0</v>
      </c>
      <c r="JK85" s="1" t="n">
        <f aca="false">(-1)^JE85*JF85</f>
        <v>0</v>
      </c>
      <c r="JO85" s="1" t="n">
        <f aca="false">$AM85</f>
        <v>74</v>
      </c>
      <c r="JP85" s="1" t="n">
        <f aca="false">GM85</f>
        <v>0</v>
      </c>
      <c r="JQ85" s="1" t="n">
        <f aca="false">JQ$6*(1+JQ$5*(-1)^$FQ85)*EXP(-$FQ85/JQ$4)</f>
        <v>0.0386218868130942</v>
      </c>
      <c r="JR85" s="1" t="n">
        <f aca="false">(JP85-JQ85)^2</f>
        <v>0.00149165014100346</v>
      </c>
      <c r="JS85" s="1" t="n">
        <f aca="false">EXP($FQ85/$JG$4)*JP85</f>
        <v>0</v>
      </c>
      <c r="JT85" s="1" t="n">
        <f aca="false">EXP($FQ85/$JG$4)*(-1)^$FQ85*JP85</f>
        <v>0</v>
      </c>
      <c r="JU85" s="1" t="n">
        <f aca="false">(-1)^JO85*JP85</f>
        <v>0</v>
      </c>
    </row>
    <row r="86" customFormat="false" ht="16" hidden="false" customHeight="false" outlineLevel="0" collapsed="false">
      <c r="A86" s="1" t="n">
        <v>1</v>
      </c>
      <c r="B86" s="1" t="n">
        <v>1</v>
      </c>
      <c r="C86" s="1" t="n">
        <f aca="false">B86-A86</f>
        <v>0</v>
      </c>
      <c r="D86" s="1" t="n">
        <v>3</v>
      </c>
      <c r="E86" s="1" t="n">
        <v>3</v>
      </c>
      <c r="F86" s="1" t="n">
        <f aca="false">E86-D86</f>
        <v>0</v>
      </c>
      <c r="G86" s="1" t="n">
        <v>2</v>
      </c>
      <c r="H86" s="1" t="n">
        <v>2</v>
      </c>
      <c r="I86" s="1" t="n">
        <f aca="false">H86-G86</f>
        <v>0</v>
      </c>
      <c r="J86" s="1" t="n">
        <v>1</v>
      </c>
      <c r="K86" s="1" t="n">
        <v>1</v>
      </c>
      <c r="L86" s="1" t="n">
        <f aca="false">K86-J86</f>
        <v>0</v>
      </c>
      <c r="M86" s="1" t="n">
        <v>3</v>
      </c>
      <c r="N86" s="1" t="n">
        <v>3</v>
      </c>
      <c r="O86" s="1" t="n">
        <f aca="false">N86-M86</f>
        <v>0</v>
      </c>
      <c r="P86" s="1" t="n">
        <v>1</v>
      </c>
      <c r="Q86" s="1" t="n">
        <v>3</v>
      </c>
      <c r="R86" s="1" t="n">
        <f aca="false">Q86-P86</f>
        <v>2</v>
      </c>
      <c r="S86" s="1" t="n">
        <v>5</v>
      </c>
      <c r="T86" s="1" t="n">
        <v>5</v>
      </c>
      <c r="U86" s="1" t="n">
        <f aca="false">T86-S86</f>
        <v>0</v>
      </c>
      <c r="V86" s="1" t="n">
        <v>1</v>
      </c>
      <c r="W86" s="1" t="n">
        <v>4</v>
      </c>
      <c r="X86" s="1" t="n">
        <f aca="false">W86-V86</f>
        <v>3</v>
      </c>
      <c r="Y86" s="1" t="n">
        <v>2</v>
      </c>
      <c r="Z86" s="1" t="n">
        <v>6</v>
      </c>
      <c r="AA86" s="1" t="n">
        <f aca="false">Z86-Y86</f>
        <v>4</v>
      </c>
      <c r="AB86" s="1" t="n">
        <v>2</v>
      </c>
      <c r="AC86" s="1" t="n">
        <v>2</v>
      </c>
      <c r="AD86" s="1" t="n">
        <f aca="false">AC86-AB86</f>
        <v>0</v>
      </c>
      <c r="AE86" s="1" t="n">
        <v>4</v>
      </c>
      <c r="AF86" s="1" t="n">
        <v>14</v>
      </c>
      <c r="AG86" s="1" t="n">
        <f aca="false">AF86-AE86</f>
        <v>10</v>
      </c>
      <c r="AM86" s="1" t="n">
        <v>75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W86" s="1" t="n">
        <f aca="false">$AM86</f>
        <v>75</v>
      </c>
      <c r="BX86" s="1" t="n">
        <f aca="false">MAX(BX85-AN86/AN$9*100,0)</f>
        <v>0</v>
      </c>
      <c r="BY86" s="1" t="n">
        <f aca="false">MAX(BY85-AO86/AO$9*100,0)</f>
        <v>0</v>
      </c>
      <c r="BZ86" s="1" t="n">
        <f aca="false">MAX(BZ85-AQ86/AQ$9*100,0)</f>
        <v>0</v>
      </c>
      <c r="CA86" s="1" t="n">
        <f aca="false">MAX(CA85-AR86/AR$9*100,0)</f>
        <v>0</v>
      </c>
      <c r="CB86" s="1" t="n">
        <f aca="false">CB$7*EXP(-$AM86/CB$8)</f>
        <v>1.0440846506059E-040</v>
      </c>
      <c r="CC86" s="1" t="n">
        <f aca="false">(BZ86-CB86)^2</f>
        <v>1.09011275763084E-080</v>
      </c>
      <c r="CD86" s="1" t="n">
        <f aca="false">MAX(CD85-AT86/AT$9*100,0)</f>
        <v>0</v>
      </c>
      <c r="CE86" s="1" t="n">
        <f aca="false">MAX(CE85-AU86/AU$9*100,0)</f>
        <v>5.32907051820075E-015</v>
      </c>
      <c r="CF86" s="1" t="n">
        <f aca="false">CF$7*EXP(-$AM86/CF$8)</f>
        <v>1.22929891364587E-039</v>
      </c>
      <c r="CG86" s="1" t="n">
        <f aca="false">(CD86-CF86)^2</f>
        <v>1.51117581909092E-078</v>
      </c>
      <c r="CH86" s="1" t="n">
        <f aca="false">$AM86</f>
        <v>75</v>
      </c>
      <c r="CI86" s="1" t="n">
        <f aca="false">MAX(CI85-AW86/AW$9*100,0)</f>
        <v>0</v>
      </c>
      <c r="CJ86" s="1" t="n">
        <f aca="false">MAX(CJ85-AX86/AX$9*100,0)</f>
        <v>0</v>
      </c>
      <c r="CK86" s="1" t="n">
        <f aca="false">CK$7*EXP(-$AM86/CK$8)</f>
        <v>2.57649994019178E-026</v>
      </c>
      <c r="CL86" s="1" t="n">
        <f aca="false">(CI86-CK86)^2</f>
        <v>6.63835194180825E-052</v>
      </c>
      <c r="CM86" s="1" t="n">
        <f aca="false">MAX(CM85-AZ86/AZ$9*100,0)</f>
        <v>0</v>
      </c>
      <c r="CN86" s="1" t="n">
        <f aca="false">MAX(CN85-BA86/BA$9*100,0)</f>
        <v>5.32907051820075E-015</v>
      </c>
      <c r="CO86" s="1" t="n">
        <f aca="false">CO$7*EXP(-$AM86/CO$8)</f>
        <v>2.91202327312212E-014</v>
      </c>
      <c r="CP86" s="1" t="n">
        <f aca="false">(CM86-CO86)^2</f>
        <v>8.47987954320487E-028</v>
      </c>
      <c r="CQ86" s="1" t="n">
        <f aca="false">$AM86</f>
        <v>75</v>
      </c>
      <c r="CR86" s="1" t="n">
        <f aca="false">MAX(CR85-BC86/BC$9*100,0)</f>
        <v>0</v>
      </c>
      <c r="CS86" s="1" t="n">
        <f aca="false">MAX(CS85-BD86/BD$9*100,0)</f>
        <v>0</v>
      </c>
      <c r="CT86" s="1" t="n">
        <f aca="false">CT$7*EXP(-$AM86/CT$8)</f>
        <v>3.31135247416211E-024</v>
      </c>
      <c r="CU86" s="1" t="n">
        <f aca="false">(CR86-CT86)^2</f>
        <v>1.09650552081395E-047</v>
      </c>
      <c r="CV86" s="1" t="n">
        <f aca="false">MAX(CV85-BF86/BF$9*100,0)</f>
        <v>8.88178419700125E-015</v>
      </c>
      <c r="CW86" s="1" t="n">
        <f aca="false">MAX(CW85-BG86/BG$9*100,0)</f>
        <v>5.32907051820075E-015</v>
      </c>
      <c r="CX86" s="1" t="n">
        <f aca="false">CX$7*EXP(-$AM86/CX$8)</f>
        <v>4.67896895649418E-012</v>
      </c>
      <c r="CY86" s="1" t="n">
        <f aca="false">(CV86-CX86)^2</f>
        <v>2.18097141968547E-023</v>
      </c>
      <c r="CZ86" s="1" t="n">
        <f aca="false">$AM86</f>
        <v>75</v>
      </c>
      <c r="DA86" s="1" t="n">
        <f aca="false">MAX(DA85-BI86/BI$9*100,0)</f>
        <v>0</v>
      </c>
      <c r="DB86" s="1" t="n">
        <f aca="false">MAX(DB85-BJ86/BJ$9*100,0)</f>
        <v>9.88098491916389E-015</v>
      </c>
      <c r="DC86" s="1" t="n">
        <f aca="false">DC$7*EXP(-$AM86/DC$8)</f>
        <v>2.68456932214015E-022</v>
      </c>
      <c r="DD86" s="1" t="n">
        <f aca="false">(DA86-DC86)^2</f>
        <v>7.20691244537603E-044</v>
      </c>
      <c r="DE86" s="1" t="n">
        <f aca="false">MAX(DE85-BL86/BL$9*100,0)</f>
        <v>0</v>
      </c>
      <c r="DF86" s="1" t="n">
        <f aca="false">MAX(DF85-BM86/BM$9*100,0)</f>
        <v>0</v>
      </c>
      <c r="DG86" s="1" t="n">
        <f aca="false">DG$7*EXP(-$AM86/DG$8)</f>
        <v>8.66893030154209E-007</v>
      </c>
      <c r="DH86" s="1" t="n">
        <f aca="false">(DE86-DG86)^2</f>
        <v>7.51503525729946E-013</v>
      </c>
      <c r="DI86" s="1" t="n">
        <f aca="false">$AM86</f>
        <v>75</v>
      </c>
      <c r="DJ86" s="1" t="n">
        <f aca="false">MAX(DJ85-BO86/BO$9*100,0)</f>
        <v>0</v>
      </c>
      <c r="DK86" s="1" t="n">
        <f aca="false">MAX(DK85-BP86/BP$9*100,0)</f>
        <v>9.99200722162641E-015</v>
      </c>
      <c r="DL86" s="1" t="n">
        <f aca="false">DL$7*EXP(-$AM86/DL$8)</f>
        <v>1.56032951939797E-018</v>
      </c>
      <c r="DM86" s="1" t="n">
        <f aca="false">(DJ86-DL86)^2</f>
        <v>2.4346282091047E-036</v>
      </c>
      <c r="DN86" s="1" t="n">
        <f aca="false">MAX(DN85-BR86/BR$9*100,0)</f>
        <v>0</v>
      </c>
      <c r="DO86" s="1" t="n">
        <f aca="false">MAX(DO85-BS86/BS$9*100,0)</f>
        <v>0</v>
      </c>
      <c r="DP86" s="1" t="n">
        <f aca="false">DP$7*EXP(-$AM86/DP$8)</f>
        <v>7.23002768373891E-008</v>
      </c>
      <c r="DQ86" s="1" t="n">
        <f aca="false">(DN86-DP86)^2</f>
        <v>5.2273300307631E-015</v>
      </c>
      <c r="DS86" s="1" t="n">
        <f aca="false">$AM86</f>
        <v>75</v>
      </c>
      <c r="DT86" s="1" t="n">
        <f aca="false">CA86</f>
        <v>0</v>
      </c>
      <c r="DU86" s="1" t="n">
        <f aca="false">DU$7*EXP(-DS86/DU$8)</f>
        <v>4.29256968484217E-032</v>
      </c>
      <c r="DV86" s="1" t="n">
        <f aca="false">(DT86-DU86)^2</f>
        <v>1.8426154499226E-063</v>
      </c>
      <c r="DX86" s="1" t="n">
        <f aca="false">$AM86</f>
        <v>75</v>
      </c>
      <c r="DY86" s="1" t="n">
        <f aca="false">CM86</f>
        <v>0</v>
      </c>
      <c r="DZ86" s="1" t="n">
        <f aca="false">DZ$7*EXP(-DX86/DZ$8)</f>
        <v>7.93838737504614E-017</v>
      </c>
      <c r="EA86" s="1" t="n">
        <f aca="false">(DY86-DZ86)^2</f>
        <v>6.30179941162919E-033</v>
      </c>
      <c r="EC86" s="1" t="n">
        <f aca="false">$AM86</f>
        <v>75</v>
      </c>
      <c r="ED86" s="1" t="n">
        <f aca="false">CV86</f>
        <v>8.88178419700125E-015</v>
      </c>
      <c r="EE86" s="1" t="n">
        <f aca="false">EE$7*EXP(-EC86/EE$8)</f>
        <v>8.48535353303082E-013</v>
      </c>
      <c r="EF86" s="1" t="n">
        <f aca="false">(ED86-EE86)^2</f>
        <v>7.0501811611258E-025</v>
      </c>
      <c r="EH86" s="1" t="n">
        <f aca="false">$AM86</f>
        <v>75</v>
      </c>
      <c r="EI86" s="1" t="n">
        <f aca="false">DE86</f>
        <v>0</v>
      </c>
      <c r="EJ86" s="1" t="n">
        <f aca="false">EJ$7*EXP(-EH86/EJ$8)</f>
        <v>8.63295963639046E-007</v>
      </c>
      <c r="EK86" s="1" t="n">
        <f aca="false">(EI86-EJ86)^2</f>
        <v>7.45279920835469E-013</v>
      </c>
      <c r="EM86" s="1" t="n">
        <f aca="false">AM86</f>
        <v>75</v>
      </c>
      <c r="EN86" s="1" t="n">
        <f aca="false">DN86</f>
        <v>0</v>
      </c>
      <c r="EO86" s="1" t="n">
        <f aca="false">EO$7*EXP(-EM86/EO$8)</f>
        <v>1.42995387464832E-007</v>
      </c>
      <c r="EP86" s="1" t="n">
        <f aca="false">(EN86-EO86)^2</f>
        <v>2.04476808362174E-014</v>
      </c>
      <c r="ER86" s="1" t="n">
        <f aca="false">$AM86</f>
        <v>75</v>
      </c>
      <c r="ES86" s="1" t="n">
        <f aca="false">BZ86</f>
        <v>0</v>
      </c>
      <c r="ET86" s="1" t="n">
        <f aca="false">ET$7*EXP(-ER86/ET$8)</f>
        <v>3.06307804640639E-037</v>
      </c>
      <c r="EU86" s="1" t="n">
        <f aca="false">(ES86-ET86)^2</f>
        <v>9.38244711837679E-074</v>
      </c>
      <c r="EW86" s="1" t="n">
        <f aca="false">$AM86</f>
        <v>75</v>
      </c>
      <c r="EX86" s="1" t="n">
        <f aca="false">CI86</f>
        <v>0</v>
      </c>
      <c r="EY86" s="1" t="n">
        <f aca="false">EY$7*EXP(-EW86/EY$8)</f>
        <v>3.94152992887715E-034</v>
      </c>
      <c r="EZ86" s="1" t="n">
        <f aca="false">(EX86-EY86)^2</f>
        <v>1.55356581802343E-067</v>
      </c>
      <c r="FB86" s="1" t="n">
        <f aca="false">$AM86</f>
        <v>75</v>
      </c>
      <c r="FC86" s="1" t="n">
        <f aca="false">CR86</f>
        <v>0</v>
      </c>
      <c r="FD86" s="1" t="n">
        <f aca="false">FD$7*EXP(-FB86/FD$8)</f>
        <v>1.69584275616819E-029</v>
      </c>
      <c r="FE86" s="1" t="n">
        <f aca="false">(FC86-FD86)^2</f>
        <v>2.87588265364812E-058</v>
      </c>
      <c r="FG86" s="1" t="n">
        <f aca="false">$AM86</f>
        <v>75</v>
      </c>
      <c r="FH86" s="1" t="n">
        <f aca="false">DA86</f>
        <v>0</v>
      </c>
      <c r="FI86" s="1" t="n">
        <f aca="false">FI$7*EXP(-FG86/FI$8)</f>
        <v>2.24095681492393E-025</v>
      </c>
      <c r="FJ86" s="1" t="n">
        <f aca="false">(FH86-FI86)^2</f>
        <v>5.02188744635401E-050</v>
      </c>
      <c r="FL86" s="1" t="n">
        <f aca="false">EM86</f>
        <v>75</v>
      </c>
      <c r="FM86" s="1" t="n">
        <f aca="false">DJ86</f>
        <v>0</v>
      </c>
      <c r="FN86" s="1" t="n">
        <f aca="false">FN$7*EXP(-FL86/FN$8)</f>
        <v>3.27887474153866E-020</v>
      </c>
      <c r="FO86" s="1" t="n">
        <f aca="false">(FM86-FN86)^2</f>
        <v>1.07510195707002E-039</v>
      </c>
      <c r="FQ86" s="1" t="n">
        <f aca="false">AM86</f>
        <v>75</v>
      </c>
      <c r="FR86" s="1" t="n">
        <f aca="false">AN86/AN$9*100</f>
        <v>0</v>
      </c>
      <c r="FS86" s="1" t="n">
        <f aca="false">AO86/AO$9*100</f>
        <v>0</v>
      </c>
      <c r="FT86" s="1" t="n">
        <f aca="false">AQ86/AQ$9*100</f>
        <v>0</v>
      </c>
      <c r="FU86" s="1" t="n">
        <f aca="false">AR86/AR$9*100</f>
        <v>0</v>
      </c>
      <c r="FV86" s="1" t="n">
        <f aca="false">AT86/AT$9*100</f>
        <v>0</v>
      </c>
      <c r="FW86" s="1" t="n">
        <f aca="false">AU86/AU$9*100</f>
        <v>0</v>
      </c>
      <c r="FX86" s="1" t="n">
        <f aca="false">AW86/AW$9*100</f>
        <v>0</v>
      </c>
      <c r="FY86" s="1" t="n">
        <f aca="false">AX86/AX$9*100</f>
        <v>0</v>
      </c>
      <c r="FZ86" s="1" t="n">
        <f aca="false">AZ86/AZ$9*100</f>
        <v>0</v>
      </c>
      <c r="GA86" s="1" t="n">
        <f aca="false">BA86/BA$9*100</f>
        <v>0</v>
      </c>
      <c r="GB86" s="1" t="n">
        <f aca="false">BC86/BC$9*100</f>
        <v>0</v>
      </c>
      <c r="GC86" s="1" t="n">
        <f aca="false">BD86/BD$9*100</f>
        <v>0</v>
      </c>
      <c r="GD86" s="1" t="n">
        <f aca="false">BF86/BF$9*100</f>
        <v>0</v>
      </c>
      <c r="GE86" s="1" t="n">
        <f aca="false">BG86/BG$9*100</f>
        <v>0</v>
      </c>
      <c r="GF86" s="1" t="n">
        <f aca="false">BI86/BI$9*100</f>
        <v>0</v>
      </c>
      <c r="GG86" s="1" t="n">
        <f aca="false">BJ86/BJ$9*100</f>
        <v>0</v>
      </c>
      <c r="GH86" s="1" t="n">
        <f aca="false">BL86/BL$9*100</f>
        <v>0</v>
      </c>
      <c r="GI86" s="1" t="n">
        <f aca="false">BM86/BM$9*100</f>
        <v>0</v>
      </c>
      <c r="GJ86" s="1" t="n">
        <f aca="false">BO86/BO$9*100</f>
        <v>0</v>
      </c>
      <c r="GK86" s="1" t="n">
        <f aca="false">BP86/BP$9*100</f>
        <v>0</v>
      </c>
      <c r="GL86" s="1" t="n">
        <f aca="false">BR86/BR$9*100</f>
        <v>0</v>
      </c>
      <c r="GM86" s="1" t="n">
        <f aca="false">BS86/BS$9*100</f>
        <v>0</v>
      </c>
      <c r="GO86" s="1" t="n">
        <f aca="false">$AM86</f>
        <v>75</v>
      </c>
      <c r="GP86" s="1" t="n">
        <f aca="false">FT86</f>
        <v>0</v>
      </c>
      <c r="GQ86" s="1" t="n">
        <f aca="false">GQ$6*(1+GQ$5*(-1)^$FQ86)*EXP(-$FQ86/GQ$4)</f>
        <v>1.48158457385223E-023</v>
      </c>
      <c r="GR86" s="1" t="n">
        <f aca="false">(GP86-GQ86)^2</f>
        <v>2.19509284947689E-046</v>
      </c>
      <c r="GS86" s="1" t="n">
        <f aca="false">EXP($FQ86/$JG$4)*GP86</f>
        <v>0</v>
      </c>
      <c r="GT86" s="1" t="n">
        <f aca="false">EXP($FQ86/$JG$4)*(-1)^$FQ86*GP86</f>
        <v>-0</v>
      </c>
      <c r="GU86" s="1" t="n">
        <f aca="false">(-1)^GO86*GP86</f>
        <v>-0</v>
      </c>
      <c r="GW86" s="1" t="n">
        <f aca="false">$AM86</f>
        <v>75</v>
      </c>
      <c r="GX86" s="1" t="n">
        <f aca="false">FX86</f>
        <v>0</v>
      </c>
      <c r="GY86" s="1" t="n">
        <f aca="false">GY$6*(1+GY$5*(-1)^$FQ86)*EXP(-$FQ86/GY$4)</f>
        <v>1.48158457385223E-023</v>
      </c>
      <c r="GZ86" s="1" t="n">
        <f aca="false">(GX86-GY86)^2</f>
        <v>2.19509284947689E-046</v>
      </c>
      <c r="HA86" s="1" t="n">
        <f aca="false">EXP($FQ86/$JG$4)*GX86</f>
        <v>0</v>
      </c>
      <c r="HB86" s="1" t="n">
        <f aca="false">EXP($FQ86/$JG$4)*(-1)^$FQ86*GX86</f>
        <v>-0</v>
      </c>
      <c r="HC86" s="1" t="n">
        <f aca="false">(-1)^GW86*GX86</f>
        <v>-0</v>
      </c>
      <c r="HE86" s="1" t="n">
        <f aca="false">$AM86</f>
        <v>75</v>
      </c>
      <c r="HF86" s="1" t="n">
        <f aca="false">GB86</f>
        <v>0</v>
      </c>
      <c r="HG86" s="1" t="n">
        <f aca="false">HG$6*(1+HG$5*(-1)^$FQ86)*EXP(-$FQ86/HG$4)</f>
        <v>1.48158457385223E-023</v>
      </c>
      <c r="HH86" s="1" t="n">
        <f aca="false">(HF86-HG86)^2</f>
        <v>2.19509284947689E-046</v>
      </c>
      <c r="HI86" s="1" t="n">
        <f aca="false">EXP($FQ86/$JG$4)*HF86</f>
        <v>0</v>
      </c>
      <c r="HJ86" s="1" t="n">
        <f aca="false">EXP($FQ86/$JG$4)*(-1)^$FQ86*HF86</f>
        <v>-0</v>
      </c>
      <c r="HK86" s="1" t="n">
        <f aca="false">(-1)^HE86*HF86</f>
        <v>-0</v>
      </c>
      <c r="HM86" s="1" t="n">
        <f aca="false">$AM86</f>
        <v>75</v>
      </c>
      <c r="HN86" s="1" t="n">
        <f aca="false">GF86</f>
        <v>0</v>
      </c>
      <c r="HO86" s="1" t="n">
        <f aca="false">HO$6*(1+HO$5*(-1)^$FQ86)*EXP(-$FQ86/HO$4)</f>
        <v>1.13569972258431E-018</v>
      </c>
      <c r="HP86" s="1" t="n">
        <f aca="false">(HN86-HO86)^2</f>
        <v>1.28981385987808E-036</v>
      </c>
      <c r="HQ86" s="1" t="n">
        <f aca="false">EXP($FQ86/$JG$4)*HN86</f>
        <v>0</v>
      </c>
      <c r="HR86" s="1" t="n">
        <f aca="false">EXP($FQ86/$JG$4)*(-1)^$FQ86*HN86</f>
        <v>-0</v>
      </c>
      <c r="HS86" s="1" t="n">
        <f aca="false">(-1)^HM86*HN86</f>
        <v>-0</v>
      </c>
      <c r="HU86" s="1" t="n">
        <f aca="false">$AM86</f>
        <v>75</v>
      </c>
      <c r="HV86" s="1" t="n">
        <f aca="false">GJ86</f>
        <v>0</v>
      </c>
      <c r="HW86" s="1" t="n">
        <f aca="false">HW$6*(1+HW$5*(-1)^$FQ86)*EXP(-$FQ86/HW$4)</f>
        <v>1.20809999195661E-013</v>
      </c>
      <c r="HX86" s="1" t="n">
        <f aca="false">(HV86-HW86)^2</f>
        <v>1.45950559056556E-026</v>
      </c>
      <c r="HY86" s="1" t="n">
        <f aca="false">EXP($FQ86/$JG$4)*HV86</f>
        <v>0</v>
      </c>
      <c r="HZ86" s="1" t="n">
        <f aca="false">EXP($FQ86/$JG$4)*(-1)^$FQ86*HV86</f>
        <v>-0</v>
      </c>
      <c r="IA86" s="1" t="n">
        <f aca="false">(-1)^HU86*HV86</f>
        <v>-0</v>
      </c>
      <c r="ID86" s="1" t="n">
        <f aca="false">$AM86</f>
        <v>75</v>
      </c>
      <c r="IE86" s="1" t="n">
        <f aca="false">FZ86</f>
        <v>0</v>
      </c>
      <c r="IF86" s="1" t="n">
        <f aca="false">IF$6*(1+IF$5*(-1)^$FQ86)*EXP(-$FQ86/IF$4)</f>
        <v>3.94453397340947E-010</v>
      </c>
      <c r="IG86" s="1" t="n">
        <f aca="false">(IE86-IF86)^2</f>
        <v>1.55593482673815E-019</v>
      </c>
      <c r="IH86" s="1" t="n">
        <f aca="false">EXP($FQ86/$JG$4)*IE86</f>
        <v>0</v>
      </c>
      <c r="II86" s="1" t="n">
        <f aca="false">EXP($FQ86/$JG$4)*(-1)^$FQ86*IE86</f>
        <v>-0</v>
      </c>
      <c r="IJ86" s="1" t="n">
        <f aca="false">(-1)^ID86*IE86</f>
        <v>-0</v>
      </c>
      <c r="IK86" s="1" t="n">
        <v>0</v>
      </c>
      <c r="IM86" s="1" t="n">
        <f aca="false">$AM86</f>
        <v>75</v>
      </c>
      <c r="IN86" s="1" t="n">
        <f aca="false">GD86</f>
        <v>0</v>
      </c>
      <c r="IO86" s="1" t="n">
        <f aca="false">IO$6*(1+IO$5*(-1)^$FQ86)*EXP(-$FQ86/IO$4)</f>
        <v>1.0861790904302E-008</v>
      </c>
      <c r="IP86" s="1" t="n">
        <f aca="false">(IN86-IO86)^2</f>
        <v>1.17978501648778E-016</v>
      </c>
      <c r="IQ86" s="1" t="n">
        <f aca="false">EXP($FQ86/$JG$4)*IN86</f>
        <v>0</v>
      </c>
      <c r="IR86" s="1" t="n">
        <f aca="false">EXP($FQ86/$JG$4)*(-1)^$FQ86*IN86</f>
        <v>-0</v>
      </c>
      <c r="IS86" s="1" t="n">
        <f aca="false">(-1)^IM86*IN86</f>
        <v>-0</v>
      </c>
      <c r="IV86" s="1" t="n">
        <f aca="false">$AM86</f>
        <v>75</v>
      </c>
      <c r="IW86" s="1" t="n">
        <f aca="false">GH86</f>
        <v>0</v>
      </c>
      <c r="IX86" s="1" t="n">
        <f aca="false">IX$6*(1+IX$5*(-1)^$FQ86)*EXP(-$FQ86/IX$4)</f>
        <v>5.01914829039811E-006</v>
      </c>
      <c r="IY86" s="1" t="n">
        <f aca="false">(IW86-IX86)^2</f>
        <v>2.51918495610063E-011</v>
      </c>
      <c r="IZ86" s="1" t="n">
        <f aca="false">EXP($FQ86/$JG$4)*IW86</f>
        <v>0</v>
      </c>
      <c r="JA86" s="1" t="n">
        <f aca="false">EXP($FQ86/$JG$4)*(-1)^$FQ86*IW86</f>
        <v>-0</v>
      </c>
      <c r="JB86" s="1" t="n">
        <f aca="false">(-1)^IV86*IW86</f>
        <v>-0</v>
      </c>
      <c r="JE86" s="1" t="n">
        <f aca="false">$AM86</f>
        <v>75</v>
      </c>
      <c r="JF86" s="1" t="n">
        <f aca="false">GL86</f>
        <v>0</v>
      </c>
      <c r="JG86" s="1" t="n">
        <f aca="false">JG$6*(1+JG$5*(-1)^$FQ86)*EXP(-$FQ86/JG$4)</f>
        <v>1.87080800726251E-007</v>
      </c>
      <c r="JH86" s="1" t="n">
        <f aca="false">(JF86-JG86)^2</f>
        <v>3.49992260003752E-014</v>
      </c>
      <c r="JI86" s="1" t="n">
        <f aca="false">EXP($FQ86/$JG$4)*JF86</f>
        <v>0</v>
      </c>
      <c r="JJ86" s="1" t="n">
        <f aca="false">EXP($FQ86/$JG$4)*(-1)^$FQ86*JF86</f>
        <v>-0</v>
      </c>
      <c r="JK86" s="1" t="n">
        <f aca="false">(-1)^JE86*JF86</f>
        <v>-0</v>
      </c>
      <c r="JO86" s="1" t="n">
        <f aca="false">$AM86</f>
        <v>75</v>
      </c>
      <c r="JP86" s="1" t="n">
        <f aca="false">GM86</f>
        <v>0</v>
      </c>
      <c r="JQ86" s="1" t="n">
        <f aca="false">JQ$6*(1+JQ$5*(-1)^$FQ86)*EXP(-$FQ86/JQ$4)</f>
        <v>0.00679095143723081</v>
      </c>
      <c r="JR86" s="1" t="n">
        <f aca="false">(JP86-JQ86)^2</f>
        <v>4.61170214228272E-005</v>
      </c>
      <c r="JS86" s="1" t="n">
        <f aca="false">EXP($FQ86/$JG$4)*JP86</f>
        <v>0</v>
      </c>
      <c r="JT86" s="1" t="n">
        <f aca="false">EXP($FQ86/$JG$4)*(-1)^$FQ86*JP86</f>
        <v>-0</v>
      </c>
      <c r="JU86" s="1" t="n">
        <f aca="false">(-1)^JO86*JP86</f>
        <v>-0</v>
      </c>
    </row>
    <row r="87" customFormat="false" ht="16" hidden="false" customHeight="false" outlineLevel="0" collapsed="false">
      <c r="A87" s="1" t="n">
        <v>2</v>
      </c>
      <c r="B87" s="1" t="n">
        <v>2</v>
      </c>
      <c r="C87" s="1" t="n">
        <f aca="false">B87-A87</f>
        <v>0</v>
      </c>
      <c r="D87" s="1" t="n">
        <v>2</v>
      </c>
      <c r="E87" s="1" t="n">
        <v>2</v>
      </c>
      <c r="F87" s="1" t="n">
        <f aca="false">E87-D87</f>
        <v>0</v>
      </c>
      <c r="G87" s="1" t="n">
        <v>1</v>
      </c>
      <c r="H87" s="1" t="n">
        <v>1</v>
      </c>
      <c r="I87" s="1" t="n">
        <f aca="false">H87-G87</f>
        <v>0</v>
      </c>
      <c r="J87" s="1" t="n">
        <v>2</v>
      </c>
      <c r="K87" s="1" t="n">
        <v>2</v>
      </c>
      <c r="L87" s="1" t="n">
        <f aca="false">K87-J87</f>
        <v>0</v>
      </c>
      <c r="M87" s="1" t="n">
        <v>1</v>
      </c>
      <c r="N87" s="1" t="n">
        <v>3</v>
      </c>
      <c r="O87" s="1" t="n">
        <f aca="false">N87-M87</f>
        <v>2</v>
      </c>
      <c r="P87" s="1" t="n">
        <v>1</v>
      </c>
      <c r="Q87" s="1" t="n">
        <v>1</v>
      </c>
      <c r="R87" s="1" t="n">
        <f aca="false">Q87-P87</f>
        <v>0</v>
      </c>
      <c r="S87" s="1" t="n">
        <v>4</v>
      </c>
      <c r="T87" s="1" t="n">
        <v>4</v>
      </c>
      <c r="U87" s="1" t="n">
        <f aca="false">T87-S87</f>
        <v>0</v>
      </c>
      <c r="V87" s="1" t="n">
        <v>2</v>
      </c>
      <c r="W87" s="1" t="n">
        <v>3</v>
      </c>
      <c r="X87" s="1" t="n">
        <f aca="false">W87-V87</f>
        <v>1</v>
      </c>
      <c r="Y87" s="1" t="n">
        <v>2</v>
      </c>
      <c r="Z87" s="1" t="n">
        <v>6</v>
      </c>
      <c r="AA87" s="1" t="n">
        <f aca="false">Z87-Y87</f>
        <v>4</v>
      </c>
      <c r="AB87" s="1" t="n">
        <v>2</v>
      </c>
      <c r="AC87" s="1" t="n">
        <v>3</v>
      </c>
      <c r="AD87" s="1" t="n">
        <f aca="false">AC87-AB87</f>
        <v>1</v>
      </c>
      <c r="AE87" s="1" t="n">
        <v>4</v>
      </c>
      <c r="AF87" s="1" t="n">
        <v>10</v>
      </c>
      <c r="AG87" s="1" t="n">
        <f aca="false">AF87-AE87</f>
        <v>6</v>
      </c>
      <c r="AM87" s="1" t="n">
        <v>76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W87" s="1" t="n">
        <f aca="false">$AM87</f>
        <v>76</v>
      </c>
      <c r="BX87" s="1" t="n">
        <f aca="false">MAX(BX86-AN87/AN$9*100,0)</f>
        <v>0</v>
      </c>
      <c r="BY87" s="1" t="n">
        <f aca="false">MAX(BY86-AO87/AO$9*100,0)</f>
        <v>0</v>
      </c>
      <c r="BZ87" s="1" t="n">
        <f aca="false">MAX(BZ86-AQ87/AQ$9*100,0)</f>
        <v>0</v>
      </c>
      <c r="CA87" s="1" t="n">
        <f aca="false">MAX(CA86-AR87/AR$9*100,0)</f>
        <v>0</v>
      </c>
      <c r="CB87" s="1" t="n">
        <f aca="false">CB$7*EXP(-$AM87/CB$8)</f>
        <v>2.84916042574139E-041</v>
      </c>
      <c r="CC87" s="1" t="n">
        <f aca="false">(BZ87-CB87)^2</f>
        <v>8.11771513161086E-082</v>
      </c>
      <c r="CD87" s="1" t="n">
        <f aca="false">MAX(CD86-AT87/AT$9*100,0)</f>
        <v>0</v>
      </c>
      <c r="CE87" s="1" t="n">
        <f aca="false">MAX(CE86-AU87/AU$9*100,0)</f>
        <v>5.32907051820075E-015</v>
      </c>
      <c r="CF87" s="1" t="n">
        <f aca="false">CF$7*EXP(-$AM87/CF$8)</f>
        <v>3.46671107036741E-040</v>
      </c>
      <c r="CG87" s="1" t="n">
        <f aca="false">(CD87-CF87)^2</f>
        <v>1.2018085645408E-079</v>
      </c>
      <c r="CH87" s="1" t="n">
        <f aca="false">$AM87</f>
        <v>76</v>
      </c>
      <c r="CI87" s="1" t="n">
        <f aca="false">MAX(CI86-AW87/AW$9*100,0)</f>
        <v>0</v>
      </c>
      <c r="CJ87" s="1" t="n">
        <f aca="false">MAX(CJ86-AX87/AX$9*100,0)</f>
        <v>0</v>
      </c>
      <c r="CK87" s="1" t="n">
        <f aca="false">CK$7*EXP(-$AM87/CK$8)</f>
        <v>1.09606995152395E-026</v>
      </c>
      <c r="CL87" s="1" t="n">
        <f aca="false">(CI87-CK87)^2</f>
        <v>1.20136933863371E-052</v>
      </c>
      <c r="CM87" s="1" t="n">
        <f aca="false">MAX(CM86-AZ87/AZ$9*100,0)</f>
        <v>0</v>
      </c>
      <c r="CN87" s="1" t="n">
        <f aca="false">MAX(CN86-BA87/BA$9*100,0)</f>
        <v>5.32907051820075E-015</v>
      </c>
      <c r="CO87" s="1" t="n">
        <f aca="false">CO$7*EXP(-$AM87/CO$8)</f>
        <v>1.80052608505885E-014</v>
      </c>
      <c r="CP87" s="1" t="n">
        <f aca="false">(CM87-CO87)^2</f>
        <v>3.24189418297735E-028</v>
      </c>
      <c r="CQ87" s="1" t="n">
        <f aca="false">$AM87</f>
        <v>76</v>
      </c>
      <c r="CR87" s="1" t="n">
        <f aca="false">MAX(CR86-BC87/BC$9*100,0)</f>
        <v>0</v>
      </c>
      <c r="CS87" s="1" t="n">
        <f aca="false">MAX(CS86-BD87/BD$9*100,0)</f>
        <v>0</v>
      </c>
      <c r="CT87" s="1" t="n">
        <f aca="false">CT$7*EXP(-$AM87/CT$8)</f>
        <v>1.50675018113463E-024</v>
      </c>
      <c r="CU87" s="1" t="n">
        <f aca="false">(CR87-CT87)^2</f>
        <v>2.27029610834924E-048</v>
      </c>
      <c r="CV87" s="1" t="n">
        <f aca="false">MAX(CV86-BF87/BF$9*100,0)</f>
        <v>8.88178419700125E-015</v>
      </c>
      <c r="CW87" s="1" t="n">
        <f aca="false">MAX(CW86-BG87/BG$9*100,0)</f>
        <v>5.32907051820075E-015</v>
      </c>
      <c r="CX87" s="1" t="n">
        <f aca="false">CX$7*EXP(-$AM87/CX$8)</f>
        <v>3.09520653804936E-012</v>
      </c>
      <c r="CY87" s="1" t="n">
        <f aca="false">(CV87-CX87)^2</f>
        <v>9.52540048624182E-024</v>
      </c>
      <c r="CZ87" s="1" t="n">
        <f aca="false">$AM87</f>
        <v>76</v>
      </c>
      <c r="DA87" s="1" t="n">
        <f aca="false">MAX(DA86-BI87/BI$9*100,0)</f>
        <v>0</v>
      </c>
      <c r="DB87" s="1" t="n">
        <f aca="false">MAX(DB86-BJ87/BJ$9*100,0)</f>
        <v>9.88098491916389E-015</v>
      </c>
      <c r="DC87" s="1" t="n">
        <f aca="false">DC$7*EXP(-$AM87/DC$8)</f>
        <v>1.29381252628364E-022</v>
      </c>
      <c r="DD87" s="1" t="n">
        <f aca="false">(DA87-DC87)^2</f>
        <v>1.67395085316845E-044</v>
      </c>
      <c r="DE87" s="1" t="n">
        <f aca="false">MAX(DE86-BL87/BL$9*100,0)</f>
        <v>0</v>
      </c>
      <c r="DF87" s="1" t="n">
        <f aca="false">MAX(DF86-BM87/BM$9*100,0)</f>
        <v>0</v>
      </c>
      <c r="DG87" s="1" t="n">
        <f aca="false">DG$7*EXP(-$AM87/DG$8)</f>
        <v>6.75136970723241E-007</v>
      </c>
      <c r="DH87" s="1" t="n">
        <f aca="false">(DE87-DG87)^2</f>
        <v>4.55809929237354E-013</v>
      </c>
      <c r="DI87" s="1" t="n">
        <f aca="false">$AM87</f>
        <v>76</v>
      </c>
      <c r="DJ87" s="1" t="n">
        <f aca="false">MAX(DJ86-BO87/BO$9*100,0)</f>
        <v>0</v>
      </c>
      <c r="DK87" s="1" t="n">
        <f aca="false">MAX(DK86-BP87/BP$9*100,0)</f>
        <v>9.99200722162641E-015</v>
      </c>
      <c r="DL87" s="1" t="n">
        <f aca="false">DL$7*EXP(-$AM87/DL$8)</f>
        <v>8.44846856318079E-019</v>
      </c>
      <c r="DM87" s="1" t="n">
        <f aca="false">(DJ87-DL87)^2</f>
        <v>7.13766210630541E-037</v>
      </c>
      <c r="DN87" s="1" t="n">
        <f aca="false">MAX(DN86-BR87/BR$9*100,0)</f>
        <v>0</v>
      </c>
      <c r="DO87" s="1" t="n">
        <f aca="false">MAX(DO86-BS87/BS$9*100,0)</f>
        <v>0</v>
      </c>
      <c r="DP87" s="1" t="n">
        <f aca="false">DP$7*EXP(-$AM87/DP$8)</f>
        <v>5.44641038213279E-008</v>
      </c>
      <c r="DQ87" s="1" t="n">
        <f aca="false">(DN87-DP87)^2</f>
        <v>2.96633860506038E-015</v>
      </c>
      <c r="DS87" s="1" t="n">
        <f aca="false">$AM87</f>
        <v>76</v>
      </c>
      <c r="DT87" s="1" t="n">
        <f aca="false">CA87</f>
        <v>0</v>
      </c>
      <c r="DU87" s="1" t="n">
        <f aca="false">DU$7*EXP(-DS87/DU$8)</f>
        <v>1.53105602953666E-032</v>
      </c>
      <c r="DV87" s="1" t="n">
        <f aca="false">(DT87-DU87)^2</f>
        <v>2.34413256558056E-064</v>
      </c>
      <c r="DX87" s="1" t="n">
        <f aca="false">$AM87</f>
        <v>76</v>
      </c>
      <c r="DY87" s="1" t="n">
        <f aca="false">CM87</f>
        <v>0</v>
      </c>
      <c r="DZ87" s="1" t="n">
        <f aca="false">DZ$7*EXP(-DX87/DZ$8)</f>
        <v>4.52633427206805E-017</v>
      </c>
      <c r="EA87" s="1" t="n">
        <f aca="false">(DY87-DZ87)^2</f>
        <v>2.04877019424978E-033</v>
      </c>
      <c r="EC87" s="1" t="n">
        <f aca="false">$AM87</f>
        <v>76</v>
      </c>
      <c r="ED87" s="1" t="n">
        <f aca="false">CV87</f>
        <v>8.88178419700125E-015</v>
      </c>
      <c r="EE87" s="1" t="n">
        <f aca="false">EE$7*EXP(-EC87/EE$8)</f>
        <v>5.48304355897691E-013</v>
      </c>
      <c r="EF87" s="1" t="n">
        <f aca="false">(ED87-EE87)^2</f>
        <v>2.90976710860186E-025</v>
      </c>
      <c r="EH87" s="1" t="n">
        <f aca="false">$AM87</f>
        <v>76</v>
      </c>
      <c r="EI87" s="1" t="n">
        <f aca="false">DE87</f>
        <v>0</v>
      </c>
      <c r="EJ87" s="1" t="n">
        <f aca="false">EJ$7*EXP(-EH87/EJ$8)</f>
        <v>6.72335572504472E-007</v>
      </c>
      <c r="EK87" s="1" t="n">
        <f aca="false">(EI87-EJ87)^2</f>
        <v>4.52035122054916E-013</v>
      </c>
      <c r="EM87" s="1" t="n">
        <f aca="false">AM87</f>
        <v>76</v>
      </c>
      <c r="EN87" s="1" t="n">
        <f aca="false">DN87</f>
        <v>0</v>
      </c>
      <c r="EO87" s="1" t="n">
        <f aca="false">EO$7*EXP(-EM87/EO$8)</f>
        <v>1.08726958483845E-007</v>
      </c>
      <c r="EP87" s="1" t="n">
        <f aca="false">(EN87-EO87)^2</f>
        <v>1.18215515011478E-014</v>
      </c>
      <c r="ER87" s="1" t="n">
        <f aca="false">$AM87</f>
        <v>76</v>
      </c>
      <c r="ES87" s="1" t="n">
        <f aca="false">BZ87</f>
        <v>0</v>
      </c>
      <c r="ET87" s="1" t="n">
        <f aca="false">ET$7*EXP(-ER87/ET$8)</f>
        <v>9.31409841098176E-038</v>
      </c>
      <c r="EU87" s="1" t="n">
        <f aca="false">(ES87-ET87)^2</f>
        <v>8.67524292094529E-075</v>
      </c>
      <c r="EW87" s="1" t="n">
        <f aca="false">$AM87</f>
        <v>76</v>
      </c>
      <c r="EX87" s="1" t="n">
        <f aca="false">CI87</f>
        <v>0</v>
      </c>
      <c r="EY87" s="1" t="n">
        <f aca="false">EY$7*EXP(-EW87/EY$8)</f>
        <v>1.31346391302279E-034</v>
      </c>
      <c r="EZ87" s="1" t="n">
        <f aca="false">(EX87-EY87)^2</f>
        <v>1.72518745081314E-068</v>
      </c>
      <c r="FB87" s="1" t="n">
        <f aca="false">$AM87</f>
        <v>76</v>
      </c>
      <c r="FC87" s="1" t="n">
        <f aca="false">CR87</f>
        <v>0</v>
      </c>
      <c r="FD87" s="1" t="n">
        <f aca="false">FD$7*EXP(-FB87/FD$8)</f>
        <v>6.54292268361516E-030</v>
      </c>
      <c r="FE87" s="1" t="n">
        <f aca="false">(FC87-FD87)^2</f>
        <v>4.28098372437658E-059</v>
      </c>
      <c r="FG87" s="1" t="n">
        <f aca="false">$AM87</f>
        <v>76</v>
      </c>
      <c r="FH87" s="1" t="n">
        <f aca="false">DA87</f>
        <v>0</v>
      </c>
      <c r="FI87" s="1" t="n">
        <f aca="false">FI$7*EXP(-FG87/FI$8)</f>
        <v>9.80646376570706E-026</v>
      </c>
      <c r="FJ87" s="1" t="n">
        <f aca="false">(FH87-FI87)^2</f>
        <v>9.61667315881255E-051</v>
      </c>
      <c r="FL87" s="1" t="n">
        <f aca="false">EM87</f>
        <v>76</v>
      </c>
      <c r="FM87" s="1" t="n">
        <f aca="false">DJ87</f>
        <v>0</v>
      </c>
      <c r="FN87" s="1" t="n">
        <f aca="false">FN$7*EXP(-FL87/FN$8)</f>
        <v>1.68343042346952E-020</v>
      </c>
      <c r="FO87" s="1" t="n">
        <f aca="false">(FM87-FN87)^2</f>
        <v>2.83393799066277E-040</v>
      </c>
      <c r="FQ87" s="1" t="n">
        <f aca="false">AM87</f>
        <v>76</v>
      </c>
      <c r="FR87" s="1" t="n">
        <f aca="false">AN87/AN$9*100</f>
        <v>0</v>
      </c>
      <c r="FS87" s="1" t="n">
        <f aca="false">AO87/AO$9*100</f>
        <v>0</v>
      </c>
      <c r="FT87" s="1" t="n">
        <f aca="false">AQ87/AQ$9*100</f>
        <v>0</v>
      </c>
      <c r="FU87" s="1" t="n">
        <f aca="false">AR87/AR$9*100</f>
        <v>0</v>
      </c>
      <c r="FV87" s="1" t="n">
        <f aca="false">AT87/AT$9*100</f>
        <v>0</v>
      </c>
      <c r="FW87" s="1" t="n">
        <f aca="false">AU87/AU$9*100</f>
        <v>0</v>
      </c>
      <c r="FX87" s="1" t="n">
        <f aca="false">AW87/AW$9*100</f>
        <v>0</v>
      </c>
      <c r="FY87" s="1" t="n">
        <f aca="false">AX87/AX$9*100</f>
        <v>0</v>
      </c>
      <c r="FZ87" s="1" t="n">
        <f aca="false">AZ87/AZ$9*100</f>
        <v>0</v>
      </c>
      <c r="GA87" s="1" t="n">
        <f aca="false">BA87/BA$9*100</f>
        <v>0</v>
      </c>
      <c r="GB87" s="1" t="n">
        <f aca="false">BC87/BC$9*100</f>
        <v>0</v>
      </c>
      <c r="GC87" s="1" t="n">
        <f aca="false">BD87/BD$9*100</f>
        <v>0</v>
      </c>
      <c r="GD87" s="1" t="n">
        <f aca="false">BF87/BF$9*100</f>
        <v>0</v>
      </c>
      <c r="GE87" s="1" t="n">
        <f aca="false">BG87/BG$9*100</f>
        <v>0</v>
      </c>
      <c r="GF87" s="1" t="n">
        <f aca="false">BI87/BI$9*100</f>
        <v>0</v>
      </c>
      <c r="GG87" s="1" t="n">
        <f aca="false">BJ87/BJ$9*100</f>
        <v>0</v>
      </c>
      <c r="GH87" s="1" t="n">
        <f aca="false">BL87/BL$9*100</f>
        <v>0</v>
      </c>
      <c r="GI87" s="1" t="n">
        <f aca="false">BM87/BM$9*100</f>
        <v>0</v>
      </c>
      <c r="GJ87" s="1" t="n">
        <f aca="false">BO87/BO$9*100</f>
        <v>0</v>
      </c>
      <c r="GK87" s="1" t="n">
        <f aca="false">BP87/BP$9*100</f>
        <v>0</v>
      </c>
      <c r="GL87" s="1" t="n">
        <f aca="false">BR87/BR$9*100</f>
        <v>0</v>
      </c>
      <c r="GM87" s="1" t="n">
        <f aca="false">BS87/BS$9*100</f>
        <v>0</v>
      </c>
      <c r="GO87" s="1" t="n">
        <f aca="false">$AM87</f>
        <v>76</v>
      </c>
      <c r="GP87" s="1" t="n">
        <f aca="false">FT87</f>
        <v>0</v>
      </c>
      <c r="GQ87" s="1" t="n">
        <f aca="false">GQ$6*(1+GQ$5*(-1)^$FQ87)*EXP(-$FQ87/GQ$4)</f>
        <v>2.0292313756797E-023</v>
      </c>
      <c r="GR87" s="1" t="n">
        <f aca="false">(GP87-GQ87)^2</f>
        <v>4.11777997604293E-046</v>
      </c>
      <c r="GS87" s="1" t="n">
        <f aca="false">EXP($FQ87/$JG$4)*GP87</f>
        <v>0</v>
      </c>
      <c r="GT87" s="1" t="n">
        <f aca="false">EXP($FQ87/$JG$4)*(-1)^$FQ87*GP87</f>
        <v>0</v>
      </c>
      <c r="GU87" s="1" t="n">
        <f aca="false">(-1)^GO87*GP87</f>
        <v>0</v>
      </c>
      <c r="GW87" s="1" t="n">
        <f aca="false">$AM87</f>
        <v>76</v>
      </c>
      <c r="GX87" s="1" t="n">
        <f aca="false">FX87</f>
        <v>0</v>
      </c>
      <c r="GY87" s="1" t="n">
        <f aca="false">GY$6*(1+GY$5*(-1)^$FQ87)*EXP(-$FQ87/GY$4)</f>
        <v>2.0292313756797E-023</v>
      </c>
      <c r="GZ87" s="1" t="n">
        <f aca="false">(GX87-GY87)^2</f>
        <v>4.11777997604293E-046</v>
      </c>
      <c r="HA87" s="1" t="n">
        <f aca="false">EXP($FQ87/$JG$4)*GX87</f>
        <v>0</v>
      </c>
      <c r="HB87" s="1" t="n">
        <f aca="false">EXP($FQ87/$JG$4)*(-1)^$FQ87*GX87</f>
        <v>0</v>
      </c>
      <c r="HC87" s="1" t="n">
        <f aca="false">(-1)^GW87*GX87</f>
        <v>0</v>
      </c>
      <c r="HE87" s="1" t="n">
        <f aca="false">$AM87</f>
        <v>76</v>
      </c>
      <c r="HF87" s="1" t="n">
        <f aca="false">GB87</f>
        <v>0</v>
      </c>
      <c r="HG87" s="1" t="n">
        <f aca="false">HG$6*(1+HG$5*(-1)^$FQ87)*EXP(-$FQ87/HG$4)</f>
        <v>2.0292313756797E-023</v>
      </c>
      <c r="HH87" s="1" t="n">
        <f aca="false">(HF87-HG87)^2</f>
        <v>4.11777997604293E-046</v>
      </c>
      <c r="HI87" s="1" t="n">
        <f aca="false">EXP($FQ87/$JG$4)*HF87</f>
        <v>0</v>
      </c>
      <c r="HJ87" s="1" t="n">
        <f aca="false">EXP($FQ87/$JG$4)*(-1)^$FQ87*HF87</f>
        <v>0</v>
      </c>
      <c r="HK87" s="1" t="n">
        <f aca="false">(-1)^HE87*HF87</f>
        <v>0</v>
      </c>
      <c r="HM87" s="1" t="n">
        <f aca="false">$AM87</f>
        <v>76</v>
      </c>
      <c r="HN87" s="1" t="n">
        <f aca="false">GF87</f>
        <v>0</v>
      </c>
      <c r="HO87" s="1" t="n">
        <f aca="false">HO$6*(1+HO$5*(-1)^$FQ87)*EXP(-$FQ87/HO$4)</f>
        <v>2.84281298831347E-018</v>
      </c>
      <c r="HP87" s="1" t="n">
        <f aca="false">(HN87-HO87)^2</f>
        <v>8.08158568652376E-036</v>
      </c>
      <c r="HQ87" s="1" t="n">
        <f aca="false">EXP($FQ87/$JG$4)*HN87</f>
        <v>0</v>
      </c>
      <c r="HR87" s="1" t="n">
        <f aca="false">EXP($FQ87/$JG$4)*(-1)^$FQ87*HN87</f>
        <v>0</v>
      </c>
      <c r="HS87" s="1" t="n">
        <f aca="false">(-1)^HM87*HN87</f>
        <v>0</v>
      </c>
      <c r="HU87" s="1" t="n">
        <f aca="false">$AM87</f>
        <v>76</v>
      </c>
      <c r="HV87" s="1" t="n">
        <f aca="false">GJ87</f>
        <v>0</v>
      </c>
      <c r="HW87" s="1" t="n">
        <f aca="false">HW$6*(1+HW$5*(-1)^$FQ87)*EXP(-$FQ87/HW$4)</f>
        <v>2.32840453347365E-013</v>
      </c>
      <c r="HX87" s="1" t="n">
        <f aca="false">(HV87-HW87)^2</f>
        <v>5.42146767150065E-026</v>
      </c>
      <c r="HY87" s="1" t="n">
        <f aca="false">EXP($FQ87/$JG$4)*HV87</f>
        <v>0</v>
      </c>
      <c r="HZ87" s="1" t="n">
        <f aca="false">EXP($FQ87/$JG$4)*(-1)^$FQ87*HV87</f>
        <v>0</v>
      </c>
      <c r="IA87" s="1" t="n">
        <f aca="false">(-1)^HU87*HV87</f>
        <v>0</v>
      </c>
      <c r="ID87" s="1" t="n">
        <f aca="false">$AM87</f>
        <v>76</v>
      </c>
      <c r="IE87" s="1" t="n">
        <f aca="false">FZ87</f>
        <v>0</v>
      </c>
      <c r="IF87" s="1" t="n">
        <f aca="false">IF$6*(1+IF$5*(-1)^$FQ87)*EXP(-$FQ87/IF$4)</f>
        <v>5.48650642469457E-010</v>
      </c>
      <c r="IG87" s="1" t="n">
        <f aca="false">(IE87-IF87)^2</f>
        <v>3.01017527482148E-019</v>
      </c>
      <c r="IH87" s="1" t="n">
        <f aca="false">EXP($FQ87/$JG$4)*IE87</f>
        <v>0</v>
      </c>
      <c r="II87" s="1" t="n">
        <f aca="false">EXP($FQ87/$JG$4)*(-1)^$FQ87*IE87</f>
        <v>0</v>
      </c>
      <c r="IJ87" s="1" t="n">
        <f aca="false">(-1)^ID87*IE87</f>
        <v>0</v>
      </c>
      <c r="IK87" s="1" t="n">
        <v>0</v>
      </c>
      <c r="IM87" s="1" t="n">
        <f aca="false">$AM87</f>
        <v>76</v>
      </c>
      <c r="IN87" s="1" t="n">
        <f aca="false">GD87</f>
        <v>0</v>
      </c>
      <c r="IO87" s="1" t="n">
        <f aca="false">IO$6*(1+IO$5*(-1)^$FQ87)*EXP(-$FQ87/IO$4)</f>
        <v>1.77499575247604E-008</v>
      </c>
      <c r="IP87" s="1" t="n">
        <f aca="false">(IN87-IO87)^2</f>
        <v>3.15060992130798E-016</v>
      </c>
      <c r="IQ87" s="1" t="n">
        <f aca="false">EXP($FQ87/$JG$4)*IN87</f>
        <v>0</v>
      </c>
      <c r="IR87" s="1" t="n">
        <f aca="false">EXP($FQ87/$JG$4)*(-1)^$FQ87*IN87</f>
        <v>0</v>
      </c>
      <c r="IS87" s="1" t="n">
        <f aca="false">(-1)^IM87*IN87</f>
        <v>0</v>
      </c>
      <c r="IV87" s="1" t="n">
        <f aca="false">$AM87</f>
        <v>76</v>
      </c>
      <c r="IW87" s="1" t="n">
        <f aca="false">GH87</f>
        <v>0</v>
      </c>
      <c r="IX87" s="1" t="n">
        <f aca="false">IX$6*(1+IX$5*(-1)^$FQ87)*EXP(-$FQ87/IX$4)</f>
        <v>1.6059245048893E-005</v>
      </c>
      <c r="IY87" s="1" t="n">
        <f aca="false">(IW87-IX87)^2</f>
        <v>2.57899351540394E-010</v>
      </c>
      <c r="IZ87" s="1" t="n">
        <f aca="false">EXP($FQ87/$JG$4)*IW87</f>
        <v>0</v>
      </c>
      <c r="JA87" s="1" t="n">
        <f aca="false">EXP($FQ87/$JG$4)*(-1)^$FQ87*IW87</f>
        <v>0</v>
      </c>
      <c r="JB87" s="1" t="n">
        <f aca="false">(-1)^IV87*IW87</f>
        <v>0</v>
      </c>
      <c r="JE87" s="1" t="n">
        <f aca="false">$AM87</f>
        <v>76</v>
      </c>
      <c r="JF87" s="1" t="n">
        <f aca="false">GL87</f>
        <v>0</v>
      </c>
      <c r="JG87" s="1" t="n">
        <f aca="false">JG$6*(1+JG$5*(-1)^$FQ87)*EXP(-$FQ87/JG$4)</f>
        <v>9.69643637095567E-007</v>
      </c>
      <c r="JH87" s="1" t="n">
        <f aca="false">(JF87-JG87)^2</f>
        <v>9.40208782959919E-013</v>
      </c>
      <c r="JI87" s="1" t="n">
        <f aca="false">EXP($FQ87/$JG$4)*JF87</f>
        <v>0</v>
      </c>
      <c r="JJ87" s="1" t="n">
        <f aca="false">EXP($FQ87/$JG$4)*(-1)^$FQ87*JF87</f>
        <v>0</v>
      </c>
      <c r="JK87" s="1" t="n">
        <f aca="false">(-1)^JE87*JF87</f>
        <v>0</v>
      </c>
      <c r="JO87" s="1" t="n">
        <f aca="false">$AM87</f>
        <v>76</v>
      </c>
      <c r="JP87" s="1" t="n">
        <f aca="false">GM87</f>
        <v>0</v>
      </c>
      <c r="JQ87" s="1" t="n">
        <f aca="false">JQ$6*(1+JQ$5*(-1)^$FQ87)*EXP(-$FQ87/JQ$4)</f>
        <v>0.0329114009659343</v>
      </c>
      <c r="JR87" s="1" t="n">
        <f aca="false">(JP87-JQ87)^2</f>
        <v>0.0010831603135405</v>
      </c>
      <c r="JS87" s="1" t="n">
        <f aca="false">EXP($FQ87/$JG$4)*JP87</f>
        <v>0</v>
      </c>
      <c r="JT87" s="1" t="n">
        <f aca="false">EXP($FQ87/$JG$4)*(-1)^$FQ87*JP87</f>
        <v>0</v>
      </c>
      <c r="JU87" s="1" t="n">
        <f aca="false">(-1)^JO87*JP87</f>
        <v>0</v>
      </c>
    </row>
    <row r="88" customFormat="false" ht="16" hidden="false" customHeight="false" outlineLevel="0" collapsed="false">
      <c r="A88" s="1" t="n">
        <v>2</v>
      </c>
      <c r="B88" s="1" t="n">
        <v>2</v>
      </c>
      <c r="C88" s="1" t="n">
        <f aca="false">B88-A88</f>
        <v>0</v>
      </c>
      <c r="D88" s="1" t="n">
        <v>1</v>
      </c>
      <c r="E88" s="1" t="n">
        <v>1</v>
      </c>
      <c r="F88" s="1" t="n">
        <f aca="false">E88-D88</f>
        <v>0</v>
      </c>
      <c r="G88" s="1" t="n">
        <v>3</v>
      </c>
      <c r="H88" s="1" t="n">
        <v>3</v>
      </c>
      <c r="I88" s="1" t="n">
        <f aca="false">H88-G88</f>
        <v>0</v>
      </c>
      <c r="J88" s="1" t="n">
        <v>2</v>
      </c>
      <c r="K88" s="1" t="n">
        <v>2</v>
      </c>
      <c r="L88" s="1" t="n">
        <f aca="false">K88-J88</f>
        <v>0</v>
      </c>
      <c r="M88" s="1" t="n">
        <v>1</v>
      </c>
      <c r="N88" s="1" t="n">
        <v>2</v>
      </c>
      <c r="O88" s="1" t="n">
        <f aca="false">N88-M88</f>
        <v>1</v>
      </c>
      <c r="P88" s="1" t="n">
        <v>2</v>
      </c>
      <c r="Q88" s="1" t="n">
        <v>4</v>
      </c>
      <c r="R88" s="1" t="n">
        <f aca="false">Q88-P88</f>
        <v>2</v>
      </c>
      <c r="S88" s="1" t="n">
        <v>11</v>
      </c>
      <c r="T88" s="1" t="n">
        <v>15</v>
      </c>
      <c r="U88" s="1" t="n">
        <f aca="false">T88-S88</f>
        <v>4</v>
      </c>
      <c r="V88" s="1" t="n">
        <v>1</v>
      </c>
      <c r="W88" s="1" t="n">
        <v>5</v>
      </c>
      <c r="X88" s="1" t="n">
        <f aca="false">W88-V88</f>
        <v>4</v>
      </c>
      <c r="Y88" s="1" t="n">
        <v>2</v>
      </c>
      <c r="Z88" s="1" t="n">
        <v>6</v>
      </c>
      <c r="AA88" s="1" t="n">
        <f aca="false">Z88-Y88</f>
        <v>4</v>
      </c>
      <c r="AB88" s="1" t="n">
        <v>1</v>
      </c>
      <c r="AC88" s="1" t="n">
        <v>3</v>
      </c>
      <c r="AD88" s="1" t="n">
        <f aca="false">AC88-AB88</f>
        <v>2</v>
      </c>
      <c r="AE88" s="1" t="n">
        <v>6</v>
      </c>
      <c r="AF88" s="1" t="n">
        <v>24</v>
      </c>
      <c r="AG88" s="1" t="n">
        <f aca="false">AF88-AE88</f>
        <v>18</v>
      </c>
      <c r="AM88" s="1" t="n">
        <v>77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W88" s="1" t="n">
        <f aca="false">$AM88</f>
        <v>77</v>
      </c>
      <c r="BX88" s="1" t="n">
        <f aca="false">MAX(BX87-AN88/AN$9*100,0)</f>
        <v>0</v>
      </c>
      <c r="BY88" s="1" t="n">
        <f aca="false">MAX(BY87-AO88/AO$9*100,0)</f>
        <v>0</v>
      </c>
      <c r="BZ88" s="1" t="n">
        <f aca="false">MAX(BZ87-AQ88/AQ$9*100,0)</f>
        <v>0</v>
      </c>
      <c r="CA88" s="1" t="n">
        <f aca="false">MAX(CA87-AR88/AR$9*100,0)</f>
        <v>0</v>
      </c>
      <c r="CB88" s="1" t="n">
        <f aca="false">CB$7*EXP(-$AM88/CB$8)</f>
        <v>7.77495878988355E-042</v>
      </c>
      <c r="CC88" s="1" t="n">
        <f aca="false">(BZ88-CB88)^2</f>
        <v>6.04499841843875E-083</v>
      </c>
      <c r="CD88" s="1" t="n">
        <f aca="false">MAX(CD87-AT88/AT$9*100,0)</f>
        <v>0</v>
      </c>
      <c r="CE88" s="1" t="n">
        <f aca="false">MAX(CE87-AU88/AU$9*100,0)</f>
        <v>5.32907051820075E-015</v>
      </c>
      <c r="CF88" s="1" t="n">
        <f aca="false">CF$7*EXP(-$AM88/CF$8)</f>
        <v>9.77637376231353E-041</v>
      </c>
      <c r="CG88" s="1" t="n">
        <f aca="false">(CD88-CF88)^2</f>
        <v>9.55774839404524E-081</v>
      </c>
      <c r="CH88" s="1" t="n">
        <f aca="false">$AM88</f>
        <v>77</v>
      </c>
      <c r="CI88" s="1" t="n">
        <f aca="false">MAX(CI87-AW88/AW$9*100,0)</f>
        <v>0</v>
      </c>
      <c r="CJ88" s="1" t="n">
        <f aca="false">MAX(CJ87-AX88/AX$9*100,0)</f>
        <v>0</v>
      </c>
      <c r="CK88" s="1" t="n">
        <f aca="false">CK$7*EXP(-$AM88/CK$8)</f>
        <v>4.66279591120161E-027</v>
      </c>
      <c r="CL88" s="1" t="n">
        <f aca="false">(CI88-CK88)^2</f>
        <v>2.17416657095185E-053</v>
      </c>
      <c r="CM88" s="1" t="n">
        <f aca="false">MAX(CM87-AZ88/AZ$9*100,0)</f>
        <v>0</v>
      </c>
      <c r="CN88" s="1" t="n">
        <f aca="false">MAX(CN87-BA88/BA$9*100,0)</f>
        <v>5.32907051820075E-015</v>
      </c>
      <c r="CO88" s="1" t="n">
        <f aca="false">CO$7*EXP(-$AM88/CO$8)</f>
        <v>1.11327894007577E-014</v>
      </c>
      <c r="CP88" s="1" t="n">
        <f aca="false">(CM88-CO88)^2</f>
        <v>1.23938999841623E-028</v>
      </c>
      <c r="CQ88" s="1" t="n">
        <f aca="false">$AM88</f>
        <v>77</v>
      </c>
      <c r="CR88" s="1" t="n">
        <f aca="false">MAX(CR87-BC88/BC$9*100,0)</f>
        <v>0</v>
      </c>
      <c r="CS88" s="1" t="n">
        <f aca="false">MAX(CS87-BD88/BD$9*100,0)</f>
        <v>0</v>
      </c>
      <c r="CT88" s="1" t="n">
        <f aca="false">CT$7*EXP(-$AM88/CT$8)</f>
        <v>6.85609921041015E-025</v>
      </c>
      <c r="CU88" s="1" t="n">
        <f aca="false">(CR88-CT88)^2</f>
        <v>4.70060963829867E-049</v>
      </c>
      <c r="CV88" s="1" t="n">
        <f aca="false">MAX(CV87-BF88/BF$9*100,0)</f>
        <v>8.88178419700125E-015</v>
      </c>
      <c r="CW88" s="1" t="n">
        <f aca="false">MAX(CW87-BG88/BG$9*100,0)</f>
        <v>5.32907051820075E-015</v>
      </c>
      <c r="CX88" s="1" t="n">
        <f aca="false">CX$7*EXP(-$AM88/CX$8)</f>
        <v>2.04752448718141E-012</v>
      </c>
      <c r="CY88" s="1" t="n">
        <f aca="false">(CV88-CX88)^2</f>
        <v>4.15606407043158E-024</v>
      </c>
      <c r="CZ88" s="1" t="n">
        <f aca="false">$AM88</f>
        <v>77</v>
      </c>
      <c r="DA88" s="1" t="n">
        <f aca="false">MAX(DA87-BI88/BI$9*100,0)</f>
        <v>0</v>
      </c>
      <c r="DB88" s="1" t="n">
        <f aca="false">MAX(DB87-BJ88/BJ$9*100,0)</f>
        <v>9.88098491916389E-015</v>
      </c>
      <c r="DC88" s="1" t="n">
        <f aca="false">DC$7*EXP(-$AM88/DC$8)</f>
        <v>6.2354540050915E-023</v>
      </c>
      <c r="DD88" s="1" t="n">
        <f aca="false">(DA88-DC88)^2</f>
        <v>3.88808866496116E-045</v>
      </c>
      <c r="DE88" s="1" t="n">
        <f aca="false">MAX(DE87-BL88/BL$9*100,0)</f>
        <v>0</v>
      </c>
      <c r="DF88" s="1" t="n">
        <f aca="false">MAX(DF87-BM88/BM$9*100,0)</f>
        <v>0</v>
      </c>
      <c r="DG88" s="1" t="n">
        <f aca="false">DG$7*EXP(-$AM88/DG$8)</f>
        <v>5.25797201479716E-007</v>
      </c>
      <c r="DH88" s="1" t="n">
        <f aca="false">(DE88-DG88)^2</f>
        <v>2.76462697083901E-013</v>
      </c>
      <c r="DI88" s="1" t="n">
        <f aca="false">$AM88</f>
        <v>77</v>
      </c>
      <c r="DJ88" s="1" t="n">
        <f aca="false">MAX(DJ87-BO88/BO$9*100,0)</f>
        <v>0</v>
      </c>
      <c r="DK88" s="1" t="n">
        <f aca="false">MAX(DK87-BP88/BP$9*100,0)</f>
        <v>9.99200722162641E-015</v>
      </c>
      <c r="DL88" s="1" t="n">
        <f aca="false">DL$7*EXP(-$AM88/DL$8)</f>
        <v>4.57445816256768E-019</v>
      </c>
      <c r="DM88" s="1" t="n">
        <f aca="false">(DJ88-DL88)^2</f>
        <v>2.09256674810821E-037</v>
      </c>
      <c r="DN88" s="1" t="n">
        <f aca="false">MAX(DN87-BR88/BR$9*100,0)</f>
        <v>0</v>
      </c>
      <c r="DO88" s="1" t="n">
        <f aca="false">MAX(DO87-BS88/BS$9*100,0)</f>
        <v>0</v>
      </c>
      <c r="DP88" s="1" t="n">
        <f aca="false">DP$7*EXP(-$AM88/DP$8)</f>
        <v>4.10280393771102E-008</v>
      </c>
      <c r="DQ88" s="1" t="n">
        <f aca="false">(DN88-DP88)^2</f>
        <v>1.68330001512971E-015</v>
      </c>
      <c r="DS88" s="1" t="n">
        <f aca="false">$AM88</f>
        <v>77</v>
      </c>
      <c r="DT88" s="1" t="n">
        <f aca="false">CA88</f>
        <v>0</v>
      </c>
      <c r="DU88" s="1" t="n">
        <f aca="false">DU$7*EXP(-DS88/DU$8)</f>
        <v>5.46090742302482E-033</v>
      </c>
      <c r="DV88" s="1" t="n">
        <f aca="false">(DT88-DU88)^2</f>
        <v>2.98215098828476E-065</v>
      </c>
      <c r="DX88" s="1" t="n">
        <f aca="false">$AM88</f>
        <v>77</v>
      </c>
      <c r="DY88" s="1" t="n">
        <f aca="false">CM88</f>
        <v>0</v>
      </c>
      <c r="DZ88" s="1" t="n">
        <f aca="false">DZ$7*EXP(-DX88/DZ$8)</f>
        <v>2.58083927812587E-017</v>
      </c>
      <c r="EA88" s="1" t="n">
        <f aca="false">(DY88-DZ88)^2</f>
        <v>6.66073137951726E-034</v>
      </c>
      <c r="EC88" s="1" t="n">
        <f aca="false">$AM88</f>
        <v>77</v>
      </c>
      <c r="ED88" s="1" t="n">
        <f aca="false">CV88</f>
        <v>8.88178419700125E-015</v>
      </c>
      <c r="EE88" s="1" t="n">
        <f aca="false">EE$7*EXP(-EC88/EE$8)</f>
        <v>3.54301875020405E-013</v>
      </c>
      <c r="EF88" s="1" t="n">
        <f aca="false">(ED88-EE88)^2</f>
        <v>1.19315039144449E-025</v>
      </c>
      <c r="EH88" s="1" t="n">
        <f aca="false">$AM88</f>
        <v>77</v>
      </c>
      <c r="EI88" s="1" t="n">
        <f aca="false">DE88</f>
        <v>0</v>
      </c>
      <c r="EJ88" s="1" t="n">
        <f aca="false">EJ$7*EXP(-EH88/EJ$8)</f>
        <v>5.23615470353244E-007</v>
      </c>
      <c r="EK88" s="1" t="n">
        <f aca="false">(EI88-EJ88)^2</f>
        <v>2.74173160793249E-013</v>
      </c>
      <c r="EM88" s="1" t="n">
        <f aca="false">AM88</f>
        <v>77</v>
      </c>
      <c r="EN88" s="1" t="n">
        <f aca="false">DN88</f>
        <v>0</v>
      </c>
      <c r="EO88" s="1" t="n">
        <f aca="false">EO$7*EXP(-EM88/EO$8)</f>
        <v>8.26708589048375E-008</v>
      </c>
      <c r="EP88" s="1" t="n">
        <f aca="false">(EN88-EO88)^2</f>
        <v>6.83447091206355E-015</v>
      </c>
      <c r="ER88" s="1" t="n">
        <f aca="false">$AM88</f>
        <v>77</v>
      </c>
      <c r="ES88" s="1" t="n">
        <f aca="false">BZ88</f>
        <v>0</v>
      </c>
      <c r="ET88" s="1" t="n">
        <f aca="false">ET$7*EXP(-ER88/ET$8)</f>
        <v>2.83219780544707E-038</v>
      </c>
      <c r="EU88" s="1" t="n">
        <f aca="false">(ES88-ET88)^2</f>
        <v>8.0213444091792E-076</v>
      </c>
      <c r="EW88" s="1" t="n">
        <f aca="false">$AM88</f>
        <v>77</v>
      </c>
      <c r="EX88" s="1" t="n">
        <f aca="false">CI88</f>
        <v>0</v>
      </c>
      <c r="EY88" s="1" t="n">
        <f aca="false">EY$7*EXP(-EW88/EY$8)</f>
        <v>4.37694875325892E-035</v>
      </c>
      <c r="EZ88" s="1" t="n">
        <f aca="false">(EX88-EY88)^2</f>
        <v>1.91576803886548E-069</v>
      </c>
      <c r="FB88" s="1" t="n">
        <f aca="false">$AM88</f>
        <v>77</v>
      </c>
      <c r="FC88" s="1" t="n">
        <f aca="false">CR88</f>
        <v>0</v>
      </c>
      <c r="FD88" s="1" t="n">
        <f aca="false">FD$7*EXP(-FB88/FD$8)</f>
        <v>2.52439898027433E-030</v>
      </c>
      <c r="FE88" s="1" t="n">
        <f aca="false">(FC88-FD88)^2</f>
        <v>6.37259021161008E-060</v>
      </c>
      <c r="FG88" s="1" t="n">
        <f aca="false">$AM88</f>
        <v>77</v>
      </c>
      <c r="FH88" s="1" t="n">
        <f aca="false">DA88</f>
        <v>0</v>
      </c>
      <c r="FI88" s="1" t="n">
        <f aca="false">FI$7*EXP(-FG88/FI$8)</f>
        <v>4.29132462293296E-026</v>
      </c>
      <c r="FJ88" s="1" t="n">
        <f aca="false">(FH88-FI88)^2</f>
        <v>1.84154670193907E-051</v>
      </c>
      <c r="FL88" s="1" t="n">
        <f aca="false">EM88</f>
        <v>77</v>
      </c>
      <c r="FM88" s="1" t="n">
        <f aca="false">DJ88</f>
        <v>0</v>
      </c>
      <c r="FN88" s="1" t="n">
        <f aca="false">FN$7*EXP(-FL88/FN$8)</f>
        <v>8.64301998109532E-021</v>
      </c>
      <c r="FO88" s="1" t="n">
        <f aca="false">(FM88-FN88)^2</f>
        <v>7.4701794393613E-041</v>
      </c>
      <c r="FQ88" s="1" t="n">
        <f aca="false">AM88</f>
        <v>77</v>
      </c>
      <c r="FR88" s="1" t="n">
        <f aca="false">AN88/AN$9*100</f>
        <v>0</v>
      </c>
      <c r="FS88" s="1" t="n">
        <f aca="false">AO88/AO$9*100</f>
        <v>0</v>
      </c>
      <c r="FT88" s="1" t="n">
        <f aca="false">AQ88/AQ$9*100</f>
        <v>0</v>
      </c>
      <c r="FU88" s="1" t="n">
        <f aca="false">AR88/AR$9*100</f>
        <v>0</v>
      </c>
      <c r="FV88" s="1" t="n">
        <f aca="false">AT88/AT$9*100</f>
        <v>0</v>
      </c>
      <c r="FW88" s="1" t="n">
        <f aca="false">AU88/AU$9*100</f>
        <v>0</v>
      </c>
      <c r="FX88" s="1" t="n">
        <f aca="false">AW88/AW$9*100</f>
        <v>0</v>
      </c>
      <c r="FY88" s="1" t="n">
        <f aca="false">AX88/AX$9*100</f>
        <v>0</v>
      </c>
      <c r="FZ88" s="1" t="n">
        <f aca="false">AZ88/AZ$9*100</f>
        <v>0</v>
      </c>
      <c r="GA88" s="1" t="n">
        <f aca="false">BA88/BA$9*100</f>
        <v>0</v>
      </c>
      <c r="GB88" s="1" t="n">
        <f aca="false">BC88/BC$9*100</f>
        <v>0</v>
      </c>
      <c r="GC88" s="1" t="n">
        <f aca="false">BD88/BD$9*100</f>
        <v>0</v>
      </c>
      <c r="GD88" s="1" t="n">
        <f aca="false">BF88/BF$9*100</f>
        <v>0</v>
      </c>
      <c r="GE88" s="1" t="n">
        <f aca="false">BG88/BG$9*100</f>
        <v>0</v>
      </c>
      <c r="GF88" s="1" t="n">
        <f aca="false">BI88/BI$9*100</f>
        <v>0</v>
      </c>
      <c r="GG88" s="1" t="n">
        <f aca="false">BJ88/BJ$9*100</f>
        <v>0</v>
      </c>
      <c r="GH88" s="1" t="n">
        <f aca="false">BL88/BL$9*100</f>
        <v>0</v>
      </c>
      <c r="GI88" s="1" t="n">
        <f aca="false">BM88/BM$9*100</f>
        <v>0</v>
      </c>
      <c r="GJ88" s="1" t="n">
        <f aca="false">BO88/BO$9*100</f>
        <v>0</v>
      </c>
      <c r="GK88" s="1" t="n">
        <f aca="false">BP88/BP$9*100</f>
        <v>0</v>
      </c>
      <c r="GL88" s="1" t="n">
        <f aca="false">BR88/BR$9*100</f>
        <v>0</v>
      </c>
      <c r="GM88" s="1" t="n">
        <f aca="false">BS88/BS$9*100</f>
        <v>0</v>
      </c>
      <c r="GO88" s="1" t="n">
        <f aca="false">$AM88</f>
        <v>77</v>
      </c>
      <c r="GP88" s="1" t="n">
        <f aca="false">FT88</f>
        <v>0</v>
      </c>
      <c r="GQ88" s="1" t="n">
        <f aca="false">GQ$6*(1+GQ$5*(-1)^$FQ88)*EXP(-$FQ88/GQ$4)</f>
        <v>3.25615076521512E-024</v>
      </c>
      <c r="GR88" s="1" t="n">
        <f aca="false">(GP88-GQ88)^2</f>
        <v>1.0602517805811E-047</v>
      </c>
      <c r="GS88" s="1" t="n">
        <f aca="false">EXP($FQ88/$JG$4)*GP88</f>
        <v>0</v>
      </c>
      <c r="GT88" s="1" t="n">
        <f aca="false">EXP($FQ88/$JG$4)*(-1)^$FQ88*GP88</f>
        <v>-0</v>
      </c>
      <c r="GU88" s="1" t="n">
        <f aca="false">(-1)^GO88*GP88</f>
        <v>-0</v>
      </c>
      <c r="GW88" s="1" t="n">
        <f aca="false">$AM88</f>
        <v>77</v>
      </c>
      <c r="GX88" s="1" t="n">
        <f aca="false">FX88</f>
        <v>0</v>
      </c>
      <c r="GY88" s="1" t="n">
        <f aca="false">GY$6*(1+GY$5*(-1)^$FQ88)*EXP(-$FQ88/GY$4)</f>
        <v>3.25615076521512E-024</v>
      </c>
      <c r="GZ88" s="1" t="n">
        <f aca="false">(GX88-GY88)^2</f>
        <v>1.0602517805811E-047</v>
      </c>
      <c r="HA88" s="1" t="n">
        <f aca="false">EXP($FQ88/$JG$4)*GX88</f>
        <v>0</v>
      </c>
      <c r="HB88" s="1" t="n">
        <f aca="false">EXP($FQ88/$JG$4)*(-1)^$FQ88*GX88</f>
        <v>-0</v>
      </c>
      <c r="HC88" s="1" t="n">
        <f aca="false">(-1)^GW88*GX88</f>
        <v>-0</v>
      </c>
      <c r="HE88" s="1" t="n">
        <f aca="false">$AM88</f>
        <v>77</v>
      </c>
      <c r="HF88" s="1" t="n">
        <f aca="false">GB88</f>
        <v>0</v>
      </c>
      <c r="HG88" s="1" t="n">
        <f aca="false">HG$6*(1+HG$5*(-1)^$FQ88)*EXP(-$FQ88/HG$4)</f>
        <v>3.25615076521512E-024</v>
      </c>
      <c r="HH88" s="1" t="n">
        <f aca="false">(HF88-HG88)^2</f>
        <v>1.0602517805811E-047</v>
      </c>
      <c r="HI88" s="1" t="n">
        <f aca="false">EXP($FQ88/$JG$4)*HF88</f>
        <v>0</v>
      </c>
      <c r="HJ88" s="1" t="n">
        <f aca="false">EXP($FQ88/$JG$4)*(-1)^$FQ88*HF88</f>
        <v>-0</v>
      </c>
      <c r="HK88" s="1" t="n">
        <f aca="false">(-1)^HE88*HF88</f>
        <v>-0</v>
      </c>
      <c r="HM88" s="1" t="n">
        <f aca="false">$AM88</f>
        <v>77</v>
      </c>
      <c r="HN88" s="1" t="n">
        <f aca="false">GF88</f>
        <v>0</v>
      </c>
      <c r="HO88" s="1" t="n">
        <f aca="false">HO$6*(1+HO$5*(-1)^$FQ88)*EXP(-$FQ88/HO$4)</f>
        <v>3.42886485116958E-019</v>
      </c>
      <c r="HP88" s="1" t="n">
        <f aca="false">(HN88-HO88)^2</f>
        <v>1.17571141675862E-037</v>
      </c>
      <c r="HQ88" s="1" t="n">
        <f aca="false">EXP($FQ88/$JG$4)*HN88</f>
        <v>0</v>
      </c>
      <c r="HR88" s="1" t="n">
        <f aca="false">EXP($FQ88/$JG$4)*(-1)^$FQ88*HN88</f>
        <v>-0</v>
      </c>
      <c r="HS88" s="1" t="n">
        <f aca="false">(-1)^HM88*HN88</f>
        <v>-0</v>
      </c>
      <c r="HU88" s="1" t="n">
        <f aca="false">$AM88</f>
        <v>77</v>
      </c>
      <c r="HV88" s="1" t="n">
        <f aca="false">GJ88</f>
        <v>0</v>
      </c>
      <c r="HW88" s="1" t="n">
        <f aca="false">HW$6*(1+HW$5*(-1)^$FQ88)*EXP(-$FQ88/HW$4)</f>
        <v>4.98622051853335E-014</v>
      </c>
      <c r="HX88" s="1" t="n">
        <f aca="false">(HV88-HW88)^2</f>
        <v>2.4862395059443E-027</v>
      </c>
      <c r="HY88" s="1" t="n">
        <f aca="false">EXP($FQ88/$JG$4)*HV88</f>
        <v>0</v>
      </c>
      <c r="HZ88" s="1" t="n">
        <f aca="false">EXP($FQ88/$JG$4)*(-1)^$FQ88*HV88</f>
        <v>-0</v>
      </c>
      <c r="IA88" s="1" t="n">
        <f aca="false">(-1)^HU88*HV88</f>
        <v>-0</v>
      </c>
      <c r="ID88" s="1" t="n">
        <f aca="false">$AM88</f>
        <v>77</v>
      </c>
      <c r="IE88" s="1" t="n">
        <f aca="false">FZ88</f>
        <v>0</v>
      </c>
      <c r="IF88" s="1" t="n">
        <f aca="false">IF$6*(1+IF$5*(-1)^$FQ88)*EXP(-$FQ88/IF$4)</f>
        <v>2.02519126855407E-010</v>
      </c>
      <c r="IG88" s="1" t="n">
        <f aca="false">(IE88-IF88)^2</f>
        <v>4.10139967422764E-020</v>
      </c>
      <c r="IH88" s="1" t="n">
        <f aca="false">EXP($FQ88/$JG$4)*IE88</f>
        <v>0</v>
      </c>
      <c r="II88" s="1" t="n">
        <f aca="false">EXP($FQ88/$JG$4)*(-1)^$FQ88*IE88</f>
        <v>-0</v>
      </c>
      <c r="IJ88" s="1" t="n">
        <f aca="false">(-1)^ID88*IE88</f>
        <v>-0</v>
      </c>
      <c r="IK88" s="1" t="n">
        <v>0</v>
      </c>
      <c r="IM88" s="1" t="n">
        <f aca="false">$AM88</f>
        <v>77</v>
      </c>
      <c r="IN88" s="1" t="n">
        <f aca="false">GD88</f>
        <v>0</v>
      </c>
      <c r="IO88" s="1" t="n">
        <f aca="false">IO$6*(1+IO$5*(-1)^$FQ88)*EXP(-$FQ88/IO$4)</f>
        <v>6.13385016111838E-009</v>
      </c>
      <c r="IP88" s="1" t="n">
        <f aca="false">(IN88-IO88)^2</f>
        <v>3.7624117799052E-017</v>
      </c>
      <c r="IQ88" s="1" t="n">
        <f aca="false">EXP($FQ88/$JG$4)*IN88</f>
        <v>0</v>
      </c>
      <c r="IR88" s="1" t="n">
        <f aca="false">EXP($FQ88/$JG$4)*(-1)^$FQ88*IN88</f>
        <v>-0</v>
      </c>
      <c r="IS88" s="1" t="n">
        <f aca="false">(-1)^IM88*IN88</f>
        <v>-0</v>
      </c>
      <c r="IV88" s="1" t="n">
        <f aca="false">$AM88</f>
        <v>77</v>
      </c>
      <c r="IW88" s="1" t="n">
        <f aca="false">GH88</f>
        <v>0</v>
      </c>
      <c r="IX88" s="1" t="n">
        <f aca="false">IX$6*(1+IX$5*(-1)^$FQ88)*EXP(-$FQ88/IX$4)</f>
        <v>3.41659647029762E-006</v>
      </c>
      <c r="IY88" s="1" t="n">
        <f aca="false">(IW88-IX88)^2</f>
        <v>1.16731314408502E-011</v>
      </c>
      <c r="IZ88" s="1" t="n">
        <f aca="false">EXP($FQ88/$JG$4)*IW88</f>
        <v>0</v>
      </c>
      <c r="JA88" s="1" t="n">
        <f aca="false">EXP($FQ88/$JG$4)*(-1)^$FQ88*IW88</f>
        <v>-0</v>
      </c>
      <c r="JB88" s="1" t="n">
        <f aca="false">(-1)^IV88*IW88</f>
        <v>-0</v>
      </c>
      <c r="JE88" s="1" t="n">
        <f aca="false">$AM88</f>
        <v>77</v>
      </c>
      <c r="JF88" s="1" t="n">
        <f aca="false">GL88</f>
        <v>0</v>
      </c>
      <c r="JG88" s="1" t="n">
        <f aca="false">JG$6*(1+JG$5*(-1)^$FQ88)*EXP(-$FQ88/JG$4)</f>
        <v>1.1724325668017E-007</v>
      </c>
      <c r="JH88" s="1" t="n">
        <f aca="false">(JF88-JG88)^2</f>
        <v>1.37459812369722E-014</v>
      </c>
      <c r="JI88" s="1" t="n">
        <f aca="false">EXP($FQ88/$JG$4)*JF88</f>
        <v>0</v>
      </c>
      <c r="JJ88" s="1" t="n">
        <f aca="false">EXP($FQ88/$JG$4)*(-1)^$FQ88*JF88</f>
        <v>-0</v>
      </c>
      <c r="JK88" s="1" t="n">
        <f aca="false">(-1)^JE88*JF88</f>
        <v>-0</v>
      </c>
      <c r="JO88" s="1" t="n">
        <f aca="false">$AM88</f>
        <v>77</v>
      </c>
      <c r="JP88" s="1" t="n">
        <f aca="false">GM88</f>
        <v>0</v>
      </c>
      <c r="JQ88" s="1" t="n">
        <f aca="false">JQ$6*(1+JQ$5*(-1)^$FQ88)*EXP(-$FQ88/JQ$4)</f>
        <v>0.0057868670884074</v>
      </c>
      <c r="JR88" s="1" t="n">
        <f aca="false">(JP88-JQ88)^2</f>
        <v>3.34878306988927E-005</v>
      </c>
      <c r="JS88" s="1" t="n">
        <f aca="false">EXP($FQ88/$JG$4)*JP88</f>
        <v>0</v>
      </c>
      <c r="JT88" s="1" t="n">
        <f aca="false">EXP($FQ88/$JG$4)*(-1)^$FQ88*JP88</f>
        <v>-0</v>
      </c>
      <c r="JU88" s="1" t="n">
        <f aca="false">(-1)^JO88*JP88</f>
        <v>-0</v>
      </c>
    </row>
    <row r="89" customFormat="false" ht="16" hidden="false" customHeight="false" outlineLevel="0" collapsed="false">
      <c r="A89" s="1" t="n">
        <v>2</v>
      </c>
      <c r="B89" s="1" t="n">
        <v>2</v>
      </c>
      <c r="C89" s="1" t="n">
        <f aca="false">B89-A89</f>
        <v>0</v>
      </c>
      <c r="D89" s="1" t="n">
        <v>1</v>
      </c>
      <c r="E89" s="1" t="n">
        <v>1</v>
      </c>
      <c r="F89" s="1" t="n">
        <f aca="false">E89-D89</f>
        <v>0</v>
      </c>
      <c r="G89" s="1" t="n">
        <v>1</v>
      </c>
      <c r="H89" s="1" t="n">
        <v>1</v>
      </c>
      <c r="I89" s="1" t="n">
        <f aca="false">H89-G89</f>
        <v>0</v>
      </c>
      <c r="J89" s="1" t="n">
        <v>3</v>
      </c>
      <c r="K89" s="1" t="n">
        <v>3</v>
      </c>
      <c r="L89" s="1" t="n">
        <f aca="false">K89-J89</f>
        <v>0</v>
      </c>
      <c r="M89" s="1" t="n">
        <v>1</v>
      </c>
      <c r="N89" s="1" t="n">
        <v>2</v>
      </c>
      <c r="O89" s="1" t="n">
        <f aca="false">N89-M89</f>
        <v>1</v>
      </c>
      <c r="P89" s="1" t="n">
        <v>3</v>
      </c>
      <c r="Q89" s="1" t="n">
        <v>4</v>
      </c>
      <c r="R89" s="1" t="n">
        <f aca="false">Q89-P89</f>
        <v>1</v>
      </c>
      <c r="S89" s="1" t="n">
        <v>2</v>
      </c>
      <c r="T89" s="1" t="n">
        <v>10</v>
      </c>
      <c r="U89" s="1" t="n">
        <f aca="false">T89-S89</f>
        <v>8</v>
      </c>
      <c r="V89" s="1" t="n">
        <v>2</v>
      </c>
      <c r="W89" s="1" t="n">
        <v>2</v>
      </c>
      <c r="X89" s="1" t="n">
        <f aca="false">W89-V89</f>
        <v>0</v>
      </c>
      <c r="Y89" s="1" t="n">
        <v>3</v>
      </c>
      <c r="Z89" s="1" t="n">
        <v>9</v>
      </c>
      <c r="AA89" s="1" t="n">
        <f aca="false">Z89-Y89</f>
        <v>6</v>
      </c>
      <c r="AB89" s="1" t="n">
        <v>8</v>
      </c>
      <c r="AC89" s="1" t="n">
        <v>9</v>
      </c>
      <c r="AD89" s="1" t="n">
        <f aca="false">AC89-AB89</f>
        <v>1</v>
      </c>
      <c r="AE89" s="1" t="n">
        <v>2</v>
      </c>
      <c r="AF89" s="1" t="n">
        <v>5</v>
      </c>
      <c r="AG89" s="1" t="n">
        <f aca="false">AF89-AE89</f>
        <v>3</v>
      </c>
      <c r="AM89" s="1" t="n">
        <v>78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W89" s="1" t="n">
        <f aca="false">$AM89</f>
        <v>78</v>
      </c>
      <c r="BX89" s="1" t="n">
        <f aca="false">MAX(BX88-AN89/AN$9*100,0)</f>
        <v>0</v>
      </c>
      <c r="BY89" s="1" t="n">
        <f aca="false">MAX(BY88-AO89/AO$9*100,0)</f>
        <v>0</v>
      </c>
      <c r="BZ89" s="1" t="n">
        <f aca="false">MAX(BZ88-AQ89/AQ$9*100,0)</f>
        <v>0</v>
      </c>
      <c r="CA89" s="1" t="n">
        <f aca="false">MAX(CA88-AR89/AR$9*100,0)</f>
        <v>0</v>
      </c>
      <c r="CB89" s="1" t="n">
        <f aca="false">CB$7*EXP(-$AM89/CB$8)</f>
        <v>2.12167709611008E-042</v>
      </c>
      <c r="CC89" s="1" t="n">
        <f aca="false">(BZ89-CB89)^2</f>
        <v>4.5015137001581E-084</v>
      </c>
      <c r="CD89" s="1" t="n">
        <f aca="false">MAX(CD88-AT89/AT$9*100,0)</f>
        <v>0</v>
      </c>
      <c r="CE89" s="1" t="n">
        <f aca="false">MAX(CE88-AU89/AU$9*100,0)</f>
        <v>5.32907051820075E-015</v>
      </c>
      <c r="CF89" s="1" t="n">
        <f aca="false">CF$7*EXP(-$AM89/CF$8)</f>
        <v>2.75700749212777E-041</v>
      </c>
      <c r="CG89" s="1" t="n">
        <f aca="false">(CD89-CF89)^2</f>
        <v>7.60109031164866E-082</v>
      </c>
      <c r="CH89" s="1" t="n">
        <f aca="false">$AM89</f>
        <v>78</v>
      </c>
      <c r="CI89" s="1" t="n">
        <f aca="false">MAX(CI88-AW89/AW$9*100,0)</f>
        <v>0</v>
      </c>
      <c r="CJ89" s="1" t="n">
        <f aca="false">MAX(CJ88-AX89/AX$9*100,0)</f>
        <v>0</v>
      </c>
      <c r="CK89" s="1" t="n">
        <f aca="false">CK$7*EXP(-$AM89/CK$8)</f>
        <v>1.9836020209558E-027</v>
      </c>
      <c r="CL89" s="1" t="n">
        <f aca="false">(CI89-CK89)^2</f>
        <v>3.93467697753993E-054</v>
      </c>
      <c r="CM89" s="1" t="n">
        <f aca="false">MAX(CM88-AZ89/AZ$9*100,0)</f>
        <v>0</v>
      </c>
      <c r="CN89" s="1" t="n">
        <f aca="false">MAX(CN88-BA89/BA$9*100,0)</f>
        <v>5.32907051820075E-015</v>
      </c>
      <c r="CO89" s="1" t="n">
        <f aca="false">CO$7*EXP(-$AM89/CO$8)</f>
        <v>6.88348815771649E-015</v>
      </c>
      <c r="CP89" s="1" t="n">
        <f aca="false">(CM89-CO89)^2</f>
        <v>4.73824092174232E-029</v>
      </c>
      <c r="CQ89" s="1" t="n">
        <f aca="false">$AM89</f>
        <v>78</v>
      </c>
      <c r="CR89" s="1" t="n">
        <f aca="false">MAX(CR88-BC89/BC$9*100,0)</f>
        <v>0</v>
      </c>
      <c r="CS89" s="1" t="n">
        <f aca="false">MAX(CS88-BD89/BD$9*100,0)</f>
        <v>0</v>
      </c>
      <c r="CT89" s="1" t="n">
        <f aca="false">CT$7*EXP(-$AM89/CT$8)</f>
        <v>3.119700728862E-025</v>
      </c>
      <c r="CU89" s="1" t="n">
        <f aca="false">(CR89-CT89)^2</f>
        <v>9.7325326376621E-050</v>
      </c>
      <c r="CV89" s="1" t="n">
        <f aca="false">MAX(CV88-BF89/BF$9*100,0)</f>
        <v>8.88178419700125E-015</v>
      </c>
      <c r="CW89" s="1" t="n">
        <f aca="false">MAX(CW88-BG89/BG$9*100,0)</f>
        <v>5.32907051820075E-015</v>
      </c>
      <c r="CX89" s="1" t="n">
        <f aca="false">CX$7*EXP(-$AM89/CX$8)</f>
        <v>1.35446745607148E-012</v>
      </c>
      <c r="CY89" s="1" t="n">
        <f aca="false">(CV89-CX89)^2</f>
        <v>1.81060080035389E-024</v>
      </c>
      <c r="CZ89" s="1" t="n">
        <f aca="false">$AM89</f>
        <v>78</v>
      </c>
      <c r="DA89" s="1" t="n">
        <f aca="false">MAX(DA88-BI89/BI$9*100,0)</f>
        <v>0</v>
      </c>
      <c r="DB89" s="1" t="n">
        <f aca="false">MAX(DB88-BJ89/BJ$9*100,0)</f>
        <v>9.88098491916389E-015</v>
      </c>
      <c r="DC89" s="1" t="n">
        <f aca="false">DC$7*EXP(-$AM89/DC$8)</f>
        <v>3.005140687677E-023</v>
      </c>
      <c r="DD89" s="1" t="n">
        <f aca="false">(DA89-DC89)^2</f>
        <v>9.03087055273179E-046</v>
      </c>
      <c r="DE89" s="1" t="n">
        <f aca="false">MAX(DE88-BL89/BL$9*100,0)</f>
        <v>0</v>
      </c>
      <c r="DF89" s="1" t="n">
        <f aca="false">MAX(DF88-BM89/BM$9*100,0)</f>
        <v>0</v>
      </c>
      <c r="DG89" s="1" t="n">
        <f aca="false">DG$7*EXP(-$AM89/DG$8)</f>
        <v>4.09491272249156E-007</v>
      </c>
      <c r="DH89" s="1" t="n">
        <f aca="false">(DE89-DG89)^2</f>
        <v>1.67683102048232E-013</v>
      </c>
      <c r="DI89" s="1" t="n">
        <f aca="false">$AM89</f>
        <v>78</v>
      </c>
      <c r="DJ89" s="1" t="n">
        <f aca="false">MAX(DJ88-BO89/BO$9*100,0)</f>
        <v>0</v>
      </c>
      <c r="DK89" s="1" t="n">
        <f aca="false">MAX(DK88-BP89/BP$9*100,0)</f>
        <v>9.99200722162641E-015</v>
      </c>
      <c r="DL89" s="1" t="n">
        <f aca="false">DL$7*EXP(-$AM89/DL$8)</f>
        <v>2.47685924668976E-019</v>
      </c>
      <c r="DM89" s="1" t="n">
        <f aca="false">(DJ89-DL89)^2</f>
        <v>6.13483172791257E-038</v>
      </c>
      <c r="DN89" s="1" t="n">
        <f aca="false">MAX(DN88-BR89/BR$9*100,0)</f>
        <v>0</v>
      </c>
      <c r="DO89" s="1" t="n">
        <f aca="false">MAX(DO88-BS89/BS$9*100,0)</f>
        <v>0</v>
      </c>
      <c r="DP89" s="1" t="n">
        <f aca="false">DP$7*EXP(-$AM89/DP$8)</f>
        <v>3.09065952990223E-008</v>
      </c>
      <c r="DQ89" s="1" t="n">
        <f aca="false">(DN89-DP89)^2</f>
        <v>9.55217632977547E-016</v>
      </c>
      <c r="DS89" s="1" t="n">
        <f aca="false">$AM89</f>
        <v>78</v>
      </c>
      <c r="DT89" s="1" t="n">
        <f aca="false">CA89</f>
        <v>0</v>
      </c>
      <c r="DU89" s="1" t="n">
        <f aca="false">DU$7*EXP(-DS89/DU$8)</f>
        <v>1.94777390948079E-033</v>
      </c>
      <c r="DV89" s="1" t="n">
        <f aca="false">(DT89-DU89)^2</f>
        <v>3.79382320245408E-066</v>
      </c>
      <c r="DX89" s="1" t="n">
        <f aca="false">$AM89</f>
        <v>78</v>
      </c>
      <c r="DY89" s="1" t="n">
        <f aca="false">CM89</f>
        <v>0</v>
      </c>
      <c r="DZ89" s="1" t="n">
        <f aca="false">DZ$7*EXP(-DX89/DZ$8)</f>
        <v>1.47155092380619E-017</v>
      </c>
      <c r="EA89" s="1" t="n">
        <f aca="false">(DY89-DZ89)^2</f>
        <v>2.16546212135485E-034</v>
      </c>
      <c r="EC89" s="1" t="n">
        <f aca="false">$AM89</f>
        <v>78</v>
      </c>
      <c r="ED89" s="1" t="n">
        <f aca="false">CV89</f>
        <v>8.88178419700125E-015</v>
      </c>
      <c r="EE89" s="1" t="n">
        <f aca="false">EE$7*EXP(-EC89/EE$8)</f>
        <v>2.28941859193248E-013</v>
      </c>
      <c r="EF89" s="1" t="n">
        <f aca="false">(ED89-EE89)^2</f>
        <v>4.84264366073537E-026</v>
      </c>
      <c r="EH89" s="1" t="n">
        <f aca="false">$AM89</f>
        <v>78</v>
      </c>
      <c r="EI89" s="1" t="n">
        <f aca="false">DE89</f>
        <v>0</v>
      </c>
      <c r="EJ89" s="1" t="n">
        <f aca="false">EJ$7*EXP(-EH89/EJ$8)</f>
        <v>4.07792138339409E-007</v>
      </c>
      <c r="EK89" s="1" t="n">
        <f aca="false">(EI89-EJ89)^2</f>
        <v>1.66294428091428E-013</v>
      </c>
      <c r="EM89" s="1" t="n">
        <f aca="false">AM89</f>
        <v>78</v>
      </c>
      <c r="EN89" s="1" t="n">
        <f aca="false">DN89</f>
        <v>0</v>
      </c>
      <c r="EO89" s="1" t="n">
        <f aca="false">EO$7*EXP(-EM89/EO$8)</f>
        <v>6.28590278562704E-008</v>
      </c>
      <c r="EP89" s="1" t="n">
        <f aca="false">(EN89-EO89)^2</f>
        <v>3.95125738303538E-015</v>
      </c>
      <c r="ER89" s="1" t="n">
        <f aca="false">$AM89</f>
        <v>78</v>
      </c>
      <c r="ES89" s="1" t="n">
        <f aca="false">BZ89</f>
        <v>0</v>
      </c>
      <c r="ET89" s="1" t="n">
        <f aca="false">ET$7*EXP(-ER89/ET$8)</f>
        <v>8.61204601373083E-039</v>
      </c>
      <c r="EU89" s="1" t="n">
        <f aca="false">(ES89-ET89)^2</f>
        <v>7.41673365426171E-077</v>
      </c>
      <c r="EW89" s="1" t="n">
        <f aca="false">$AM89</f>
        <v>78</v>
      </c>
      <c r="EX89" s="1" t="n">
        <f aca="false">CI89</f>
        <v>0</v>
      </c>
      <c r="EY89" s="1" t="n">
        <f aca="false">EY$7*EXP(-EW89/EY$8)</f>
        <v>1.45856160939859E-035</v>
      </c>
      <c r="EZ89" s="1" t="n">
        <f aca="false">(EX89-EY89)^2</f>
        <v>2.12740196841141E-070</v>
      </c>
      <c r="FB89" s="1" t="n">
        <f aca="false">$AM89</f>
        <v>78</v>
      </c>
      <c r="FC89" s="1" t="n">
        <f aca="false">CR89</f>
        <v>0</v>
      </c>
      <c r="FD89" s="1" t="n">
        <f aca="false">FD$7*EXP(-FB89/FD$8)</f>
        <v>9.73966913527553E-031</v>
      </c>
      <c r="FE89" s="1" t="n">
        <f aca="false">(FC89-FD89)^2</f>
        <v>9.48611548646388E-061</v>
      </c>
      <c r="FG89" s="1" t="n">
        <f aca="false">$AM89</f>
        <v>78</v>
      </c>
      <c r="FH89" s="1" t="n">
        <f aca="false">DA89</f>
        <v>0</v>
      </c>
      <c r="FI89" s="1" t="n">
        <f aca="false">FI$7*EXP(-FG89/FI$8)</f>
        <v>1.8778906912183E-026</v>
      </c>
      <c r="FJ89" s="1" t="n">
        <f aca="false">(FH89-FI89)^2</f>
        <v>3.52647344816435E-052</v>
      </c>
      <c r="FL89" s="1" t="n">
        <f aca="false">EM89</f>
        <v>78</v>
      </c>
      <c r="FM89" s="1" t="n">
        <f aca="false">DJ89</f>
        <v>0</v>
      </c>
      <c r="FN89" s="1" t="n">
        <f aca="false">FN$7*EXP(-FL89/FN$8)</f>
        <v>4.4374744184351E-021</v>
      </c>
      <c r="FO89" s="1" t="n">
        <f aca="false">(FM89-FN89)^2</f>
        <v>1.96911792142659E-041</v>
      </c>
      <c r="FQ89" s="1" t="n">
        <f aca="false">AM89</f>
        <v>78</v>
      </c>
      <c r="FR89" s="1" t="n">
        <f aca="false">AN89/AN$9*100</f>
        <v>0</v>
      </c>
      <c r="FS89" s="1" t="n">
        <f aca="false">AO89/AO$9*100</f>
        <v>0</v>
      </c>
      <c r="FT89" s="1" t="n">
        <f aca="false">AQ89/AQ$9*100</f>
        <v>0</v>
      </c>
      <c r="FU89" s="1" t="n">
        <f aca="false">AR89/AR$9*100</f>
        <v>0</v>
      </c>
      <c r="FV89" s="1" t="n">
        <f aca="false">AT89/AT$9*100</f>
        <v>0</v>
      </c>
      <c r="FW89" s="1" t="n">
        <f aca="false">AU89/AU$9*100</f>
        <v>0</v>
      </c>
      <c r="FX89" s="1" t="n">
        <f aca="false">AW89/AW$9*100</f>
        <v>0</v>
      </c>
      <c r="FY89" s="1" t="n">
        <f aca="false">AX89/AX$9*100</f>
        <v>0</v>
      </c>
      <c r="FZ89" s="1" t="n">
        <f aca="false">AZ89/AZ$9*100</f>
        <v>0</v>
      </c>
      <c r="GA89" s="1" t="n">
        <f aca="false">BA89/BA$9*100</f>
        <v>0</v>
      </c>
      <c r="GB89" s="1" t="n">
        <f aca="false">BC89/BC$9*100</f>
        <v>0</v>
      </c>
      <c r="GC89" s="1" t="n">
        <f aca="false">BD89/BD$9*100</f>
        <v>0</v>
      </c>
      <c r="GD89" s="1" t="n">
        <f aca="false">BF89/BF$9*100</f>
        <v>0</v>
      </c>
      <c r="GE89" s="1" t="n">
        <f aca="false">BG89/BG$9*100</f>
        <v>0</v>
      </c>
      <c r="GF89" s="1" t="n">
        <f aca="false">BI89/BI$9*100</f>
        <v>0</v>
      </c>
      <c r="GG89" s="1" t="n">
        <f aca="false">BJ89/BJ$9*100</f>
        <v>0</v>
      </c>
      <c r="GH89" s="1" t="n">
        <f aca="false">BL89/BL$9*100</f>
        <v>0</v>
      </c>
      <c r="GI89" s="1" t="n">
        <f aca="false">BM89/BM$9*100</f>
        <v>0</v>
      </c>
      <c r="GJ89" s="1" t="n">
        <f aca="false">BO89/BO$9*100</f>
        <v>0</v>
      </c>
      <c r="GK89" s="1" t="n">
        <f aca="false">BP89/BP$9*100</f>
        <v>0</v>
      </c>
      <c r="GL89" s="1" t="n">
        <f aca="false">BR89/BR$9*100</f>
        <v>0</v>
      </c>
      <c r="GM89" s="1" t="n">
        <f aca="false">BS89/BS$9*100</f>
        <v>0</v>
      </c>
      <c r="GO89" s="1" t="n">
        <f aca="false">$AM89</f>
        <v>78</v>
      </c>
      <c r="GP89" s="1" t="n">
        <f aca="false">FT89</f>
        <v>0</v>
      </c>
      <c r="GQ89" s="1" t="n">
        <f aca="false">GQ$6*(1+GQ$5*(-1)^$FQ89)*EXP(-$FQ89/GQ$4)</f>
        <v>4.45974088373373E-024</v>
      </c>
      <c r="GR89" s="1" t="n">
        <f aca="false">(GP89-GQ89)^2</f>
        <v>1.98892887500461E-047</v>
      </c>
      <c r="GS89" s="1" t="n">
        <f aca="false">EXP($FQ89/$JG$4)*GP89</f>
        <v>0</v>
      </c>
      <c r="GT89" s="1" t="n">
        <f aca="false">EXP($FQ89/$JG$4)*(-1)^$FQ89*GP89</f>
        <v>0</v>
      </c>
      <c r="GU89" s="1" t="n">
        <f aca="false">(-1)^GO89*GP89</f>
        <v>0</v>
      </c>
      <c r="GW89" s="1" t="n">
        <f aca="false">$AM89</f>
        <v>78</v>
      </c>
      <c r="GX89" s="1" t="n">
        <f aca="false">FX89</f>
        <v>0</v>
      </c>
      <c r="GY89" s="1" t="n">
        <f aca="false">GY$6*(1+GY$5*(-1)^$FQ89)*EXP(-$FQ89/GY$4)</f>
        <v>4.45974088373373E-024</v>
      </c>
      <c r="GZ89" s="1" t="n">
        <f aca="false">(GX89-GY89)^2</f>
        <v>1.98892887500461E-047</v>
      </c>
      <c r="HA89" s="1" t="n">
        <f aca="false">EXP($FQ89/$JG$4)*GX89</f>
        <v>0</v>
      </c>
      <c r="HB89" s="1" t="n">
        <f aca="false">EXP($FQ89/$JG$4)*(-1)^$FQ89*GX89</f>
        <v>0</v>
      </c>
      <c r="HC89" s="1" t="n">
        <f aca="false">(-1)^GW89*GX89</f>
        <v>0</v>
      </c>
      <c r="HE89" s="1" t="n">
        <f aca="false">$AM89</f>
        <v>78</v>
      </c>
      <c r="HF89" s="1" t="n">
        <f aca="false">GB89</f>
        <v>0</v>
      </c>
      <c r="HG89" s="1" t="n">
        <f aca="false">HG$6*(1+HG$5*(-1)^$FQ89)*EXP(-$FQ89/HG$4)</f>
        <v>4.45974088373373E-024</v>
      </c>
      <c r="HH89" s="1" t="n">
        <f aca="false">(HF89-HG89)^2</f>
        <v>1.98892887500461E-047</v>
      </c>
      <c r="HI89" s="1" t="n">
        <f aca="false">EXP($FQ89/$JG$4)*HF89</f>
        <v>0</v>
      </c>
      <c r="HJ89" s="1" t="n">
        <f aca="false">EXP($FQ89/$JG$4)*(-1)^$FQ89*HF89</f>
        <v>0</v>
      </c>
      <c r="HK89" s="1" t="n">
        <f aca="false">(-1)^HE89*HF89</f>
        <v>0</v>
      </c>
      <c r="HM89" s="1" t="n">
        <f aca="false">$AM89</f>
        <v>78</v>
      </c>
      <c r="HN89" s="1" t="n">
        <f aca="false">GF89</f>
        <v>0</v>
      </c>
      <c r="HO89" s="1" t="n">
        <f aca="false">HO$6*(1+HO$5*(-1)^$FQ89)*EXP(-$FQ89/HO$4)</f>
        <v>8.58292147143918E-019</v>
      </c>
      <c r="HP89" s="1" t="n">
        <f aca="false">(HN89-HO89)^2</f>
        <v>7.36665409848917E-037</v>
      </c>
      <c r="HQ89" s="1" t="n">
        <f aca="false">EXP($FQ89/$JG$4)*HN89</f>
        <v>0</v>
      </c>
      <c r="HR89" s="1" t="n">
        <f aca="false">EXP($FQ89/$JG$4)*(-1)^$FQ89*HN89</f>
        <v>0</v>
      </c>
      <c r="HS89" s="1" t="n">
        <f aca="false">(-1)^HM89*HN89</f>
        <v>0</v>
      </c>
      <c r="HU89" s="1" t="n">
        <f aca="false">$AM89</f>
        <v>78</v>
      </c>
      <c r="HV89" s="1" t="n">
        <f aca="false">GJ89</f>
        <v>0</v>
      </c>
      <c r="HW89" s="1" t="n">
        <f aca="false">HW$6*(1+HW$5*(-1)^$FQ89)*EXP(-$FQ89/HW$4)</f>
        <v>9.6100807363215E-014</v>
      </c>
      <c r="HX89" s="1" t="n">
        <f aca="false">(HV89-HW89)^2</f>
        <v>9.23536517586176E-027</v>
      </c>
      <c r="HY89" s="1" t="n">
        <f aca="false">EXP($FQ89/$JG$4)*HV89</f>
        <v>0</v>
      </c>
      <c r="HZ89" s="1" t="n">
        <f aca="false">EXP($FQ89/$JG$4)*(-1)^$FQ89*HV89</f>
        <v>0</v>
      </c>
      <c r="IA89" s="1" t="n">
        <f aca="false">(-1)^HU89*HV89</f>
        <v>0</v>
      </c>
      <c r="ID89" s="1" t="n">
        <f aca="false">$AM89</f>
        <v>78</v>
      </c>
      <c r="IE89" s="1" t="n">
        <f aca="false">FZ89</f>
        <v>0</v>
      </c>
      <c r="IF89" s="1" t="n">
        <f aca="false">IF$6*(1+IF$5*(-1)^$FQ89)*EXP(-$FQ89/IF$4)</f>
        <v>2.81686632212049E-010</v>
      </c>
      <c r="IG89" s="1" t="n">
        <f aca="false">(IE89-IF89)^2</f>
        <v>7.93473587669662E-020</v>
      </c>
      <c r="IH89" s="1" t="n">
        <f aca="false">EXP($FQ89/$JG$4)*IE89</f>
        <v>0</v>
      </c>
      <c r="II89" s="1" t="n">
        <f aca="false">EXP($FQ89/$JG$4)*(-1)^$FQ89*IE89</f>
        <v>0</v>
      </c>
      <c r="IJ89" s="1" t="n">
        <f aca="false">(-1)^ID89*IE89</f>
        <v>0</v>
      </c>
      <c r="IK89" s="1" t="n">
        <v>0</v>
      </c>
      <c r="IM89" s="1" t="n">
        <f aca="false">$AM89</f>
        <v>78</v>
      </c>
      <c r="IN89" s="1" t="n">
        <f aca="false">GD89</f>
        <v>0</v>
      </c>
      <c r="IO89" s="1" t="n">
        <f aca="false">IO$6*(1+IO$5*(-1)^$FQ89)*EXP(-$FQ89/IO$4)</f>
        <v>1.00237226791002E-008</v>
      </c>
      <c r="IP89" s="1" t="n">
        <f aca="false">(IN89-IO89)^2</f>
        <v>1.00475016347508E-016</v>
      </c>
      <c r="IQ89" s="1" t="n">
        <f aca="false">EXP($FQ89/$JG$4)*IN89</f>
        <v>0</v>
      </c>
      <c r="IR89" s="1" t="n">
        <f aca="false">EXP($FQ89/$JG$4)*(-1)^$FQ89*IN89</f>
        <v>0</v>
      </c>
      <c r="IS89" s="1" t="n">
        <f aca="false">(-1)^IM89*IN89</f>
        <v>0</v>
      </c>
      <c r="IV89" s="1" t="n">
        <f aca="false">$AM89</f>
        <v>78</v>
      </c>
      <c r="IW89" s="1" t="n">
        <f aca="false">GH89</f>
        <v>0</v>
      </c>
      <c r="IX89" s="1" t="n">
        <f aca="false">IX$6*(1+IX$5*(-1)^$FQ89)*EXP(-$FQ89/IX$4)</f>
        <v>1.09317272124949E-005</v>
      </c>
      <c r="IY89" s="1" t="n">
        <f aca="false">(IW89-IX89)^2</f>
        <v>1.19502659848402E-010</v>
      </c>
      <c r="IZ89" s="1" t="n">
        <f aca="false">EXP($FQ89/$JG$4)*IW89</f>
        <v>0</v>
      </c>
      <c r="JA89" s="1" t="n">
        <f aca="false">EXP($FQ89/$JG$4)*(-1)^$FQ89*IW89</f>
        <v>0</v>
      </c>
      <c r="JB89" s="1" t="n">
        <f aca="false">(-1)^IV89*IW89</f>
        <v>0</v>
      </c>
      <c r="JE89" s="1" t="n">
        <f aca="false">$AM89</f>
        <v>78</v>
      </c>
      <c r="JF89" s="1" t="n">
        <f aca="false">GL89</f>
        <v>0</v>
      </c>
      <c r="JG89" s="1" t="n">
        <f aca="false">JG$6*(1+JG$5*(-1)^$FQ89)*EXP(-$FQ89/JG$4)</f>
        <v>6.07674210239453E-007</v>
      </c>
      <c r="JH89" s="1" t="n">
        <f aca="false">(JF89-JG89)^2</f>
        <v>3.69267945790143E-013</v>
      </c>
      <c r="JI89" s="1" t="n">
        <f aca="false">EXP($FQ89/$JG$4)*JF89</f>
        <v>0</v>
      </c>
      <c r="JJ89" s="1" t="n">
        <f aca="false">EXP($FQ89/$JG$4)*(-1)^$FQ89*JF89</f>
        <v>0</v>
      </c>
      <c r="JK89" s="1" t="n">
        <f aca="false">(-1)^JE89*JF89</f>
        <v>0</v>
      </c>
      <c r="JO89" s="1" t="n">
        <f aca="false">$AM89</f>
        <v>78</v>
      </c>
      <c r="JP89" s="1" t="n">
        <f aca="false">GM89</f>
        <v>0</v>
      </c>
      <c r="JQ89" s="1" t="n">
        <f aca="false">JQ$6*(1+JQ$5*(-1)^$FQ89)*EXP(-$FQ89/JQ$4)</f>
        <v>0.0280452459192975</v>
      </c>
      <c r="JR89" s="1" t="n">
        <f aca="false">(JP89-JQ89)^2</f>
        <v>0.000786535818673873</v>
      </c>
      <c r="JS89" s="1" t="n">
        <f aca="false">EXP($FQ89/$JG$4)*JP89</f>
        <v>0</v>
      </c>
      <c r="JT89" s="1" t="n">
        <f aca="false">EXP($FQ89/$JG$4)*(-1)^$FQ89*JP89</f>
        <v>0</v>
      </c>
      <c r="JU89" s="1" t="n">
        <f aca="false">(-1)^JO89*JP89</f>
        <v>0</v>
      </c>
    </row>
    <row r="90" customFormat="false" ht="16" hidden="false" customHeight="false" outlineLevel="0" collapsed="false">
      <c r="A90" s="1" t="n">
        <v>2</v>
      </c>
      <c r="B90" s="1" t="n">
        <v>2</v>
      </c>
      <c r="C90" s="1" t="n">
        <f aca="false">B90-A90</f>
        <v>0</v>
      </c>
      <c r="D90" s="1" t="n">
        <v>2</v>
      </c>
      <c r="E90" s="1" t="n">
        <v>2</v>
      </c>
      <c r="F90" s="1" t="n">
        <f aca="false">E90-D90</f>
        <v>0</v>
      </c>
      <c r="G90" s="1" t="n">
        <v>1</v>
      </c>
      <c r="H90" s="1" t="n">
        <v>1</v>
      </c>
      <c r="I90" s="1" t="n">
        <f aca="false">H90-G90</f>
        <v>0</v>
      </c>
      <c r="J90" s="1" t="n">
        <v>2</v>
      </c>
      <c r="K90" s="1" t="n">
        <v>4</v>
      </c>
      <c r="L90" s="1" t="n">
        <f aca="false">K90-J90</f>
        <v>2</v>
      </c>
      <c r="M90" s="1" t="n">
        <v>1</v>
      </c>
      <c r="N90" s="1" t="n">
        <v>3</v>
      </c>
      <c r="O90" s="1" t="n">
        <f aca="false">N90-M90</f>
        <v>2</v>
      </c>
      <c r="P90" s="1" t="n">
        <v>2</v>
      </c>
      <c r="Q90" s="1" t="n">
        <v>4</v>
      </c>
      <c r="R90" s="1" t="n">
        <f aca="false">Q90-P90</f>
        <v>2</v>
      </c>
      <c r="S90" s="1" t="n">
        <v>3</v>
      </c>
      <c r="T90" s="1" t="n">
        <v>6</v>
      </c>
      <c r="U90" s="1" t="n">
        <f aca="false">T90-S90</f>
        <v>3</v>
      </c>
      <c r="V90" s="1" t="n">
        <v>2</v>
      </c>
      <c r="W90" s="1" t="n">
        <v>2</v>
      </c>
      <c r="X90" s="1" t="n">
        <f aca="false">W90-V90</f>
        <v>0</v>
      </c>
      <c r="Y90" s="1" t="n">
        <v>12</v>
      </c>
      <c r="Z90" s="1" t="n">
        <v>28</v>
      </c>
      <c r="AA90" s="1" t="n">
        <f aca="false">Z90-Y90</f>
        <v>16</v>
      </c>
      <c r="AB90" s="1" t="n">
        <v>2</v>
      </c>
      <c r="AC90" s="1" t="n">
        <v>4</v>
      </c>
      <c r="AD90" s="1" t="n">
        <f aca="false">AC90-AB90</f>
        <v>2</v>
      </c>
      <c r="AE90" s="1" t="n">
        <v>10</v>
      </c>
      <c r="AF90" s="1" t="n">
        <v>26</v>
      </c>
      <c r="AG90" s="1" t="n">
        <f aca="false">AF90-AE90</f>
        <v>16</v>
      </c>
      <c r="AM90" s="1" t="n">
        <v>79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W90" s="1" t="n">
        <f aca="false">$AM90</f>
        <v>79</v>
      </c>
      <c r="BX90" s="1" t="n">
        <f aca="false">MAX(BX89-AN90/AN$9*100,0)</f>
        <v>0</v>
      </c>
      <c r="BY90" s="1" t="n">
        <f aca="false">MAX(BY89-AO90/AO$9*100,0)</f>
        <v>0</v>
      </c>
      <c r="BZ90" s="1" t="n">
        <f aca="false">MAX(BZ89-AQ90/AQ$9*100,0)</f>
        <v>0</v>
      </c>
      <c r="CA90" s="1" t="n">
        <f aca="false">MAX(CA89-AR90/AR$9*100,0)</f>
        <v>0</v>
      </c>
      <c r="CB90" s="1" t="n">
        <f aca="false">CB$7*EXP(-$AM90/CB$8)</f>
        <v>5.78975891938533E-043</v>
      </c>
      <c r="CC90" s="1" t="n">
        <f aca="false">(BZ90-CB90)^2</f>
        <v>3.3521308344602E-085</v>
      </c>
      <c r="CD90" s="1" t="n">
        <f aca="false">MAX(CD89-AT90/AT$9*100,0)</f>
        <v>0</v>
      </c>
      <c r="CE90" s="1" t="n">
        <f aca="false">MAX(CE89-AU90/AU$9*100,0)</f>
        <v>5.32907051820075E-015</v>
      </c>
      <c r="CF90" s="1" t="n">
        <f aca="false">CF$7*EXP(-$AM90/CF$8)</f>
        <v>7.77495878988355E-042</v>
      </c>
      <c r="CG90" s="1" t="n">
        <f aca="false">(CD90-CF90)^2</f>
        <v>6.04499841843875E-083</v>
      </c>
      <c r="CH90" s="1" t="n">
        <f aca="false">$AM90</f>
        <v>79</v>
      </c>
      <c r="CI90" s="1" t="n">
        <f aca="false">MAX(CI89-AW90/AW$9*100,0)</f>
        <v>0</v>
      </c>
      <c r="CJ90" s="1" t="n">
        <f aca="false">MAX(CJ89-AX90/AX$9*100,0)</f>
        <v>0</v>
      </c>
      <c r="CK90" s="1" t="n">
        <f aca="false">CK$7*EXP(-$AM90/CK$8)</f>
        <v>8.43844991818645E-028</v>
      </c>
      <c r="CL90" s="1" t="n">
        <f aca="false">(CI90-CK90)^2</f>
        <v>7.12074370217409E-055</v>
      </c>
      <c r="CM90" s="1" t="n">
        <f aca="false">MAX(CM89-AZ90/AZ$9*100,0)</f>
        <v>0</v>
      </c>
      <c r="CN90" s="1" t="n">
        <f aca="false">MAX(CN89-BA90/BA$9*100,0)</f>
        <v>5.32907051820075E-015</v>
      </c>
      <c r="CO90" s="1" t="n">
        <f aca="false">CO$7*EXP(-$AM90/CO$8)</f>
        <v>4.25611295711734E-015</v>
      </c>
      <c r="CP90" s="1" t="n">
        <f aca="false">(CM90-CO90)^2</f>
        <v>1.81144975037421E-029</v>
      </c>
      <c r="CQ90" s="1" t="n">
        <f aca="false">$AM90</f>
        <v>79</v>
      </c>
      <c r="CR90" s="1" t="n">
        <f aca="false">MAX(CR89-BC90/BC$9*100,0)</f>
        <v>0</v>
      </c>
      <c r="CS90" s="1" t="n">
        <f aca="false">MAX(CS89-BD90/BD$9*100,0)</f>
        <v>0</v>
      </c>
      <c r="CT90" s="1" t="n">
        <f aca="false">CT$7*EXP(-$AM90/CT$8)</f>
        <v>1.41954372872616E-025</v>
      </c>
      <c r="CU90" s="1" t="n">
        <f aca="false">(CR90-CT90)^2</f>
        <v>2.01510439776577E-050</v>
      </c>
      <c r="CV90" s="1" t="n">
        <f aca="false">MAX(CV89-BF90/BF$9*100,0)</f>
        <v>8.88178419700125E-015</v>
      </c>
      <c r="CW90" s="1" t="n">
        <f aca="false">MAX(CW89-BG90/BG$9*100,0)</f>
        <v>5.32907051820075E-015</v>
      </c>
      <c r="CX90" s="1" t="n">
        <f aca="false">CX$7*EXP(-$AM90/CX$8)</f>
        <v>8.9600007279141E-013</v>
      </c>
      <c r="CY90" s="1" t="n">
        <f aca="false">(CV90-CX90)^2</f>
        <v>7.86978857958673E-025</v>
      </c>
      <c r="CZ90" s="1" t="n">
        <f aca="false">$AM90</f>
        <v>79</v>
      </c>
      <c r="DA90" s="1" t="n">
        <f aca="false">MAX(DA89-BI90/BI$9*100,0)</f>
        <v>0</v>
      </c>
      <c r="DB90" s="1" t="n">
        <f aca="false">MAX(DB89-BJ90/BJ$9*100,0)</f>
        <v>9.88098491916389E-015</v>
      </c>
      <c r="DC90" s="1" t="n">
        <f aca="false">DC$7*EXP(-$AM90/DC$8)</f>
        <v>1.44831002607955E-023</v>
      </c>
      <c r="DD90" s="1" t="n">
        <f aca="false">(DA90-DC90)^2</f>
        <v>2.09760193164255E-046</v>
      </c>
      <c r="DE90" s="1" t="n">
        <f aca="false">MAX(DE89-BL90/BL$9*100,0)</f>
        <v>0</v>
      </c>
      <c r="DF90" s="1" t="n">
        <f aca="false">MAX(DF89-BM90/BM$9*100,0)</f>
        <v>0</v>
      </c>
      <c r="DG90" s="1" t="n">
        <f aca="false">DG$7*EXP(-$AM90/DG$8)</f>
        <v>3.18912123488549E-007</v>
      </c>
      <c r="DH90" s="1" t="n">
        <f aca="false">(DE90-DG90)^2</f>
        <v>1.01704942507976E-013</v>
      </c>
      <c r="DI90" s="1" t="n">
        <f aca="false">$AM90</f>
        <v>79</v>
      </c>
      <c r="DJ90" s="1" t="n">
        <f aca="false">MAX(DJ89-BO90/BO$9*100,0)</f>
        <v>0</v>
      </c>
      <c r="DK90" s="1" t="n">
        <f aca="false">MAX(DK89-BP90/BP$9*100,0)</f>
        <v>9.99200722162641E-015</v>
      </c>
      <c r="DL90" s="1" t="n">
        <f aca="false">DL$7*EXP(-$AM90/DL$8)</f>
        <v>1.34110565883261E-019</v>
      </c>
      <c r="DM90" s="1" t="n">
        <f aca="false">(DJ90-DL90)^2</f>
        <v>1.79856438815285E-038</v>
      </c>
      <c r="DN90" s="1" t="n">
        <f aca="false">MAX(DN89-BR90/BR$9*100,0)</f>
        <v>0</v>
      </c>
      <c r="DO90" s="1" t="n">
        <f aca="false">MAX(DO89-BS90/BS$9*100,0)</f>
        <v>0</v>
      </c>
      <c r="DP90" s="1" t="n">
        <f aca="false">DP$7*EXP(-$AM90/DP$8)</f>
        <v>2.32820687383484E-008</v>
      </c>
      <c r="DQ90" s="1" t="n">
        <f aca="false">(DN90-DP90)^2</f>
        <v>5.4205472473718E-016</v>
      </c>
      <c r="DS90" s="1" t="n">
        <f aca="false">$AM90</f>
        <v>79</v>
      </c>
      <c r="DT90" s="1" t="n">
        <f aca="false">CA90</f>
        <v>0</v>
      </c>
      <c r="DU90" s="1" t="n">
        <f aca="false">DU$7*EXP(-DS90/DU$8)</f>
        <v>6.94723954934328E-034</v>
      </c>
      <c r="DV90" s="1" t="n">
        <f aca="false">(DT90-DU90)^2</f>
        <v>4.82641373559594E-067</v>
      </c>
      <c r="DX90" s="1" t="n">
        <f aca="false">$AM90</f>
        <v>79</v>
      </c>
      <c r="DY90" s="1" t="n">
        <f aca="false">CM90</f>
        <v>0</v>
      </c>
      <c r="DZ90" s="1" t="n">
        <f aca="false">DZ$7*EXP(-DX90/DZ$8)</f>
        <v>8.39053458194156E-018</v>
      </c>
      <c r="EA90" s="1" t="n">
        <f aca="false">(DY90-DZ90)^2</f>
        <v>7.04010705707572E-035</v>
      </c>
      <c r="EC90" s="1" t="n">
        <f aca="false">$AM90</f>
        <v>79</v>
      </c>
      <c r="ED90" s="1" t="n">
        <f aca="false">CV90</f>
        <v>8.88178419700125E-015</v>
      </c>
      <c r="EE90" s="1" t="n">
        <f aca="false">EE$7*EXP(-EC90/EE$8)</f>
        <v>1.47937051949959E-013</v>
      </c>
      <c r="EF90" s="1" t="n">
        <f aca="false">(ED90-EE90)^2</f>
        <v>1.93363674898468E-026</v>
      </c>
      <c r="EH90" s="1" t="n">
        <f aca="false">$AM90</f>
        <v>79</v>
      </c>
      <c r="EI90" s="1" t="n">
        <f aca="false">DE90</f>
        <v>0</v>
      </c>
      <c r="EJ90" s="1" t="n">
        <f aca="false">EJ$7*EXP(-EH90/EJ$8)</f>
        <v>3.17588836669094E-007</v>
      </c>
      <c r="EK90" s="1" t="n">
        <f aca="false">(EI90-EJ90)^2</f>
        <v>1.00862669176828E-013</v>
      </c>
      <c r="EM90" s="1" t="n">
        <f aca="false">AM90</f>
        <v>79</v>
      </c>
      <c r="EN90" s="1" t="n">
        <f aca="false">DN90</f>
        <v>0</v>
      </c>
      <c r="EO90" s="1" t="n">
        <f aca="false">EO$7*EXP(-EM90/EO$8)</f>
        <v>4.7795044534177E-008</v>
      </c>
      <c r="EP90" s="1" t="n">
        <f aca="false">(EN90-EO90)^2</f>
        <v>2.28436628202396E-015</v>
      </c>
      <c r="ER90" s="1" t="n">
        <f aca="false">$AM90</f>
        <v>79</v>
      </c>
      <c r="ES90" s="1" t="n">
        <f aca="false">BZ90</f>
        <v>0</v>
      </c>
      <c r="ET90" s="1" t="n">
        <f aca="false">ET$7*EXP(-ER90/ET$8)</f>
        <v>2.61872021791605E-039</v>
      </c>
      <c r="EU90" s="1" t="n">
        <f aca="false">(ES90-ET90)^2</f>
        <v>6.85769557972229E-078</v>
      </c>
      <c r="EW90" s="1" t="n">
        <f aca="false">$AM90</f>
        <v>79</v>
      </c>
      <c r="EX90" s="1" t="n">
        <f aca="false">CI90</f>
        <v>0</v>
      </c>
      <c r="EY90" s="1" t="n">
        <f aca="false">EY$7*EXP(-EW90/EY$8)</f>
        <v>4.86046807568264E-036</v>
      </c>
      <c r="EZ90" s="1" t="n">
        <f aca="false">(EX90-EY90)^2</f>
        <v>2.36241499147301E-071</v>
      </c>
      <c r="FB90" s="1" t="n">
        <f aca="false">$AM90</f>
        <v>79</v>
      </c>
      <c r="FC90" s="1" t="n">
        <f aca="false">CR90</f>
        <v>0</v>
      </c>
      <c r="FD90" s="1" t="n">
        <f aca="false">FD$7*EXP(-FB90/FD$8)</f>
        <v>3.75777187385525E-031</v>
      </c>
      <c r="FE90" s="1" t="n">
        <f aca="false">(FC90-FD90)^2</f>
        <v>1.41208494559376E-061</v>
      </c>
      <c r="FG90" s="1" t="n">
        <f aca="false">$AM90</f>
        <v>79</v>
      </c>
      <c r="FH90" s="1" t="n">
        <f aca="false">DA90</f>
        <v>0</v>
      </c>
      <c r="FI90" s="1" t="n">
        <f aca="false">FI$7*EXP(-FG90/FI$8)</f>
        <v>8.21768045539779E-027</v>
      </c>
      <c r="FJ90" s="1" t="n">
        <f aca="false">(FH90-FI90)^2</f>
        <v>6.75302720670268E-053</v>
      </c>
      <c r="FL90" s="1" t="n">
        <f aca="false">EM90</f>
        <v>79</v>
      </c>
      <c r="FM90" s="1" t="n">
        <f aca="false">DJ90</f>
        <v>0</v>
      </c>
      <c r="FN90" s="1" t="n">
        <f aca="false">FN$7*EXP(-FL90/FN$8)</f>
        <v>2.27827533169378E-021</v>
      </c>
      <c r="FO90" s="1" t="n">
        <f aca="false">(FM90-FN90)^2</f>
        <v>5.1905384870044E-042</v>
      </c>
      <c r="FQ90" s="1" t="n">
        <f aca="false">AM90</f>
        <v>79</v>
      </c>
      <c r="FR90" s="1" t="n">
        <f aca="false">AN90/AN$9*100</f>
        <v>0</v>
      </c>
      <c r="FS90" s="1" t="n">
        <f aca="false">AO90/AO$9*100</f>
        <v>0</v>
      </c>
      <c r="FT90" s="1" t="n">
        <f aca="false">AQ90/AQ$9*100</f>
        <v>0</v>
      </c>
      <c r="FU90" s="1" t="n">
        <f aca="false">AR90/AR$9*100</f>
        <v>0</v>
      </c>
      <c r="FV90" s="1" t="n">
        <f aca="false">AT90/AT$9*100</f>
        <v>0</v>
      </c>
      <c r="FW90" s="1" t="n">
        <f aca="false">AU90/AU$9*100</f>
        <v>0</v>
      </c>
      <c r="FX90" s="1" t="n">
        <f aca="false">AW90/AW$9*100</f>
        <v>0</v>
      </c>
      <c r="FY90" s="1" t="n">
        <f aca="false">AX90/AX$9*100</f>
        <v>0</v>
      </c>
      <c r="FZ90" s="1" t="n">
        <f aca="false">AZ90/AZ$9*100</f>
        <v>0</v>
      </c>
      <c r="GA90" s="1" t="n">
        <f aca="false">BA90/BA$9*100</f>
        <v>0</v>
      </c>
      <c r="GB90" s="1" t="n">
        <f aca="false">BC90/BC$9*100</f>
        <v>0</v>
      </c>
      <c r="GC90" s="1" t="n">
        <f aca="false">BD90/BD$9*100</f>
        <v>0</v>
      </c>
      <c r="GD90" s="1" t="n">
        <f aca="false">BF90/BF$9*100</f>
        <v>0</v>
      </c>
      <c r="GE90" s="1" t="n">
        <f aca="false">BG90/BG$9*100</f>
        <v>0</v>
      </c>
      <c r="GF90" s="1" t="n">
        <f aca="false">BI90/BI$9*100</f>
        <v>0</v>
      </c>
      <c r="GG90" s="1" t="n">
        <f aca="false">BJ90/BJ$9*100</f>
        <v>0</v>
      </c>
      <c r="GH90" s="1" t="n">
        <f aca="false">BL90/BL$9*100</f>
        <v>0</v>
      </c>
      <c r="GI90" s="1" t="n">
        <f aca="false">BM90/BM$9*100</f>
        <v>0</v>
      </c>
      <c r="GJ90" s="1" t="n">
        <f aca="false">BO90/BO$9*100</f>
        <v>0</v>
      </c>
      <c r="GK90" s="1" t="n">
        <f aca="false">BP90/BP$9*100</f>
        <v>0</v>
      </c>
      <c r="GL90" s="1" t="n">
        <f aca="false">BR90/BR$9*100</f>
        <v>0</v>
      </c>
      <c r="GM90" s="1" t="n">
        <f aca="false">BS90/BS$9*100</f>
        <v>0</v>
      </c>
      <c r="GO90" s="1" t="n">
        <f aca="false">$AM90</f>
        <v>79</v>
      </c>
      <c r="GP90" s="1" t="n">
        <f aca="false">FT90</f>
        <v>0</v>
      </c>
      <c r="GQ90" s="1" t="n">
        <f aca="false">GQ$6*(1+GQ$5*(-1)^$FQ90)*EXP(-$FQ90/GQ$4)</f>
        <v>7.15620153781954E-025</v>
      </c>
      <c r="GR90" s="1" t="n">
        <f aca="false">(GP90-GQ90)^2</f>
        <v>5.12112204498908E-049</v>
      </c>
      <c r="GS90" s="1" t="n">
        <f aca="false">EXP($FQ90/$JG$4)*GP90</f>
        <v>0</v>
      </c>
      <c r="GT90" s="1" t="n">
        <f aca="false">EXP($FQ90/$JG$4)*(-1)^$FQ90*GP90</f>
        <v>-0</v>
      </c>
      <c r="GU90" s="1" t="n">
        <f aca="false">(-1)^GO90*GP90</f>
        <v>-0</v>
      </c>
      <c r="GW90" s="1" t="n">
        <f aca="false">$AM90</f>
        <v>79</v>
      </c>
      <c r="GX90" s="1" t="n">
        <f aca="false">FX90</f>
        <v>0</v>
      </c>
      <c r="GY90" s="1" t="n">
        <f aca="false">GY$6*(1+GY$5*(-1)^$FQ90)*EXP(-$FQ90/GY$4)</f>
        <v>7.15620153781954E-025</v>
      </c>
      <c r="GZ90" s="1" t="n">
        <f aca="false">(GX90-GY90)^2</f>
        <v>5.12112204498908E-049</v>
      </c>
      <c r="HA90" s="1" t="n">
        <f aca="false">EXP($FQ90/$JG$4)*GX90</f>
        <v>0</v>
      </c>
      <c r="HB90" s="1" t="n">
        <f aca="false">EXP($FQ90/$JG$4)*(-1)^$FQ90*GX90</f>
        <v>-0</v>
      </c>
      <c r="HC90" s="1" t="n">
        <f aca="false">(-1)^GW90*GX90</f>
        <v>-0</v>
      </c>
      <c r="HE90" s="1" t="n">
        <f aca="false">$AM90</f>
        <v>79</v>
      </c>
      <c r="HF90" s="1" t="n">
        <f aca="false">GB90</f>
        <v>0</v>
      </c>
      <c r="HG90" s="1" t="n">
        <f aca="false">HG$6*(1+HG$5*(-1)^$FQ90)*EXP(-$FQ90/HG$4)</f>
        <v>7.15620153781954E-025</v>
      </c>
      <c r="HH90" s="1" t="n">
        <f aca="false">(HF90-HG90)^2</f>
        <v>5.12112204498908E-049</v>
      </c>
      <c r="HI90" s="1" t="n">
        <f aca="false">EXP($FQ90/$JG$4)*HF90</f>
        <v>0</v>
      </c>
      <c r="HJ90" s="1" t="n">
        <f aca="false">EXP($FQ90/$JG$4)*(-1)^$FQ90*HF90</f>
        <v>-0</v>
      </c>
      <c r="HK90" s="1" t="n">
        <f aca="false">(-1)^HE90*HF90</f>
        <v>-0</v>
      </c>
      <c r="HM90" s="1" t="n">
        <f aca="false">$AM90</f>
        <v>79</v>
      </c>
      <c r="HN90" s="1" t="n">
        <f aca="false">GF90</f>
        <v>0</v>
      </c>
      <c r="HO90" s="1" t="n">
        <f aca="false">HO$6*(1+HO$5*(-1)^$FQ90)*EXP(-$FQ90/HO$4)</f>
        <v>1.03523087430474E-019</v>
      </c>
      <c r="HP90" s="1" t="n">
        <f aca="false">(HN90-HO90)^2</f>
        <v>1.07170296311376E-038</v>
      </c>
      <c r="HQ90" s="1" t="n">
        <f aca="false">EXP($FQ90/$JG$4)*HN90</f>
        <v>0</v>
      </c>
      <c r="HR90" s="1" t="n">
        <f aca="false">EXP($FQ90/$JG$4)*(-1)^$FQ90*HN90</f>
        <v>-0</v>
      </c>
      <c r="HS90" s="1" t="n">
        <f aca="false">(-1)^HM90*HN90</f>
        <v>-0</v>
      </c>
      <c r="HU90" s="1" t="n">
        <f aca="false">$AM90</f>
        <v>79</v>
      </c>
      <c r="HV90" s="1" t="n">
        <f aca="false">GJ90</f>
        <v>0</v>
      </c>
      <c r="HW90" s="1" t="n">
        <f aca="false">HW$6*(1+HW$5*(-1)^$FQ90)*EXP(-$FQ90/HW$4)</f>
        <v>2.05797493791689E-014</v>
      </c>
      <c r="HX90" s="1" t="n">
        <f aca="false">(HV90-HW90)^2</f>
        <v>4.23526084509403E-028</v>
      </c>
      <c r="HY90" s="1" t="n">
        <f aca="false">EXP($FQ90/$JG$4)*HV90</f>
        <v>0</v>
      </c>
      <c r="HZ90" s="1" t="n">
        <f aca="false">EXP($FQ90/$JG$4)*(-1)^$FQ90*HV90</f>
        <v>-0</v>
      </c>
      <c r="IA90" s="1" t="n">
        <f aca="false">(-1)^HU90*HV90</f>
        <v>-0</v>
      </c>
      <c r="ID90" s="1" t="n">
        <f aca="false">$AM90</f>
        <v>79</v>
      </c>
      <c r="IE90" s="1" t="n">
        <f aca="false">FZ90</f>
        <v>0</v>
      </c>
      <c r="IF90" s="1" t="n">
        <f aca="false">IF$6*(1+IF$5*(-1)^$FQ90)*EXP(-$FQ90/IF$4)</f>
        <v>1.03976786659099E-010</v>
      </c>
      <c r="IG90" s="1" t="n">
        <f aca="false">(IE90-IF90)^2</f>
        <v>1.08111721639518E-020</v>
      </c>
      <c r="IH90" s="1" t="n">
        <f aca="false">EXP($FQ90/$JG$4)*IE90</f>
        <v>0</v>
      </c>
      <c r="II90" s="1" t="n">
        <f aca="false">EXP($FQ90/$JG$4)*(-1)^$FQ90*IE90</f>
        <v>-0</v>
      </c>
      <c r="IJ90" s="1" t="n">
        <f aca="false">(-1)^ID90*IE90</f>
        <v>-0</v>
      </c>
      <c r="IK90" s="1" t="n">
        <v>0</v>
      </c>
      <c r="IM90" s="1" t="n">
        <f aca="false">$AM90</f>
        <v>79</v>
      </c>
      <c r="IN90" s="1" t="n">
        <f aca="false">GD90</f>
        <v>0</v>
      </c>
      <c r="IO90" s="1" t="n">
        <f aca="false">IO$6*(1+IO$5*(-1)^$FQ90)*EXP(-$FQ90/IO$4)</f>
        <v>3.46389634366376E-009</v>
      </c>
      <c r="IP90" s="1" t="n">
        <f aca="false">(IN90-IO90)^2</f>
        <v>1.19985778796472E-017</v>
      </c>
      <c r="IQ90" s="1" t="n">
        <f aca="false">EXP($FQ90/$JG$4)*IN90</f>
        <v>0</v>
      </c>
      <c r="IR90" s="1" t="n">
        <f aca="false">EXP($FQ90/$JG$4)*(-1)^$FQ90*IN90</f>
        <v>-0</v>
      </c>
      <c r="IS90" s="1" t="n">
        <f aca="false">(-1)^IM90*IN90</f>
        <v>-0</v>
      </c>
      <c r="IV90" s="1" t="n">
        <f aca="false">$AM90</f>
        <v>79</v>
      </c>
      <c r="IW90" s="1" t="n">
        <f aca="false">GH90</f>
        <v>0</v>
      </c>
      <c r="IX90" s="1" t="n">
        <f aca="false">IX$6*(1+IX$5*(-1)^$FQ90)*EXP(-$FQ90/IX$4)</f>
        <v>2.32571957739951E-006</v>
      </c>
      <c r="IY90" s="1" t="n">
        <f aca="false">(IW90-IX90)^2</f>
        <v>5.40897155269936E-012</v>
      </c>
      <c r="IZ90" s="1" t="n">
        <f aca="false">EXP($FQ90/$JG$4)*IW90</f>
        <v>0</v>
      </c>
      <c r="JA90" s="1" t="n">
        <f aca="false">EXP($FQ90/$JG$4)*(-1)^$FQ90*IW90</f>
        <v>-0</v>
      </c>
      <c r="JB90" s="1" t="n">
        <f aca="false">(-1)^IV90*IW90</f>
        <v>-0</v>
      </c>
      <c r="JE90" s="1" t="n">
        <f aca="false">$AM90</f>
        <v>79</v>
      </c>
      <c r="JF90" s="1" t="n">
        <f aca="false">GL90</f>
        <v>0</v>
      </c>
      <c r="JG90" s="1" t="n">
        <f aca="false">JG$6*(1+JG$5*(-1)^$FQ90)*EXP(-$FQ90/JG$4)</f>
        <v>7.34761727745987E-008</v>
      </c>
      <c r="JH90" s="1" t="n">
        <f aca="false">(JF90-JG90)^2</f>
        <v>5.39874796560268E-015</v>
      </c>
      <c r="JI90" s="1" t="n">
        <f aca="false">EXP($FQ90/$JG$4)*JF90</f>
        <v>0</v>
      </c>
      <c r="JJ90" s="1" t="n">
        <f aca="false">EXP($FQ90/$JG$4)*(-1)^$FQ90*JF90</f>
        <v>-0</v>
      </c>
      <c r="JK90" s="1" t="n">
        <f aca="false">(-1)^JE90*JF90</f>
        <v>-0</v>
      </c>
      <c r="JO90" s="1" t="n">
        <f aca="false">$AM90</f>
        <v>79</v>
      </c>
      <c r="JP90" s="1" t="n">
        <f aca="false">GM90</f>
        <v>0</v>
      </c>
      <c r="JQ90" s="1" t="n">
        <f aca="false">JQ$6*(1+JQ$5*(-1)^$FQ90)*EXP(-$FQ90/JQ$4)</f>
        <v>0.00493124284695935</v>
      </c>
      <c r="JR90" s="1" t="n">
        <f aca="false">(JP90-JQ90)^2</f>
        <v>2.43171560156878E-005</v>
      </c>
      <c r="JS90" s="1" t="n">
        <f aca="false">EXP($FQ90/$JG$4)*JP90</f>
        <v>0</v>
      </c>
      <c r="JT90" s="1" t="n">
        <f aca="false">EXP($FQ90/$JG$4)*(-1)^$FQ90*JP90</f>
        <v>-0</v>
      </c>
      <c r="JU90" s="1" t="n">
        <f aca="false">(-1)^JO90*JP90</f>
        <v>-0</v>
      </c>
    </row>
    <row r="91" customFormat="false" ht="16" hidden="false" customHeight="false" outlineLevel="0" collapsed="false">
      <c r="A91" s="1" t="n">
        <v>1</v>
      </c>
      <c r="B91" s="1" t="n">
        <v>1</v>
      </c>
      <c r="C91" s="1" t="n">
        <f aca="false">B91-A91</f>
        <v>0</v>
      </c>
      <c r="D91" s="1" t="n">
        <v>2</v>
      </c>
      <c r="E91" s="1" t="n">
        <v>2</v>
      </c>
      <c r="F91" s="1" t="n">
        <f aca="false">E91-D91</f>
        <v>0</v>
      </c>
      <c r="G91" s="1" t="n">
        <v>4</v>
      </c>
      <c r="H91" s="1" t="n">
        <v>4</v>
      </c>
      <c r="I91" s="1" t="n">
        <f aca="false">H91-G91</f>
        <v>0</v>
      </c>
      <c r="J91" s="1" t="n">
        <v>2</v>
      </c>
      <c r="K91" s="1" t="n">
        <v>2</v>
      </c>
      <c r="L91" s="1" t="n">
        <f aca="false">K91-J91</f>
        <v>0</v>
      </c>
      <c r="M91" s="1" t="n">
        <v>2</v>
      </c>
      <c r="N91" s="1" t="n">
        <v>3</v>
      </c>
      <c r="O91" s="1" t="n">
        <f aca="false">N91-M91</f>
        <v>1</v>
      </c>
      <c r="P91" s="1" t="n">
        <v>4</v>
      </c>
      <c r="Q91" s="1" t="n">
        <v>6</v>
      </c>
      <c r="R91" s="1" t="n">
        <f aca="false">Q91-P91</f>
        <v>2</v>
      </c>
      <c r="S91" s="1" t="n">
        <v>3</v>
      </c>
      <c r="T91" s="1" t="n">
        <v>8</v>
      </c>
      <c r="U91" s="1" t="n">
        <f aca="false">T91-S91</f>
        <v>5</v>
      </c>
      <c r="V91" s="1" t="n">
        <v>2</v>
      </c>
      <c r="W91" s="1" t="n">
        <v>2</v>
      </c>
      <c r="X91" s="1" t="n">
        <f aca="false">W91-V91</f>
        <v>0</v>
      </c>
      <c r="Y91" s="1" t="n">
        <v>6</v>
      </c>
      <c r="Z91" s="1" t="n">
        <v>18</v>
      </c>
      <c r="AA91" s="1" t="n">
        <f aca="false">Z91-Y91</f>
        <v>12</v>
      </c>
      <c r="AB91" s="1" t="n">
        <v>2</v>
      </c>
      <c r="AC91" s="1" t="n">
        <v>2</v>
      </c>
      <c r="AD91" s="1" t="n">
        <f aca="false">AC91-AB91</f>
        <v>0</v>
      </c>
      <c r="AE91" s="1" t="n">
        <v>4</v>
      </c>
      <c r="AF91" s="1" t="n">
        <v>9</v>
      </c>
      <c r="AG91" s="1" t="n">
        <f aca="false">AF91-AE91</f>
        <v>5</v>
      </c>
      <c r="AM91" s="1" t="n">
        <v>80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W91" s="1" t="n">
        <f aca="false">$AM91</f>
        <v>80</v>
      </c>
      <c r="BX91" s="1" t="n">
        <f aca="false">MAX(BX90-AN91/AN$9*100,0)</f>
        <v>0</v>
      </c>
      <c r="BY91" s="1" t="n">
        <f aca="false">MAX(BY90-AO91/AO$9*100,0)</f>
        <v>0</v>
      </c>
      <c r="BZ91" s="1" t="n">
        <f aca="false">MAX(BZ90-AQ91/AQ$9*100,0)</f>
        <v>0</v>
      </c>
      <c r="CA91" s="1" t="n">
        <f aca="false">MAX(CA90-AR91/AR$9*100,0)</f>
        <v>0</v>
      </c>
      <c r="CB91" s="1" t="n">
        <f aca="false">CB$7*EXP(-$AM91/CB$8)</f>
        <v>1.57994392294945E-043</v>
      </c>
      <c r="CC91" s="1" t="n">
        <f aca="false">(BZ91-CB91)^2</f>
        <v>2.4962227996649E-086</v>
      </c>
      <c r="CD91" s="1" t="n">
        <f aca="false">MAX(CD90-AT91/AT$9*100,0)</f>
        <v>0</v>
      </c>
      <c r="CE91" s="1" t="n">
        <f aca="false">MAX(CE90-AU91/AU$9*100,0)</f>
        <v>5.32907051820075E-015</v>
      </c>
      <c r="CF91" s="1" t="n">
        <f aca="false">CF$7*EXP(-$AM91/CF$8)</f>
        <v>2.19259412087176E-042</v>
      </c>
      <c r="CG91" s="1" t="n">
        <f aca="false">(CD91-CF91)^2</f>
        <v>4.80746897888141E-084</v>
      </c>
      <c r="CH91" s="1" t="n">
        <f aca="false">$AM91</f>
        <v>80</v>
      </c>
      <c r="CI91" s="1" t="n">
        <f aca="false">MAX(CI90-AW91/AW$9*100,0)</f>
        <v>0</v>
      </c>
      <c r="CJ91" s="1" t="n">
        <f aca="false">MAX(CJ90-AX91/AX$9*100,0)</f>
        <v>0</v>
      </c>
      <c r="CK91" s="1" t="n">
        <f aca="false">CK$7*EXP(-$AM91/CK$8)</f>
        <v>3.58980462156565E-028</v>
      </c>
      <c r="CL91" s="1" t="n">
        <f aca="false">(CI91-CK91)^2</f>
        <v>1.28866972210141E-055</v>
      </c>
      <c r="CM91" s="1" t="n">
        <f aca="false">MAX(CM90-AZ91/AZ$9*100,0)</f>
        <v>0</v>
      </c>
      <c r="CN91" s="1" t="n">
        <f aca="false">MAX(CN90-BA91/BA$9*100,0)</f>
        <v>5.32907051820075E-015</v>
      </c>
      <c r="CO91" s="1" t="n">
        <f aca="false">CO$7*EXP(-$AM91/CO$8)</f>
        <v>2.63158693509705E-015</v>
      </c>
      <c r="CP91" s="1" t="n">
        <f aca="false">(CM91-CO91)^2</f>
        <v>6.92524979697349E-030</v>
      </c>
      <c r="CQ91" s="1" t="n">
        <f aca="false">$AM91</f>
        <v>80</v>
      </c>
      <c r="CR91" s="1" t="n">
        <f aca="false">MAX(CR90-BC91/BC$9*100,0)</f>
        <v>0</v>
      </c>
      <c r="CS91" s="1" t="n">
        <f aca="false">MAX(CS90-BD91/BD$9*100,0)</f>
        <v>0</v>
      </c>
      <c r="CT91" s="1" t="n">
        <f aca="false">CT$7*EXP(-$AM91/CT$8)</f>
        <v>6.45928751794347E-026</v>
      </c>
      <c r="CU91" s="1" t="n">
        <f aca="false">(CR91-CT91)^2</f>
        <v>4.17223952394603E-051</v>
      </c>
      <c r="CV91" s="1" t="n">
        <f aca="false">MAX(CV90-BF91/BF$9*100,0)</f>
        <v>8.88178419700125E-015</v>
      </c>
      <c r="CW91" s="1" t="n">
        <f aca="false">MAX(CW90-BG91/BG$9*100,0)</f>
        <v>5.32907051820075E-015</v>
      </c>
      <c r="CX91" s="1" t="n">
        <f aca="false">CX$7*EXP(-$AM91/CX$8)</f>
        <v>5.92717179614421E-013</v>
      </c>
      <c r="CY91" s="1" t="n">
        <f aca="false">(CV91-CX91)^2</f>
        <v>3.40863768942215E-025</v>
      </c>
      <c r="CZ91" s="1" t="n">
        <f aca="false">$AM91</f>
        <v>80</v>
      </c>
      <c r="DA91" s="1" t="n">
        <f aca="false">MAX(DA90-BI91/BI$9*100,0)</f>
        <v>0</v>
      </c>
      <c r="DB91" s="1" t="n">
        <f aca="false">MAX(DB90-BJ91/BJ$9*100,0)</f>
        <v>9.88098491916389E-015</v>
      </c>
      <c r="DC91" s="1" t="n">
        <f aca="false">DC$7*EXP(-$AM91/DC$8)</f>
        <v>6.98004569384737E-024</v>
      </c>
      <c r="DD91" s="1" t="n">
        <f aca="false">(DA91-DC91)^2</f>
        <v>4.87210378881972E-047</v>
      </c>
      <c r="DE91" s="1" t="n">
        <f aca="false">MAX(DE90-BL91/BL$9*100,0)</f>
        <v>0</v>
      </c>
      <c r="DF91" s="1" t="n">
        <f aca="false">MAX(DF90-BM91/BM$9*100,0)</f>
        <v>0</v>
      </c>
      <c r="DG91" s="1" t="n">
        <f aca="false">DG$7*EXP(-$AM91/DG$8)</f>
        <v>2.48369011503846E-007</v>
      </c>
      <c r="DH91" s="1" t="n">
        <f aca="false">(DE91-DG91)^2</f>
        <v>6.16871658753976E-014</v>
      </c>
      <c r="DI91" s="1" t="n">
        <f aca="false">$AM91</f>
        <v>80</v>
      </c>
      <c r="DJ91" s="1" t="n">
        <f aca="false">MAX(DJ90-BO91/BO$9*100,0)</f>
        <v>0</v>
      </c>
      <c r="DK91" s="1" t="n">
        <f aca="false">MAX(DK90-BP91/BP$9*100,0)</f>
        <v>9.99200722162641E-015</v>
      </c>
      <c r="DL91" s="1" t="n">
        <f aca="false">DL$7*EXP(-$AM91/DL$8)</f>
        <v>7.26147192480393E-020</v>
      </c>
      <c r="DM91" s="1" t="n">
        <f aca="false">(DJ91-DL91)^2</f>
        <v>5.27289745147157E-039</v>
      </c>
      <c r="DN91" s="1" t="n">
        <f aca="false">MAX(DN90-BR91/BR$9*100,0)</f>
        <v>0</v>
      </c>
      <c r="DO91" s="1" t="n">
        <f aca="false">MAX(DO90-BS91/BS$9*100,0)</f>
        <v>0</v>
      </c>
      <c r="DP91" s="1" t="n">
        <f aca="false">DP$7*EXP(-$AM91/DP$8)</f>
        <v>1.75384806864937E-008</v>
      </c>
      <c r="DQ91" s="1" t="n">
        <f aca="false">(DN91-DP91)^2</f>
        <v>3.07598304790513E-016</v>
      </c>
      <c r="DS91" s="1" t="n">
        <f aca="false">$AM91</f>
        <v>80</v>
      </c>
      <c r="DT91" s="1" t="n">
        <f aca="false">CA91</f>
        <v>0</v>
      </c>
      <c r="DU91" s="1" t="n">
        <f aca="false">DU$7*EXP(-DS91/DU$8)</f>
        <v>2.47791271466541E-034</v>
      </c>
      <c r="DV91" s="1" t="n">
        <f aca="false">(DT91-DU91)^2</f>
        <v>6.1400514215005E-068</v>
      </c>
      <c r="DX91" s="1" t="n">
        <f aca="false">$AM91</f>
        <v>80</v>
      </c>
      <c r="DY91" s="1" t="n">
        <f aca="false">CM91</f>
        <v>0</v>
      </c>
      <c r="DZ91" s="1" t="n">
        <f aca="false">DZ$7*EXP(-DX91/DZ$8)</f>
        <v>4.7841409652793E-018</v>
      </c>
      <c r="EA91" s="1" t="n">
        <f aca="false">(DY91-DZ91)^2</f>
        <v>2.28880047756636E-035</v>
      </c>
      <c r="EC91" s="1" t="n">
        <f aca="false">$AM91</f>
        <v>80</v>
      </c>
      <c r="ED91" s="1" t="n">
        <f aca="false">CV91</f>
        <v>8.88178419700125E-015</v>
      </c>
      <c r="EE91" s="1" t="n">
        <f aca="false">EE$7*EXP(-EC91/EE$8)</f>
        <v>9.55935774120341E-014</v>
      </c>
      <c r="EF91" s="1" t="n">
        <f aca="false">(ED91-EE91)^2</f>
        <v>7.51893508256662E-027</v>
      </c>
      <c r="EH91" s="1" t="n">
        <f aca="false">$AM91</f>
        <v>80</v>
      </c>
      <c r="EI91" s="1" t="n">
        <f aca="false">DE91</f>
        <v>0</v>
      </c>
      <c r="EJ91" s="1" t="n">
        <f aca="false">EJ$7*EXP(-EH91/EJ$8)</f>
        <v>2.47338434692627E-007</v>
      </c>
      <c r="EK91" s="1" t="n">
        <f aca="false">(EI91-EJ91)^2</f>
        <v>6.11763012761989E-014</v>
      </c>
      <c r="EM91" s="1" t="n">
        <f aca="false">AM91</f>
        <v>80</v>
      </c>
      <c r="EN91" s="1" t="n">
        <f aca="false">DN91</f>
        <v>0</v>
      </c>
      <c r="EO91" s="1" t="n">
        <f aca="false">EO$7*EXP(-EM91/EO$8)</f>
        <v>3.63411010308218E-008</v>
      </c>
      <c r="EP91" s="1" t="n">
        <f aca="false">(EN91-EO91)^2</f>
        <v>1.3206756241324E-015</v>
      </c>
      <c r="ER91" s="1" t="n">
        <f aca="false">$AM91</f>
        <v>80</v>
      </c>
      <c r="ES91" s="1" t="n">
        <f aca="false">BZ91</f>
        <v>0</v>
      </c>
      <c r="ET91" s="1" t="n">
        <f aca="false">ET$7*EXP(-ER91/ET$8)</f>
        <v>7.96291098397353E-040</v>
      </c>
      <c r="EU91" s="1" t="n">
        <f aca="false">(ES91-ET91)^2</f>
        <v>6.34079513386863E-079</v>
      </c>
      <c r="EW91" s="1" t="n">
        <f aca="false">$AM91</f>
        <v>80</v>
      </c>
      <c r="EX91" s="1" t="n">
        <f aca="false">CI91</f>
        <v>0</v>
      </c>
      <c r="EY91" s="1" t="n">
        <f aca="false">EY$7*EXP(-EW91/EY$8)</f>
        <v>1.6196881751516E-036</v>
      </c>
      <c r="EZ91" s="1" t="n">
        <f aca="false">(EX91-EY91)^2</f>
        <v>2.62338978472592E-072</v>
      </c>
      <c r="FB91" s="1" t="n">
        <f aca="false">$AM91</f>
        <v>80</v>
      </c>
      <c r="FC91" s="1" t="n">
        <f aca="false">CR91</f>
        <v>0</v>
      </c>
      <c r="FD91" s="1" t="n">
        <f aca="false">FD$7*EXP(-FB91/FD$8)</f>
        <v>1.44982845513656E-031</v>
      </c>
      <c r="FE91" s="1" t="n">
        <f aca="false">(FC91-FD91)^2</f>
        <v>2.10200254932366E-062</v>
      </c>
      <c r="FG91" s="1" t="n">
        <f aca="false">$AM91</f>
        <v>80</v>
      </c>
      <c r="FH91" s="1" t="n">
        <f aca="false">DA91</f>
        <v>0</v>
      </c>
      <c r="FI91" s="1" t="n">
        <f aca="false">FI$7*EXP(-FG91/FI$8)</f>
        <v>3.59607044131066E-027</v>
      </c>
      <c r="FJ91" s="1" t="n">
        <f aca="false">(FH91-FI91)^2</f>
        <v>1.29317226188682E-053</v>
      </c>
      <c r="FL91" s="1" t="n">
        <f aca="false">EM91</f>
        <v>80</v>
      </c>
      <c r="FM91" s="1" t="n">
        <f aca="false">DJ91</f>
        <v>0</v>
      </c>
      <c r="FN91" s="1" t="n">
        <f aca="false">FN$7*EXP(-FL91/FN$8)</f>
        <v>1.16970555716124E-021</v>
      </c>
      <c r="FO91" s="1" t="n">
        <f aca="false">(FM91-FN91)^2</f>
        <v>1.36821109045389E-042</v>
      </c>
      <c r="FQ91" s="1" t="n">
        <f aca="false">AM91</f>
        <v>80</v>
      </c>
      <c r="FR91" s="1" t="n">
        <f aca="false">AN91/AN$9*100</f>
        <v>0</v>
      </c>
      <c r="FS91" s="1" t="n">
        <f aca="false">AO91/AO$9*100</f>
        <v>0</v>
      </c>
      <c r="FT91" s="1" t="n">
        <f aca="false">AQ91/AQ$9*100</f>
        <v>0</v>
      </c>
      <c r="FU91" s="1" t="n">
        <f aca="false">AR91/AR$9*100</f>
        <v>0</v>
      </c>
      <c r="FV91" s="1" t="n">
        <f aca="false">AT91/AT$9*100</f>
        <v>0</v>
      </c>
      <c r="FW91" s="1" t="n">
        <f aca="false">AU91/AU$9*100</f>
        <v>0</v>
      </c>
      <c r="FX91" s="1" t="n">
        <f aca="false">AW91/AW$9*100</f>
        <v>0</v>
      </c>
      <c r="FY91" s="1" t="n">
        <f aca="false">AX91/AX$9*100</f>
        <v>0</v>
      </c>
      <c r="FZ91" s="1" t="n">
        <f aca="false">AZ91/AZ$9*100</f>
        <v>0</v>
      </c>
      <c r="GA91" s="1" t="n">
        <f aca="false">BA91/BA$9*100</f>
        <v>0</v>
      </c>
      <c r="GB91" s="1" t="n">
        <f aca="false">BC91/BC$9*100</f>
        <v>0</v>
      </c>
      <c r="GC91" s="1" t="n">
        <f aca="false">BD91/BD$9*100</f>
        <v>0</v>
      </c>
      <c r="GD91" s="1" t="n">
        <f aca="false">BF91/BF$9*100</f>
        <v>0</v>
      </c>
      <c r="GE91" s="1" t="n">
        <f aca="false">BG91/BG$9*100</f>
        <v>0</v>
      </c>
      <c r="GF91" s="1" t="n">
        <f aca="false">BI91/BI$9*100</f>
        <v>0</v>
      </c>
      <c r="GG91" s="1" t="n">
        <f aca="false">BJ91/BJ$9*100</f>
        <v>0</v>
      </c>
      <c r="GH91" s="1" t="n">
        <f aca="false">BL91/BL$9*100</f>
        <v>0</v>
      </c>
      <c r="GI91" s="1" t="n">
        <f aca="false">BM91/BM$9*100</f>
        <v>0</v>
      </c>
      <c r="GJ91" s="1" t="n">
        <f aca="false">BO91/BO$9*100</f>
        <v>0</v>
      </c>
      <c r="GK91" s="1" t="n">
        <f aca="false">BP91/BP$9*100</f>
        <v>0</v>
      </c>
      <c r="GL91" s="1" t="n">
        <f aca="false">BR91/BR$9*100</f>
        <v>0</v>
      </c>
      <c r="GM91" s="1" t="n">
        <f aca="false">BS91/BS$9*100</f>
        <v>0</v>
      </c>
      <c r="GO91" s="1" t="n">
        <f aca="false">$AM91</f>
        <v>80</v>
      </c>
      <c r="GP91" s="1" t="n">
        <f aca="false">FT91</f>
        <v>0</v>
      </c>
      <c r="GQ91" s="1" t="n">
        <f aca="false">GQ$6*(1+GQ$5*(-1)^$FQ91)*EXP(-$FQ91/GQ$4)</f>
        <v>9.80139031380001E-025</v>
      </c>
      <c r="GR91" s="1" t="n">
        <f aca="false">(GP91-GQ91)^2</f>
        <v>9.60672520834527E-049</v>
      </c>
      <c r="GS91" s="1" t="n">
        <f aca="false">EXP($FQ91/$JG$4)*GP91</f>
        <v>0</v>
      </c>
      <c r="GT91" s="1" t="n">
        <f aca="false">EXP($FQ91/$JG$4)*(-1)^$FQ91*GP91</f>
        <v>0</v>
      </c>
      <c r="GU91" s="1" t="n">
        <f aca="false">(-1)^GO91*GP91</f>
        <v>0</v>
      </c>
      <c r="GW91" s="1" t="n">
        <f aca="false">$AM91</f>
        <v>80</v>
      </c>
      <c r="GX91" s="1" t="n">
        <f aca="false">FX91</f>
        <v>0</v>
      </c>
      <c r="GY91" s="1" t="n">
        <f aca="false">GY$6*(1+GY$5*(-1)^$FQ91)*EXP(-$FQ91/GY$4)</f>
        <v>9.80139031380001E-025</v>
      </c>
      <c r="GZ91" s="1" t="n">
        <f aca="false">(GX91-GY91)^2</f>
        <v>9.60672520834527E-049</v>
      </c>
      <c r="HA91" s="1" t="n">
        <f aca="false">EXP($FQ91/$JG$4)*GX91</f>
        <v>0</v>
      </c>
      <c r="HB91" s="1" t="n">
        <f aca="false">EXP($FQ91/$JG$4)*(-1)^$FQ91*GX91</f>
        <v>0</v>
      </c>
      <c r="HC91" s="1" t="n">
        <f aca="false">(-1)^GW91*GX91</f>
        <v>0</v>
      </c>
      <c r="HE91" s="1" t="n">
        <f aca="false">$AM91</f>
        <v>80</v>
      </c>
      <c r="HF91" s="1" t="n">
        <f aca="false">GB91</f>
        <v>0</v>
      </c>
      <c r="HG91" s="1" t="n">
        <f aca="false">HG$6*(1+HG$5*(-1)^$FQ91)*EXP(-$FQ91/HG$4)</f>
        <v>9.80139031380001E-025</v>
      </c>
      <c r="HH91" s="1" t="n">
        <f aca="false">(HF91-HG91)^2</f>
        <v>9.60672520834527E-049</v>
      </c>
      <c r="HI91" s="1" t="n">
        <f aca="false">EXP($FQ91/$JG$4)*HF91</f>
        <v>0</v>
      </c>
      <c r="HJ91" s="1" t="n">
        <f aca="false">EXP($FQ91/$JG$4)*(-1)^$FQ91*HF91</f>
        <v>0</v>
      </c>
      <c r="HK91" s="1" t="n">
        <f aca="false">(-1)^HE91*HF91</f>
        <v>0</v>
      </c>
      <c r="HM91" s="1" t="n">
        <f aca="false">$AM91</f>
        <v>80</v>
      </c>
      <c r="HN91" s="1" t="n">
        <f aca="false">GF91</f>
        <v>0</v>
      </c>
      <c r="HO91" s="1" t="n">
        <f aca="false">HO$6*(1+HO$5*(-1)^$FQ91)*EXP(-$FQ91/HO$4)</f>
        <v>2.5913256090966E-019</v>
      </c>
      <c r="HP91" s="1" t="n">
        <f aca="false">(HN91-HO91)^2</f>
        <v>6.71496841235987E-038</v>
      </c>
      <c r="HQ91" s="1" t="n">
        <f aca="false">EXP($FQ91/$JG$4)*HN91</f>
        <v>0</v>
      </c>
      <c r="HR91" s="1" t="n">
        <f aca="false">EXP($FQ91/$JG$4)*(-1)^$FQ91*HN91</f>
        <v>0</v>
      </c>
      <c r="HS91" s="1" t="n">
        <f aca="false">(-1)^HM91*HN91</f>
        <v>0</v>
      </c>
      <c r="HU91" s="1" t="n">
        <f aca="false">$AM91</f>
        <v>80</v>
      </c>
      <c r="HV91" s="1" t="n">
        <f aca="false">GJ91</f>
        <v>0</v>
      </c>
      <c r="HW91" s="1" t="n">
        <f aca="false">HW$6*(1+HW$5*(-1)^$FQ91)*EXP(-$FQ91/HW$4)</f>
        <v>3.96639202642503E-014</v>
      </c>
      <c r="HX91" s="1" t="n">
        <f aca="false">(HV91-HW91)^2</f>
        <v>1.57322657072881E-027</v>
      </c>
      <c r="HY91" s="1" t="n">
        <f aca="false">EXP($FQ91/$JG$4)*HV91</f>
        <v>0</v>
      </c>
      <c r="HZ91" s="1" t="n">
        <f aca="false">EXP($FQ91/$JG$4)*(-1)^$FQ91*HV91</f>
        <v>0</v>
      </c>
      <c r="IA91" s="1" t="n">
        <f aca="false">(-1)^HU91*HV91</f>
        <v>0</v>
      </c>
      <c r="ID91" s="1" t="n">
        <f aca="false">$AM91</f>
        <v>80</v>
      </c>
      <c r="IE91" s="1" t="n">
        <f aca="false">FZ91</f>
        <v>0</v>
      </c>
      <c r="IF91" s="1" t="n">
        <f aca="false">IF$6*(1+IF$5*(-1)^$FQ91)*EXP(-$FQ91/IF$4)</f>
        <v>1.44622739180303E-010</v>
      </c>
      <c r="IG91" s="1" t="n">
        <f aca="false">(IE91-IF91)^2</f>
        <v>2.0915736688014E-020</v>
      </c>
      <c r="IH91" s="1" t="n">
        <f aca="false">EXP($FQ91/$JG$4)*IE91</f>
        <v>0</v>
      </c>
      <c r="II91" s="1" t="n">
        <f aca="false">EXP($FQ91/$JG$4)*(-1)^$FQ91*IE91</f>
        <v>0</v>
      </c>
      <c r="IJ91" s="1" t="n">
        <f aca="false">(-1)^ID91*IE91</f>
        <v>0</v>
      </c>
      <c r="IK91" s="1" t="n">
        <v>0</v>
      </c>
      <c r="IM91" s="1" t="n">
        <f aca="false">$AM91</f>
        <v>80</v>
      </c>
      <c r="IN91" s="1" t="n">
        <f aca="false">GD91</f>
        <v>0</v>
      </c>
      <c r="IO91" s="1" t="n">
        <f aca="false">IO$6*(1+IO$5*(-1)^$FQ91)*EXP(-$FQ91/IO$4)</f>
        <v>5.66057784686803E-009</v>
      </c>
      <c r="IP91" s="1" t="n">
        <f aca="false">(IN91-IO91)^2</f>
        <v>3.20421415604531E-017</v>
      </c>
      <c r="IQ91" s="1" t="n">
        <f aca="false">EXP($FQ91/$JG$4)*IN91</f>
        <v>0</v>
      </c>
      <c r="IR91" s="1" t="n">
        <f aca="false">EXP($FQ91/$JG$4)*(-1)^$FQ91*IN91</f>
        <v>0</v>
      </c>
      <c r="IS91" s="1" t="n">
        <f aca="false">(-1)^IM91*IN91</f>
        <v>0</v>
      </c>
      <c r="IV91" s="1" t="n">
        <f aca="false">$AM91</f>
        <v>80</v>
      </c>
      <c r="IW91" s="1" t="n">
        <f aca="false">GH91</f>
        <v>0</v>
      </c>
      <c r="IX91" s="1" t="n">
        <f aca="false">IX$6*(1+IX$5*(-1)^$FQ91)*EXP(-$FQ91/IX$4)</f>
        <v>7.44136224863441E-006</v>
      </c>
      <c r="IY91" s="1" t="n">
        <f aca="false">(IW91-IX91)^2</f>
        <v>5.53738721154014E-011</v>
      </c>
      <c r="IZ91" s="1" t="n">
        <f aca="false">EXP($FQ91/$JG$4)*IW91</f>
        <v>0</v>
      </c>
      <c r="JA91" s="1" t="n">
        <f aca="false">EXP($FQ91/$JG$4)*(-1)^$FQ91*IW91</f>
        <v>0</v>
      </c>
      <c r="JB91" s="1" t="n">
        <f aca="false">(-1)^IV91*IW91</f>
        <v>0</v>
      </c>
      <c r="JE91" s="1" t="n">
        <f aca="false">$AM91</f>
        <v>80</v>
      </c>
      <c r="JF91" s="1" t="n">
        <f aca="false">GL91</f>
        <v>0</v>
      </c>
      <c r="JG91" s="1" t="n">
        <f aca="false">JG$6*(1+JG$5*(-1)^$FQ91)*EXP(-$FQ91/JG$4)</f>
        <v>3.80828514376925E-007</v>
      </c>
      <c r="JH91" s="1" t="n">
        <f aca="false">(JF91-JG91)^2</f>
        <v>1.45030357362536E-013</v>
      </c>
      <c r="JI91" s="1" t="n">
        <f aca="false">EXP($FQ91/$JG$4)*JF91</f>
        <v>0</v>
      </c>
      <c r="JJ91" s="1" t="n">
        <f aca="false">EXP($FQ91/$JG$4)*(-1)^$FQ91*JF91</f>
        <v>0</v>
      </c>
      <c r="JK91" s="1" t="n">
        <f aca="false">(-1)^JE91*JF91</f>
        <v>0</v>
      </c>
      <c r="JO91" s="1" t="n">
        <f aca="false">$AM91</f>
        <v>80</v>
      </c>
      <c r="JP91" s="1" t="n">
        <f aca="false">GM91</f>
        <v>0</v>
      </c>
      <c r="JQ91" s="1" t="n">
        <f aca="false">JQ$6*(1+JQ$5*(-1)^$FQ91)*EXP(-$FQ91/JQ$4)</f>
        <v>0.0238985821201593</v>
      </c>
      <c r="JR91" s="1" t="n">
        <f aca="false">(JP91-JQ91)^2</f>
        <v>0.000571142227353998</v>
      </c>
      <c r="JS91" s="1" t="n">
        <f aca="false">EXP($FQ91/$JG$4)*JP91</f>
        <v>0</v>
      </c>
      <c r="JT91" s="1" t="n">
        <f aca="false">EXP($FQ91/$JG$4)*(-1)^$FQ91*JP91</f>
        <v>0</v>
      </c>
      <c r="JU91" s="1" t="n">
        <f aca="false">(-1)^JO91*JP91</f>
        <v>0</v>
      </c>
    </row>
    <row r="92" customFormat="false" ht="16" hidden="false" customHeight="false" outlineLevel="0" collapsed="false">
      <c r="A92" s="1" t="n">
        <v>2</v>
      </c>
      <c r="B92" s="1" t="n">
        <v>2</v>
      </c>
      <c r="C92" s="1" t="n">
        <f aca="false">B92-A92</f>
        <v>0</v>
      </c>
      <c r="D92" s="1" t="n">
        <v>1</v>
      </c>
      <c r="E92" s="1" t="n">
        <v>1</v>
      </c>
      <c r="F92" s="1" t="n">
        <f aca="false">E92-D92</f>
        <v>0</v>
      </c>
      <c r="G92" s="1" t="n">
        <v>2</v>
      </c>
      <c r="H92" s="1" t="n">
        <v>2</v>
      </c>
      <c r="I92" s="1" t="n">
        <f aca="false">H92-G92</f>
        <v>0</v>
      </c>
      <c r="J92" s="1" t="n">
        <v>3</v>
      </c>
      <c r="K92" s="1" t="n">
        <v>3</v>
      </c>
      <c r="L92" s="1" t="n">
        <f aca="false">K92-J92</f>
        <v>0</v>
      </c>
      <c r="M92" s="1" t="n">
        <v>3</v>
      </c>
      <c r="N92" s="1" t="n">
        <v>4</v>
      </c>
      <c r="O92" s="1" t="n">
        <f aca="false">N92-M92</f>
        <v>1</v>
      </c>
      <c r="P92" s="1" t="n">
        <v>2</v>
      </c>
      <c r="Q92" s="1" t="n">
        <v>4</v>
      </c>
      <c r="R92" s="1" t="n">
        <f aca="false">Q92-P92</f>
        <v>2</v>
      </c>
      <c r="S92" s="1" t="n">
        <v>2</v>
      </c>
      <c r="T92" s="1" t="n">
        <v>2</v>
      </c>
      <c r="U92" s="1" t="n">
        <f aca="false">T92-S92</f>
        <v>0</v>
      </c>
      <c r="V92" s="1" t="n">
        <v>2</v>
      </c>
      <c r="W92" s="1" t="n">
        <v>2</v>
      </c>
      <c r="X92" s="1" t="n">
        <f aca="false">W92-V92</f>
        <v>0</v>
      </c>
      <c r="Y92" s="1" t="n">
        <v>3</v>
      </c>
      <c r="Z92" s="1" t="n">
        <v>4</v>
      </c>
      <c r="AA92" s="1" t="n">
        <f aca="false">Z92-Y92</f>
        <v>1</v>
      </c>
      <c r="AB92" s="1" t="n">
        <v>2</v>
      </c>
      <c r="AC92" s="1" t="n">
        <v>4</v>
      </c>
      <c r="AD92" s="1" t="n">
        <f aca="false">AC92-AB92</f>
        <v>2</v>
      </c>
      <c r="AE92" s="1" t="n">
        <v>4</v>
      </c>
      <c r="AF92" s="1" t="n">
        <v>10</v>
      </c>
      <c r="AG92" s="1" t="n">
        <f aca="false">AF92-AE92</f>
        <v>6</v>
      </c>
      <c r="AM92" s="1" t="n">
        <v>81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W92" s="1" t="n">
        <f aca="false">$AM92</f>
        <v>81</v>
      </c>
      <c r="BX92" s="1" t="n">
        <f aca="false">MAX(BX91-AN92/AN$9*100,0)</f>
        <v>0</v>
      </c>
      <c r="BY92" s="1" t="n">
        <f aca="false">MAX(BY91-AO92/AO$9*100,0)</f>
        <v>0</v>
      </c>
      <c r="BZ92" s="1" t="n">
        <f aca="false">MAX(BZ91-AQ92/AQ$9*100,0)</f>
        <v>0</v>
      </c>
      <c r="CA92" s="1" t="n">
        <f aca="false">MAX(CA91-AR92/AR$9*100,0)</f>
        <v>0</v>
      </c>
      <c r="CB92" s="1" t="n">
        <f aca="false">CB$7*EXP(-$AM92/CB$8)</f>
        <v>4.31144514723578E-044</v>
      </c>
      <c r="CC92" s="1" t="n">
        <f aca="false">(BZ92-CB92)^2</f>
        <v>1.8588559257623E-087</v>
      </c>
      <c r="CD92" s="1" t="n">
        <f aca="false">MAX(CD91-AT92/AT$9*100,0)</f>
        <v>0</v>
      </c>
      <c r="CE92" s="1" t="n">
        <f aca="false">MAX(CE91-AU92/AU$9*100,0)</f>
        <v>5.32907051820075E-015</v>
      </c>
      <c r="CF92" s="1" t="n">
        <f aca="false">CF$7*EXP(-$AM92/CF$8)</f>
        <v>6.18327261764614E-043</v>
      </c>
      <c r="CG92" s="1" t="n">
        <f aca="false">(CD92-CF92)^2</f>
        <v>3.82328602641326E-085</v>
      </c>
      <c r="CH92" s="1" t="n">
        <f aca="false">$AM92</f>
        <v>81</v>
      </c>
      <c r="CI92" s="1" t="n">
        <f aca="false">MAX(CI91-AW92/AW$9*100,0)</f>
        <v>0</v>
      </c>
      <c r="CJ92" s="1" t="n">
        <f aca="false">MAX(CJ91-AX92/AX$9*100,0)</f>
        <v>0</v>
      </c>
      <c r="CK92" s="1" t="n">
        <f aca="false">CK$7*EXP(-$AM92/CK$8)</f>
        <v>1.52714033334969E-028</v>
      </c>
      <c r="CL92" s="1" t="n">
        <f aca="false">(CI92-CK92)^2</f>
        <v>2.3321575977434E-056</v>
      </c>
      <c r="CM92" s="1" t="n">
        <f aca="false">MAX(CM91-AZ92/AZ$9*100,0)</f>
        <v>0</v>
      </c>
      <c r="CN92" s="1" t="n">
        <f aca="false">MAX(CN91-BA92/BA$9*100,0)</f>
        <v>5.32907051820075E-015</v>
      </c>
      <c r="CO92" s="1" t="n">
        <f aca="false">CO$7*EXP(-$AM92/CO$8)</f>
        <v>1.6271301694173E-015</v>
      </c>
      <c r="CP92" s="1" t="n">
        <f aca="false">(CM92-CO92)^2</f>
        <v>2.64755258822797E-030</v>
      </c>
      <c r="CQ92" s="1" t="n">
        <f aca="false">$AM92</f>
        <v>81</v>
      </c>
      <c r="CR92" s="1" t="n">
        <f aca="false">MAX(CR91-BC92/BC$9*100,0)</f>
        <v>0</v>
      </c>
      <c r="CS92" s="1" t="n">
        <f aca="false">MAX(CS91-BD92/BD$9*100,0)</f>
        <v>0</v>
      </c>
      <c r="CT92" s="1" t="n">
        <f aca="false">CT$7*EXP(-$AM92/CT$8)</f>
        <v>2.93914124624401E-026</v>
      </c>
      <c r="CU92" s="1" t="n">
        <f aca="false">(CR92-CT92)^2</f>
        <v>8.63855126537279E-052</v>
      </c>
      <c r="CV92" s="1" t="n">
        <f aca="false">MAX(CV91-BF92/BF$9*100,0)</f>
        <v>8.88178419700125E-015</v>
      </c>
      <c r="CW92" s="1" t="n">
        <f aca="false">MAX(CW91-BG92/BG$9*100,0)</f>
        <v>5.32907051820075E-015</v>
      </c>
      <c r="CX92" s="1" t="n">
        <f aca="false">CX$7*EXP(-$AM92/CX$8)</f>
        <v>3.92091100970103E-013</v>
      </c>
      <c r="CY92" s="1" t="n">
        <f aca="false">(CV92-CX92)^2</f>
        <v>1.46849380461707E-025</v>
      </c>
      <c r="CZ92" s="1" t="n">
        <f aca="false">$AM92</f>
        <v>81</v>
      </c>
      <c r="DA92" s="1" t="n">
        <f aca="false">MAX(DA91-BI92/BI$9*100,0)</f>
        <v>0</v>
      </c>
      <c r="DB92" s="1" t="n">
        <f aca="false">MAX(DB91-BJ92/BJ$9*100,0)</f>
        <v>9.88098491916389E-015</v>
      </c>
      <c r="DC92" s="1" t="n">
        <f aca="false">DC$7*EXP(-$AM92/DC$8)</f>
        <v>3.36399230902796E-024</v>
      </c>
      <c r="DD92" s="1" t="n">
        <f aca="false">(DA92-DC92)^2</f>
        <v>1.13164442551993E-047</v>
      </c>
      <c r="DE92" s="1" t="n">
        <f aca="false">MAX(DE91-BL92/BL$9*100,0)</f>
        <v>0</v>
      </c>
      <c r="DF92" s="1" t="n">
        <f aca="false">MAX(DF91-BM92/BM$9*100,0)</f>
        <v>0</v>
      </c>
      <c r="DG92" s="1" t="n">
        <f aca="false">DG$7*EXP(-$AM92/DG$8)</f>
        <v>1.93429980649866E-007</v>
      </c>
      <c r="DH92" s="1" t="n">
        <f aca="false">(DE92-DG92)^2</f>
        <v>3.74151574142075E-014</v>
      </c>
      <c r="DI92" s="1" t="n">
        <f aca="false">$AM92</f>
        <v>81</v>
      </c>
      <c r="DJ92" s="1" t="n">
        <f aca="false">MAX(DJ91-BO92/BO$9*100,0)</f>
        <v>0</v>
      </c>
      <c r="DK92" s="1" t="n">
        <f aca="false">MAX(DK91-BP92/BP$9*100,0)</f>
        <v>9.99200722162641E-015</v>
      </c>
      <c r="DL92" s="1" t="n">
        <f aca="false">DL$7*EXP(-$AM92/DL$8)</f>
        <v>3.93175393507877E-020</v>
      </c>
      <c r="DM92" s="1" t="n">
        <f aca="false">(DJ92-DL92)^2</f>
        <v>1.54586890060074E-039</v>
      </c>
      <c r="DN92" s="1" t="n">
        <f aca="false">MAX(DN91-BR92/BR$9*100,0)</f>
        <v>0</v>
      </c>
      <c r="DO92" s="1" t="n">
        <f aca="false">MAX(DO91-BS92/BS$9*100,0)</f>
        <v>0</v>
      </c>
      <c r="DP92" s="1" t="n">
        <f aca="false">DP$7*EXP(-$AM92/DP$8)</f>
        <v>1.32118115553822E-008</v>
      </c>
      <c r="DQ92" s="1" t="n">
        <f aca="false">(DN92-DP92)^2</f>
        <v>1.74551964574931E-016</v>
      </c>
      <c r="DS92" s="1" t="n">
        <f aca="false">$AM92</f>
        <v>81</v>
      </c>
      <c r="DT92" s="1" t="n">
        <f aca="false">CA92</f>
        <v>0</v>
      </c>
      <c r="DU92" s="1" t="n">
        <f aca="false">DU$7*EXP(-DS92/DU$8)</f>
        <v>8.83811674822833E-035</v>
      </c>
      <c r="DV92" s="1" t="n">
        <f aca="false">(DT92-DU92)^2</f>
        <v>7.81123076553141E-069</v>
      </c>
      <c r="DX92" s="1" t="n">
        <f aca="false">$AM92</f>
        <v>81</v>
      </c>
      <c r="DY92" s="1" t="n">
        <f aca="false">CM92</f>
        <v>0</v>
      </c>
      <c r="DZ92" s="1" t="n">
        <f aca="false">DZ$7*EXP(-DX92/DZ$8)</f>
        <v>2.72783629602383E-018</v>
      </c>
      <c r="EA92" s="1" t="n">
        <f aca="false">(DY92-DZ92)^2</f>
        <v>7.44109085790501E-036</v>
      </c>
      <c r="EC92" s="1" t="n">
        <f aca="false">$AM92</f>
        <v>81</v>
      </c>
      <c r="ED92" s="1" t="n">
        <f aca="false">CV92</f>
        <v>8.88178419700125E-015</v>
      </c>
      <c r="EE92" s="1" t="n">
        <f aca="false">EE$7*EXP(-EC92/EE$8)</f>
        <v>6.17704078997165E-014</v>
      </c>
      <c r="EF92" s="1" t="n">
        <f aca="false">(ED92-EE92)^2</f>
        <v>2.79720651716741E-027</v>
      </c>
      <c r="EH92" s="1" t="n">
        <f aca="false">$AM92</f>
        <v>81</v>
      </c>
      <c r="EI92" s="1" t="n">
        <f aca="false">DE92</f>
        <v>0</v>
      </c>
      <c r="EJ92" s="1" t="n">
        <f aca="false">EJ$7*EXP(-EH92/EJ$8)</f>
        <v>1.92627366622273E-007</v>
      </c>
      <c r="EK92" s="1" t="n">
        <f aca="false">(EI92-EJ92)^2</f>
        <v>3.71053023718316E-014</v>
      </c>
      <c r="EM92" s="1" t="n">
        <f aca="false">AM92</f>
        <v>81</v>
      </c>
      <c r="EN92" s="1" t="n">
        <f aca="false">DN92</f>
        <v>0</v>
      </c>
      <c r="EO92" s="1" t="n">
        <f aca="false">EO$7*EXP(-EM92/EO$8)</f>
        <v>2.76320617964487E-008</v>
      </c>
      <c r="EP92" s="1" t="n">
        <f aca="false">(EN92-EO92)^2</f>
        <v>7.6353083912276E-016</v>
      </c>
      <c r="ER92" s="1" t="n">
        <f aca="false">$AM92</f>
        <v>81</v>
      </c>
      <c r="ES92" s="1" t="n">
        <f aca="false">BZ92</f>
        <v>0</v>
      </c>
      <c r="ET92" s="1" t="n">
        <f aca="false">ET$7*EXP(-ER92/ET$8)</f>
        <v>2.42133355464547E-040</v>
      </c>
      <c r="EU92" s="1" t="n">
        <f aca="false">(ES92-ET92)^2</f>
        <v>5.86285618285207E-080</v>
      </c>
      <c r="EW92" s="1" t="n">
        <f aca="false">$AM92</f>
        <v>81</v>
      </c>
      <c r="EX92" s="1" t="n">
        <f aca="false">CI92</f>
        <v>0</v>
      </c>
      <c r="EY92" s="1" t="n">
        <f aca="false">EY$7*EXP(-EW92/EY$8)</f>
        <v>5.3974015339202E-037</v>
      </c>
      <c r="EZ92" s="1" t="n">
        <f aca="false">(EX92-EY92)^2</f>
        <v>2.91319433183641E-073</v>
      </c>
      <c r="FB92" s="1" t="n">
        <f aca="false">$AM92</f>
        <v>81</v>
      </c>
      <c r="FC92" s="1" t="n">
        <f aca="false">CR92</f>
        <v>0</v>
      </c>
      <c r="FD92" s="1" t="n">
        <f aca="false">FD$7*EXP(-FB92/FD$8)</f>
        <v>5.59374709238841E-032</v>
      </c>
      <c r="FE92" s="1" t="n">
        <f aca="false">(FC92-FD92)^2</f>
        <v>3.12900065336038E-063</v>
      </c>
      <c r="FG92" s="1" t="n">
        <f aca="false">$AM92</f>
        <v>81</v>
      </c>
      <c r="FH92" s="1" t="n">
        <f aca="false">DA92</f>
        <v>0</v>
      </c>
      <c r="FI92" s="1" t="n">
        <f aca="false">FI$7*EXP(-FG92/FI$8)</f>
        <v>1.57364632137457E-027</v>
      </c>
      <c r="FJ92" s="1" t="n">
        <f aca="false">(FH92-FI92)^2</f>
        <v>2.47636274477572E-054</v>
      </c>
      <c r="FL92" s="1" t="n">
        <f aca="false">EM92</f>
        <v>81</v>
      </c>
      <c r="FM92" s="1" t="n">
        <f aca="false">DJ92</f>
        <v>0</v>
      </c>
      <c r="FN92" s="1" t="n">
        <f aca="false">FN$7*EXP(-FL92/FN$8)</f>
        <v>6.00546857274137E-022</v>
      </c>
      <c r="FO92" s="1" t="n">
        <f aca="false">(FM92-FN92)^2</f>
        <v>3.60656527781843E-043</v>
      </c>
      <c r="FQ92" s="1" t="n">
        <f aca="false">AM92</f>
        <v>81</v>
      </c>
      <c r="FR92" s="1" t="n">
        <f aca="false">AN92/AN$9*100</f>
        <v>0</v>
      </c>
      <c r="FS92" s="1" t="n">
        <f aca="false">AO92/AO$9*100</f>
        <v>0</v>
      </c>
      <c r="FT92" s="1" t="n">
        <f aca="false">AQ92/AQ$9*100</f>
        <v>0</v>
      </c>
      <c r="FU92" s="1" t="n">
        <f aca="false">AR92/AR$9*100</f>
        <v>0</v>
      </c>
      <c r="FV92" s="1" t="n">
        <f aca="false">AT92/AT$9*100</f>
        <v>0</v>
      </c>
      <c r="FW92" s="1" t="n">
        <f aca="false">AU92/AU$9*100</f>
        <v>0</v>
      </c>
      <c r="FX92" s="1" t="n">
        <f aca="false">AW92/AW$9*100</f>
        <v>0</v>
      </c>
      <c r="FY92" s="1" t="n">
        <f aca="false">AX92/AX$9*100</f>
        <v>0</v>
      </c>
      <c r="FZ92" s="1" t="n">
        <f aca="false">AZ92/AZ$9*100</f>
        <v>0</v>
      </c>
      <c r="GA92" s="1" t="n">
        <f aca="false">BA92/BA$9*100</f>
        <v>0</v>
      </c>
      <c r="GB92" s="1" t="n">
        <f aca="false">BC92/BC$9*100</f>
        <v>0</v>
      </c>
      <c r="GC92" s="1" t="n">
        <f aca="false">BD92/BD$9*100</f>
        <v>0</v>
      </c>
      <c r="GD92" s="1" t="n">
        <f aca="false">BF92/BF$9*100</f>
        <v>0</v>
      </c>
      <c r="GE92" s="1" t="n">
        <f aca="false">BG92/BG$9*100</f>
        <v>0</v>
      </c>
      <c r="GF92" s="1" t="n">
        <f aca="false">BI92/BI$9*100</f>
        <v>0</v>
      </c>
      <c r="GG92" s="1" t="n">
        <f aca="false">BJ92/BJ$9*100</f>
        <v>0</v>
      </c>
      <c r="GH92" s="1" t="n">
        <f aca="false">BL92/BL$9*100</f>
        <v>0</v>
      </c>
      <c r="GI92" s="1" t="n">
        <f aca="false">BM92/BM$9*100</f>
        <v>0</v>
      </c>
      <c r="GJ92" s="1" t="n">
        <f aca="false">BO92/BO$9*100</f>
        <v>0</v>
      </c>
      <c r="GK92" s="1" t="n">
        <f aca="false">BP92/BP$9*100</f>
        <v>0</v>
      </c>
      <c r="GL92" s="1" t="n">
        <f aca="false">BR92/BR$9*100</f>
        <v>0</v>
      </c>
      <c r="GM92" s="1" t="n">
        <f aca="false">BS92/BS$9*100</f>
        <v>0</v>
      </c>
      <c r="GO92" s="1" t="n">
        <f aca="false">$AM92</f>
        <v>81</v>
      </c>
      <c r="GP92" s="1" t="n">
        <f aca="false">FT92</f>
        <v>0</v>
      </c>
      <c r="GQ92" s="1" t="n">
        <f aca="false">GQ$6*(1+GQ$5*(-1)^$FQ92)*EXP(-$FQ92/GQ$4)</f>
        <v>1.57275335641614E-025</v>
      </c>
      <c r="GR92" s="1" t="n">
        <f aca="false">(GP92-GQ92)^2</f>
        <v>2.47355312011823E-050</v>
      </c>
      <c r="GS92" s="1" t="n">
        <f aca="false">EXP($FQ92/$JG$4)*GP92</f>
        <v>0</v>
      </c>
      <c r="GT92" s="1" t="n">
        <f aca="false">EXP($FQ92/$JG$4)*(-1)^$FQ92*GP92</f>
        <v>-0</v>
      </c>
      <c r="GU92" s="1" t="n">
        <f aca="false">(-1)^GO92*GP92</f>
        <v>-0</v>
      </c>
      <c r="GW92" s="1" t="n">
        <f aca="false">$AM92</f>
        <v>81</v>
      </c>
      <c r="GX92" s="1" t="n">
        <f aca="false">FX92</f>
        <v>0</v>
      </c>
      <c r="GY92" s="1" t="n">
        <f aca="false">GY$6*(1+GY$5*(-1)^$FQ92)*EXP(-$FQ92/GY$4)</f>
        <v>1.57275335641614E-025</v>
      </c>
      <c r="GZ92" s="1" t="n">
        <f aca="false">(GX92-GY92)^2</f>
        <v>2.47355312011823E-050</v>
      </c>
      <c r="HA92" s="1" t="n">
        <f aca="false">EXP($FQ92/$JG$4)*GX92</f>
        <v>0</v>
      </c>
      <c r="HB92" s="1" t="n">
        <f aca="false">EXP($FQ92/$JG$4)*(-1)^$FQ92*GX92</f>
        <v>-0</v>
      </c>
      <c r="HC92" s="1" t="n">
        <f aca="false">(-1)^GW92*GX92</f>
        <v>-0</v>
      </c>
      <c r="HE92" s="1" t="n">
        <f aca="false">$AM92</f>
        <v>81</v>
      </c>
      <c r="HF92" s="1" t="n">
        <f aca="false">GB92</f>
        <v>0</v>
      </c>
      <c r="HG92" s="1" t="n">
        <f aca="false">HG$6*(1+HG$5*(-1)^$FQ92)*EXP(-$FQ92/HG$4)</f>
        <v>1.57275335641614E-025</v>
      </c>
      <c r="HH92" s="1" t="n">
        <f aca="false">(HF92-HG92)^2</f>
        <v>2.47355312011823E-050</v>
      </c>
      <c r="HI92" s="1" t="n">
        <f aca="false">EXP($FQ92/$JG$4)*HF92</f>
        <v>0</v>
      </c>
      <c r="HJ92" s="1" t="n">
        <f aca="false">EXP($FQ92/$JG$4)*(-1)^$FQ92*HF92</f>
        <v>-0</v>
      </c>
      <c r="HK92" s="1" t="n">
        <f aca="false">(-1)^HE92*HF92</f>
        <v>-0</v>
      </c>
      <c r="HM92" s="1" t="n">
        <f aca="false">$AM92</f>
        <v>81</v>
      </c>
      <c r="HN92" s="1" t="n">
        <f aca="false">GF92</f>
        <v>0</v>
      </c>
      <c r="HO92" s="1" t="n">
        <f aca="false">HO$6*(1+HO$5*(-1)^$FQ92)*EXP(-$FQ92/HO$4)</f>
        <v>3.12553282100987E-020</v>
      </c>
      <c r="HP92" s="1" t="n">
        <f aca="false">(HN92-HO92)^2</f>
        <v>9.76895541520992E-040</v>
      </c>
      <c r="HQ92" s="1" t="n">
        <f aca="false">EXP($FQ92/$JG$4)*HN92</f>
        <v>0</v>
      </c>
      <c r="HR92" s="1" t="n">
        <f aca="false">EXP($FQ92/$JG$4)*(-1)^$FQ92*HN92</f>
        <v>-0</v>
      </c>
      <c r="HS92" s="1" t="n">
        <f aca="false">(-1)^HM92*HN92</f>
        <v>-0</v>
      </c>
      <c r="HU92" s="1" t="n">
        <f aca="false">$AM92</f>
        <v>81</v>
      </c>
      <c r="HV92" s="1" t="n">
        <f aca="false">GJ92</f>
        <v>0</v>
      </c>
      <c r="HW92" s="1" t="n">
        <f aca="false">HW$6*(1+HW$5*(-1)^$FQ92)*EXP(-$FQ92/HW$4)</f>
        <v>8.49393008061304E-015</v>
      </c>
      <c r="HX92" s="1" t="n">
        <f aca="false">(HV92-HW92)^2</f>
        <v>7.21468482143431E-029</v>
      </c>
      <c r="HY92" s="1" t="n">
        <f aca="false">EXP($FQ92/$JG$4)*HV92</f>
        <v>0</v>
      </c>
      <c r="HZ92" s="1" t="n">
        <f aca="false">EXP($FQ92/$JG$4)*(-1)^$FQ92*HV92</f>
        <v>-0</v>
      </c>
      <c r="IA92" s="1" t="n">
        <f aca="false">(-1)^HU92*HV92</f>
        <v>-0</v>
      </c>
      <c r="ID92" s="1" t="n">
        <f aca="false">$AM92</f>
        <v>81</v>
      </c>
      <c r="IE92" s="1" t="n">
        <f aca="false">FZ92</f>
        <v>0</v>
      </c>
      <c r="IF92" s="1" t="n">
        <f aca="false">IF$6*(1+IF$5*(-1)^$FQ92)*EXP(-$FQ92/IF$4)</f>
        <v>5.33834622527812E-011</v>
      </c>
      <c r="IG92" s="1" t="n">
        <f aca="false">(IE92-IF92)^2</f>
        <v>2.84979404209412E-021</v>
      </c>
      <c r="IH92" s="1" t="n">
        <f aca="false">EXP($FQ92/$JG$4)*IE92</f>
        <v>0</v>
      </c>
      <c r="II92" s="1" t="n">
        <f aca="false">EXP($FQ92/$JG$4)*(-1)^$FQ92*IE92</f>
        <v>-0</v>
      </c>
      <c r="IJ92" s="1" t="n">
        <f aca="false">(-1)^ID92*IE92</f>
        <v>-0</v>
      </c>
      <c r="IK92" s="1" t="n">
        <v>0</v>
      </c>
      <c r="IM92" s="1" t="n">
        <f aca="false">$AM92</f>
        <v>81</v>
      </c>
      <c r="IN92" s="1" t="n">
        <f aca="false">GD92</f>
        <v>0</v>
      </c>
      <c r="IO92" s="1" t="n">
        <f aca="false">IO$6*(1+IO$5*(-1)^$FQ92)*EXP(-$FQ92/IO$4)</f>
        <v>1.95612503802335E-009</v>
      </c>
      <c r="IP92" s="1" t="n">
        <f aca="false">(IN92-IO92)^2</f>
        <v>3.82642516438185E-018</v>
      </c>
      <c r="IQ92" s="1" t="n">
        <f aca="false">EXP($FQ92/$JG$4)*IN92</f>
        <v>0</v>
      </c>
      <c r="IR92" s="1" t="n">
        <f aca="false">EXP($FQ92/$JG$4)*(-1)^$FQ92*IN92</f>
        <v>-0</v>
      </c>
      <c r="IS92" s="1" t="n">
        <f aca="false">(-1)^IM92*IN92</f>
        <v>-0</v>
      </c>
      <c r="IV92" s="1" t="n">
        <f aca="false">$AM92</f>
        <v>81</v>
      </c>
      <c r="IW92" s="1" t="n">
        <f aca="false">GH92</f>
        <v>0</v>
      </c>
      <c r="IX92" s="1" t="n">
        <f aca="false">IX$6*(1+IX$5*(-1)^$FQ92)*EXP(-$FQ92/IX$4)</f>
        <v>1.58314615135927E-006</v>
      </c>
      <c r="IY92" s="1" t="n">
        <f aca="false">(IW92-IX92)^2</f>
        <v>2.50635173656367E-012</v>
      </c>
      <c r="IZ92" s="1" t="n">
        <f aca="false">EXP($FQ92/$JG$4)*IW92</f>
        <v>0</v>
      </c>
      <c r="JA92" s="1" t="n">
        <f aca="false">EXP($FQ92/$JG$4)*(-1)^$FQ92*IW92</f>
        <v>-0</v>
      </c>
      <c r="JB92" s="1" t="n">
        <f aca="false">(-1)^IV92*IW92</f>
        <v>-0</v>
      </c>
      <c r="JE92" s="1" t="n">
        <f aca="false">$AM92</f>
        <v>81</v>
      </c>
      <c r="JF92" s="1" t="n">
        <f aca="false">GL92</f>
        <v>0</v>
      </c>
      <c r="JG92" s="1" t="n">
        <f aca="false">JG$6*(1+JG$5*(-1)^$FQ92)*EXP(-$FQ92/JG$4)</f>
        <v>4.60474070617979E-008</v>
      </c>
      <c r="JH92" s="1" t="n">
        <f aca="false">(JF92-JG92)^2</f>
        <v>2.12036369711492E-015</v>
      </c>
      <c r="JI92" s="1" t="n">
        <f aca="false">EXP($FQ92/$JG$4)*JF92</f>
        <v>0</v>
      </c>
      <c r="JJ92" s="1" t="n">
        <f aca="false">EXP($FQ92/$JG$4)*(-1)^$FQ92*JF92</f>
        <v>-0</v>
      </c>
      <c r="JK92" s="1" t="n">
        <f aca="false">(-1)^JE92*JF92</f>
        <v>-0</v>
      </c>
      <c r="JO92" s="1" t="n">
        <f aca="false">$AM92</f>
        <v>81</v>
      </c>
      <c r="JP92" s="1" t="n">
        <f aca="false">GM92</f>
        <v>0</v>
      </c>
      <c r="JQ92" s="1" t="n">
        <f aca="false">JQ$6*(1+JQ$5*(-1)^$FQ92)*EXP(-$FQ92/JQ$4)</f>
        <v>0.00420212796392046</v>
      </c>
      <c r="JR92" s="1" t="n">
        <f aca="false">(JP92-JQ92)^2</f>
        <v>1.76578794251623E-005</v>
      </c>
      <c r="JS92" s="1" t="n">
        <f aca="false">EXP($FQ92/$JG$4)*JP92</f>
        <v>0</v>
      </c>
      <c r="JT92" s="1" t="n">
        <f aca="false">EXP($FQ92/$JG$4)*(-1)^$FQ92*JP92</f>
        <v>-0</v>
      </c>
      <c r="JU92" s="1" t="n">
        <f aca="false">(-1)^JO92*JP92</f>
        <v>-0</v>
      </c>
    </row>
    <row r="93" customFormat="false" ht="16" hidden="false" customHeight="false" outlineLevel="0" collapsed="false">
      <c r="A93" s="1" t="n">
        <v>1</v>
      </c>
      <c r="B93" s="1" t="n">
        <v>1</v>
      </c>
      <c r="C93" s="1" t="n">
        <f aca="false">B93-A93</f>
        <v>0</v>
      </c>
      <c r="D93" s="1" t="n">
        <v>2</v>
      </c>
      <c r="E93" s="1" t="n">
        <v>2</v>
      </c>
      <c r="F93" s="1" t="n">
        <f aca="false">E93-D93</f>
        <v>0</v>
      </c>
      <c r="G93" s="1" t="n">
        <v>1</v>
      </c>
      <c r="H93" s="1" t="n">
        <v>1</v>
      </c>
      <c r="I93" s="1" t="n">
        <f aca="false">H93-G93</f>
        <v>0</v>
      </c>
      <c r="J93" s="1" t="n">
        <v>4</v>
      </c>
      <c r="K93" s="1" t="n">
        <v>4</v>
      </c>
      <c r="L93" s="1" t="n">
        <f aca="false">K93-J93</f>
        <v>0</v>
      </c>
      <c r="M93" s="1" t="n">
        <v>4</v>
      </c>
      <c r="N93" s="1" t="n">
        <v>4</v>
      </c>
      <c r="O93" s="1" t="n">
        <f aca="false">N93-M93</f>
        <v>0</v>
      </c>
      <c r="P93" s="1" t="n">
        <v>2</v>
      </c>
      <c r="Q93" s="1" t="n">
        <v>5</v>
      </c>
      <c r="R93" s="1" t="n">
        <f aca="false">Q93-P93</f>
        <v>3</v>
      </c>
      <c r="S93" s="1" t="n">
        <v>1</v>
      </c>
      <c r="T93" s="1" t="n">
        <v>6</v>
      </c>
      <c r="U93" s="1" t="n">
        <f aca="false">T93-S93</f>
        <v>5</v>
      </c>
      <c r="V93" s="1" t="n">
        <v>2</v>
      </c>
      <c r="W93" s="1" t="n">
        <v>2</v>
      </c>
      <c r="X93" s="1" t="n">
        <f aca="false">W93-V93</f>
        <v>0</v>
      </c>
      <c r="Y93" s="1" t="n">
        <v>4</v>
      </c>
      <c r="Z93" s="1" t="n">
        <v>7</v>
      </c>
      <c r="AA93" s="1" t="n">
        <f aca="false">Z93-Y93</f>
        <v>3</v>
      </c>
      <c r="AB93" s="1" t="n">
        <v>2</v>
      </c>
      <c r="AC93" s="1" t="n">
        <v>4</v>
      </c>
      <c r="AD93" s="1" t="n">
        <f aca="false">AC93-AB93</f>
        <v>2</v>
      </c>
      <c r="AE93" s="1" t="n">
        <v>2</v>
      </c>
      <c r="AF93" s="1" t="n">
        <v>6</v>
      </c>
      <c r="AG93" s="1" t="n">
        <f aca="false">AF93-AE93</f>
        <v>4</v>
      </c>
      <c r="AM93" s="1" t="n">
        <v>82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W93" s="1" t="n">
        <f aca="false">$AM93</f>
        <v>82</v>
      </c>
      <c r="BX93" s="1" t="n">
        <f aca="false">MAX(BX92-AN93/AN$9*100,0)</f>
        <v>0</v>
      </c>
      <c r="BY93" s="1" t="n">
        <f aca="false">MAX(BY92-AO93/AO$9*100,0)</f>
        <v>0</v>
      </c>
      <c r="BZ93" s="1" t="n">
        <f aca="false">MAX(BZ92-AQ93/AQ$9*100,0)</f>
        <v>0</v>
      </c>
      <c r="CA93" s="1" t="n">
        <f aca="false">MAX(CA92-AR93/AR$9*100,0)</f>
        <v>0</v>
      </c>
      <c r="CB93" s="1" t="n">
        <f aca="false">CB$7*EXP(-$AM93/CB$8)</f>
        <v>1.1765328495281E-044</v>
      </c>
      <c r="CC93" s="1" t="n">
        <f aca="false">(BZ93-CB93)^2</f>
        <v>1.38422954601871E-088</v>
      </c>
      <c r="CD93" s="1" t="n">
        <f aca="false">MAX(CD92-AT93/AT$9*100,0)</f>
        <v>0</v>
      </c>
      <c r="CE93" s="1" t="n">
        <f aca="false">MAX(CE92-AU93/AU$9*100,0)</f>
        <v>5.32907051820075E-015</v>
      </c>
      <c r="CF93" s="1" t="n">
        <f aca="false">CF$7*EXP(-$AM93/CF$8)</f>
        <v>1.74372720879738E-043</v>
      </c>
      <c r="CG93" s="1" t="n">
        <f aca="false">(CD93-CF93)^2</f>
        <v>3.0405845787003E-086</v>
      </c>
      <c r="CH93" s="1" t="n">
        <f aca="false">$AM93</f>
        <v>82</v>
      </c>
      <c r="CI93" s="1" t="n">
        <f aca="false">MAX(CI92-AW93/AW$9*100,0)</f>
        <v>0</v>
      </c>
      <c r="CJ93" s="1" t="n">
        <f aca="false">MAX(CJ92-AX93/AX$9*100,0)</f>
        <v>0</v>
      </c>
      <c r="CK93" s="1" t="n">
        <f aca="false">CK$7*EXP(-$AM93/CK$8)</f>
        <v>6.49661428294192E-029</v>
      </c>
      <c r="CL93" s="1" t="n">
        <f aca="false">(CI93-CK93)^2</f>
        <v>4.2205997141325E-057</v>
      </c>
      <c r="CM93" s="1" t="n">
        <f aca="false">MAX(CM92-AZ93/AZ$9*100,0)</f>
        <v>0</v>
      </c>
      <c r="CN93" s="1" t="n">
        <f aca="false">MAX(CN92-BA93/BA$9*100,0)</f>
        <v>5.32907051820075E-015</v>
      </c>
      <c r="CO93" s="1" t="n">
        <f aca="false">CO$7*EXP(-$AM93/CO$8)</f>
        <v>1.00606692977458E-015</v>
      </c>
      <c r="CP93" s="1" t="n">
        <f aca="false">(CM93-CO93)^2</f>
        <v>1.01217066718605E-030</v>
      </c>
      <c r="CQ93" s="1" t="n">
        <f aca="false">$AM93</f>
        <v>82</v>
      </c>
      <c r="CR93" s="1" t="n">
        <f aca="false">MAX(CR92-BC93/BC$9*100,0)</f>
        <v>0</v>
      </c>
      <c r="CS93" s="1" t="n">
        <f aca="false">MAX(CS92-BD93/BD$9*100,0)</f>
        <v>0</v>
      </c>
      <c r="CT93" s="1" t="n">
        <f aca="false">CT$7*EXP(-$AM93/CT$8)</f>
        <v>1.33738453991643E-026</v>
      </c>
      <c r="CU93" s="1" t="n">
        <f aca="false">(CR93-CT93)^2</f>
        <v>1.78859740760748E-052</v>
      </c>
      <c r="CV93" s="1" t="n">
        <f aca="false">MAX(CV92-BF93/BF$9*100,0)</f>
        <v>8.88178419700125E-015</v>
      </c>
      <c r="CW93" s="1" t="n">
        <f aca="false">MAX(CW92-BG93/BG$9*100,0)</f>
        <v>5.32907051820075E-015</v>
      </c>
      <c r="CX93" s="1" t="n">
        <f aca="false">CX$7*EXP(-$AM93/CX$8)</f>
        <v>2.59374009641422E-013</v>
      </c>
      <c r="CY93" s="1" t="n">
        <f aca="false">(CV93-CX93)^2</f>
        <v>6.27463550080985E-026</v>
      </c>
      <c r="CZ93" s="1" t="n">
        <f aca="false">$AM93</f>
        <v>82</v>
      </c>
      <c r="DA93" s="1" t="n">
        <f aca="false">MAX(DA92-BI93/BI$9*100,0)</f>
        <v>0</v>
      </c>
      <c r="DB93" s="1" t="n">
        <f aca="false">MAX(DB92-BJ93/BJ$9*100,0)</f>
        <v>9.88098491916389E-015</v>
      </c>
      <c r="DC93" s="1" t="n">
        <f aca="false">DC$7*EXP(-$AM93/DC$8)</f>
        <v>1.62125647188447E-024</v>
      </c>
      <c r="DD93" s="1" t="n">
        <f aca="false">(DA93-DC93)^2</f>
        <v>2.62847254762728E-048</v>
      </c>
      <c r="DE93" s="1" t="n">
        <f aca="false">MAX(DE92-BL93/BL$9*100,0)</f>
        <v>0</v>
      </c>
      <c r="DF93" s="1" t="n">
        <f aca="false">MAX(DF92-BM93/BM$9*100,0)</f>
        <v>0</v>
      </c>
      <c r="DG93" s="1" t="n">
        <f aca="false">DG$7*EXP(-$AM93/DG$8)</f>
        <v>1.50643420399602E-007</v>
      </c>
      <c r="DH93" s="1" t="n">
        <f aca="false">(DE93-DG93)^2</f>
        <v>2.26934401096912E-014</v>
      </c>
      <c r="DI93" s="1" t="n">
        <f aca="false">$AM93</f>
        <v>82</v>
      </c>
      <c r="DJ93" s="1" t="n">
        <f aca="false">MAX(DJ92-BO93/BO$9*100,0)</f>
        <v>0</v>
      </c>
      <c r="DK93" s="1" t="n">
        <f aca="false">MAX(DK92-BP93/BP$9*100,0)</f>
        <v>9.99200722162641E-015</v>
      </c>
      <c r="DL93" s="1" t="n">
        <f aca="false">DL$7*EXP(-$AM93/DL$8)</f>
        <v>2.12886439086863E-020</v>
      </c>
      <c r="DM93" s="1" t="n">
        <f aca="false">(DJ93-DL93)^2</f>
        <v>4.53206359470846E-040</v>
      </c>
      <c r="DN93" s="1" t="n">
        <f aca="false">MAX(DN92-BR93/BR$9*100,0)</f>
        <v>0</v>
      </c>
      <c r="DO93" s="1" t="n">
        <f aca="false">MAX(DO92-BS93/BS$9*100,0)</f>
        <v>0</v>
      </c>
      <c r="DP93" s="1" t="n">
        <f aca="false">DP$7*EXP(-$AM93/DP$8)</f>
        <v>9.95251343004588E-009</v>
      </c>
      <c r="DQ93" s="1" t="n">
        <f aca="false">(DN93-DP93)^2</f>
        <v>9.90525235752436E-017</v>
      </c>
      <c r="DS93" s="1" t="n">
        <f aca="false">$AM93</f>
        <v>82</v>
      </c>
      <c r="DT93" s="1" t="n">
        <f aca="false">CA93</f>
        <v>0</v>
      </c>
      <c r="DU93" s="1" t="n">
        <f aca="false">DU$7*EXP(-DS93/DU$8)</f>
        <v>3.15234298581262E-035</v>
      </c>
      <c r="DV93" s="1" t="n">
        <f aca="false">(DT93-DU93)^2</f>
        <v>9.93726630020202E-070</v>
      </c>
      <c r="DX93" s="1" t="n">
        <f aca="false">$AM93</f>
        <v>82</v>
      </c>
      <c r="DY93" s="1" t="n">
        <f aca="false">CM93</f>
        <v>0</v>
      </c>
      <c r="DZ93" s="1" t="n">
        <f aca="false">DZ$7*EXP(-DX93/DZ$8)</f>
        <v>1.55536613822805E-018</v>
      </c>
      <c r="EA93" s="1" t="n">
        <f aca="false">(DY93-DZ93)^2</f>
        <v>2.41916382394644E-036</v>
      </c>
      <c r="EC93" s="1" t="n">
        <f aca="false">$AM93</f>
        <v>82</v>
      </c>
      <c r="ED93" s="1" t="n">
        <f aca="false">CV93</f>
        <v>8.88178419700125E-015</v>
      </c>
      <c r="EE93" s="1" t="n">
        <f aca="false">EE$7*EXP(-EC93/EE$8)</f>
        <v>3.99146406630561E-014</v>
      </c>
      <c r="EF93" s="1" t="n">
        <f aca="false">(ED93-EE93)^2</f>
        <v>9.63038180442762E-028</v>
      </c>
      <c r="EH93" s="1" t="n">
        <f aca="false">$AM93</f>
        <v>82</v>
      </c>
      <c r="EI93" s="1" t="n">
        <f aca="false">DE93</f>
        <v>0</v>
      </c>
      <c r="EJ93" s="1" t="n">
        <f aca="false">EJ$7*EXP(-EH93/EJ$8)</f>
        <v>1.50018343966409E-007</v>
      </c>
      <c r="EK93" s="1" t="n">
        <f aca="false">(EI93-EJ93)^2</f>
        <v>2.25055035264238E-014</v>
      </c>
      <c r="EM93" s="1" t="n">
        <f aca="false">AM93</f>
        <v>82</v>
      </c>
      <c r="EN93" s="1" t="n">
        <f aca="false">DN93</f>
        <v>0</v>
      </c>
      <c r="EO93" s="1" t="n">
        <f aca="false">EO$7*EXP(-EM93/EO$8)</f>
        <v>2.10101185012306E-008</v>
      </c>
      <c r="EP93" s="1" t="n">
        <f aca="false">(EN93-EO93)^2</f>
        <v>4.41425079435752E-016</v>
      </c>
      <c r="ER93" s="1" t="n">
        <f aca="false">$AM93</f>
        <v>82</v>
      </c>
      <c r="ES93" s="1" t="n">
        <f aca="false">BZ93</f>
        <v>0</v>
      </c>
      <c r="ET93" s="1" t="n">
        <f aca="false">ET$7*EXP(-ER93/ET$8)</f>
        <v>7.36270466246817E-041</v>
      </c>
      <c r="EU93" s="1" t="n">
        <f aca="false">(ES93-ET93)^2</f>
        <v>5.42094199467305E-081</v>
      </c>
      <c r="EW93" s="1" t="n">
        <f aca="false">$AM93</f>
        <v>82</v>
      </c>
      <c r="EX93" s="1" t="n">
        <f aca="false">CI93</f>
        <v>0</v>
      </c>
      <c r="EY93" s="1" t="n">
        <f aca="false">EY$7*EXP(-EW93/EY$8)</f>
        <v>1.79861431140209E-037</v>
      </c>
      <c r="EZ93" s="1" t="n">
        <f aca="false">(EX93-EY93)^2</f>
        <v>3.23501344118041E-074</v>
      </c>
      <c r="FB93" s="1" t="n">
        <f aca="false">$AM93</f>
        <v>82</v>
      </c>
      <c r="FC93" s="1" t="n">
        <f aca="false">CR93</f>
        <v>0</v>
      </c>
      <c r="FD93" s="1" t="n">
        <f aca="false">FD$7*EXP(-FB93/FD$8)</f>
        <v>2.15818681325692E-032</v>
      </c>
      <c r="FE93" s="1" t="n">
        <f aca="false">(FC93-FD93)^2</f>
        <v>4.65777032091606E-064</v>
      </c>
      <c r="FG93" s="1" t="n">
        <f aca="false">$AM93</f>
        <v>82</v>
      </c>
      <c r="FH93" s="1" t="n">
        <f aca="false">DA93</f>
        <v>0</v>
      </c>
      <c r="FI93" s="1" t="n">
        <f aca="false">FI$7*EXP(-FG93/FI$8)</f>
        <v>6.88630210445256E-028</v>
      </c>
      <c r="FJ93" s="1" t="n">
        <f aca="false">(FH93-FI93)^2</f>
        <v>4.74211566737878E-055</v>
      </c>
      <c r="FL93" s="1" t="n">
        <f aca="false">EM93</f>
        <v>82</v>
      </c>
      <c r="FM93" s="1" t="n">
        <f aca="false">DJ93</f>
        <v>0</v>
      </c>
      <c r="FN93" s="1" t="n">
        <f aca="false">FN$7*EXP(-FL93/FN$8)</f>
        <v>3.08331037305765E-022</v>
      </c>
      <c r="FO93" s="1" t="n">
        <f aca="false">(FM93-FN93)^2</f>
        <v>9.5068028566049E-044</v>
      </c>
      <c r="FQ93" s="1" t="n">
        <f aca="false">AM93</f>
        <v>82</v>
      </c>
      <c r="FR93" s="1" t="n">
        <f aca="false">AN93/AN$9*100</f>
        <v>0</v>
      </c>
      <c r="FS93" s="1" t="n">
        <f aca="false">AO93/AO$9*100</f>
        <v>0</v>
      </c>
      <c r="FT93" s="1" t="n">
        <f aca="false">AQ93/AQ$9*100</f>
        <v>0</v>
      </c>
      <c r="FU93" s="1" t="n">
        <f aca="false">AR93/AR$9*100</f>
        <v>0</v>
      </c>
      <c r="FV93" s="1" t="n">
        <f aca="false">AT93/AT$9*100</f>
        <v>0</v>
      </c>
      <c r="FW93" s="1" t="n">
        <f aca="false">AU93/AU$9*100</f>
        <v>0</v>
      </c>
      <c r="FX93" s="1" t="n">
        <f aca="false">AW93/AW$9*100</f>
        <v>0</v>
      </c>
      <c r="FY93" s="1" t="n">
        <f aca="false">AX93/AX$9*100</f>
        <v>0</v>
      </c>
      <c r="FZ93" s="1" t="n">
        <f aca="false">AZ93/AZ$9*100</f>
        <v>0</v>
      </c>
      <c r="GA93" s="1" t="n">
        <f aca="false">BA93/BA$9*100</f>
        <v>0</v>
      </c>
      <c r="GB93" s="1" t="n">
        <f aca="false">BC93/BC$9*100</f>
        <v>0</v>
      </c>
      <c r="GC93" s="1" t="n">
        <f aca="false">BD93/BD$9*100</f>
        <v>0</v>
      </c>
      <c r="GD93" s="1" t="n">
        <f aca="false">BF93/BF$9*100</f>
        <v>0</v>
      </c>
      <c r="GE93" s="1" t="n">
        <f aca="false">BG93/BG$9*100</f>
        <v>0</v>
      </c>
      <c r="GF93" s="1" t="n">
        <f aca="false">BI93/BI$9*100</f>
        <v>0</v>
      </c>
      <c r="GG93" s="1" t="n">
        <f aca="false">BJ93/BJ$9*100</f>
        <v>0</v>
      </c>
      <c r="GH93" s="1" t="n">
        <f aca="false">BL93/BL$9*100</f>
        <v>0</v>
      </c>
      <c r="GI93" s="1" t="n">
        <f aca="false">BM93/BM$9*100</f>
        <v>0</v>
      </c>
      <c r="GJ93" s="1" t="n">
        <f aca="false">BO93/BO$9*100</f>
        <v>0</v>
      </c>
      <c r="GK93" s="1" t="n">
        <f aca="false">BP93/BP$9*100</f>
        <v>0</v>
      </c>
      <c r="GL93" s="1" t="n">
        <f aca="false">BR93/BR$9*100</f>
        <v>0</v>
      </c>
      <c r="GM93" s="1" t="n">
        <f aca="false">BS93/BS$9*100</f>
        <v>0</v>
      </c>
      <c r="GO93" s="1" t="n">
        <f aca="false">$AM93</f>
        <v>82</v>
      </c>
      <c r="GP93" s="1" t="n">
        <f aca="false">FT93</f>
        <v>0</v>
      </c>
      <c r="GQ93" s="1" t="n">
        <f aca="false">GQ$6*(1+GQ$5*(-1)^$FQ93)*EXP(-$FQ93/GQ$4)</f>
        <v>2.15409941043535E-025</v>
      </c>
      <c r="GR93" s="1" t="n">
        <f aca="false">(GP93-GQ93)^2</f>
        <v>4.64014427003792E-050</v>
      </c>
      <c r="GS93" s="1" t="n">
        <f aca="false">EXP($FQ93/$JG$4)*GP93</f>
        <v>0</v>
      </c>
      <c r="GT93" s="1" t="n">
        <f aca="false">EXP($FQ93/$JG$4)*(-1)^$FQ93*GP93</f>
        <v>0</v>
      </c>
      <c r="GU93" s="1" t="n">
        <f aca="false">(-1)^GO93*GP93</f>
        <v>0</v>
      </c>
      <c r="GW93" s="1" t="n">
        <f aca="false">$AM93</f>
        <v>82</v>
      </c>
      <c r="GX93" s="1" t="n">
        <f aca="false">FX93</f>
        <v>0</v>
      </c>
      <c r="GY93" s="1" t="n">
        <f aca="false">GY$6*(1+GY$5*(-1)^$FQ93)*EXP(-$FQ93/GY$4)</f>
        <v>2.15409941043535E-025</v>
      </c>
      <c r="GZ93" s="1" t="n">
        <f aca="false">(GX93-GY93)^2</f>
        <v>4.64014427003792E-050</v>
      </c>
      <c r="HA93" s="1" t="n">
        <f aca="false">EXP($FQ93/$JG$4)*GX93</f>
        <v>0</v>
      </c>
      <c r="HB93" s="1" t="n">
        <f aca="false">EXP($FQ93/$JG$4)*(-1)^$FQ93*GX93</f>
        <v>0</v>
      </c>
      <c r="HC93" s="1" t="n">
        <f aca="false">(-1)^GW93*GX93</f>
        <v>0</v>
      </c>
      <c r="HE93" s="1" t="n">
        <f aca="false">$AM93</f>
        <v>82</v>
      </c>
      <c r="HF93" s="1" t="n">
        <f aca="false">GB93</f>
        <v>0</v>
      </c>
      <c r="HG93" s="1" t="n">
        <f aca="false">HG$6*(1+HG$5*(-1)^$FQ93)*EXP(-$FQ93/HG$4)</f>
        <v>2.15409941043535E-025</v>
      </c>
      <c r="HH93" s="1" t="n">
        <f aca="false">(HF93-HG93)^2</f>
        <v>4.64014427003792E-050</v>
      </c>
      <c r="HI93" s="1" t="n">
        <f aca="false">EXP($FQ93/$JG$4)*HF93</f>
        <v>0</v>
      </c>
      <c r="HJ93" s="1" t="n">
        <f aca="false">EXP($FQ93/$JG$4)*(-1)^$FQ93*HF93</f>
        <v>0</v>
      </c>
      <c r="HK93" s="1" t="n">
        <f aca="false">(-1)^HE93*HF93</f>
        <v>0</v>
      </c>
      <c r="HM93" s="1" t="n">
        <f aca="false">$AM93</f>
        <v>82</v>
      </c>
      <c r="HN93" s="1" t="n">
        <f aca="false">GF93</f>
        <v>0</v>
      </c>
      <c r="HO93" s="1" t="n">
        <f aca="false">HO$6*(1+HO$5*(-1)^$FQ93)*EXP(-$FQ93/HO$4)</f>
        <v>7.82363957855704E-020</v>
      </c>
      <c r="HP93" s="1" t="n">
        <f aca="false">(HN93-HO93)^2</f>
        <v>6.12093362551642E-039</v>
      </c>
      <c r="HQ93" s="1" t="n">
        <f aca="false">EXP($FQ93/$JG$4)*HN93</f>
        <v>0</v>
      </c>
      <c r="HR93" s="1" t="n">
        <f aca="false">EXP($FQ93/$JG$4)*(-1)^$FQ93*HN93</f>
        <v>0</v>
      </c>
      <c r="HS93" s="1" t="n">
        <f aca="false">(-1)^HM93*HN93</f>
        <v>0</v>
      </c>
      <c r="HU93" s="1" t="n">
        <f aca="false">$AM93</f>
        <v>82</v>
      </c>
      <c r="HV93" s="1" t="n">
        <f aca="false">GJ93</f>
        <v>0</v>
      </c>
      <c r="HW93" s="1" t="n">
        <f aca="false">HW$6*(1+HW$5*(-1)^$FQ93)*EXP(-$FQ93/HW$4)</f>
        <v>1.63705864070712E-014</v>
      </c>
      <c r="HX93" s="1" t="n">
        <f aca="false">(HV93-HW93)^2</f>
        <v>2.67996099311384E-028</v>
      </c>
      <c r="HY93" s="1" t="n">
        <f aca="false">EXP($FQ93/$JG$4)*HV93</f>
        <v>0</v>
      </c>
      <c r="HZ93" s="1" t="n">
        <f aca="false">EXP($FQ93/$JG$4)*(-1)^$FQ93*HV93</f>
        <v>0</v>
      </c>
      <c r="IA93" s="1" t="n">
        <f aca="false">(-1)^HU93*HV93</f>
        <v>0</v>
      </c>
      <c r="ID93" s="1" t="n">
        <f aca="false">$AM93</f>
        <v>82</v>
      </c>
      <c r="IE93" s="1" t="n">
        <f aca="false">FZ93</f>
        <v>0</v>
      </c>
      <c r="IF93" s="1" t="n">
        <f aca="false">IF$6*(1+IF$5*(-1)^$FQ93)*EXP(-$FQ93/IF$4)</f>
        <v>7.42517900965534E-011</v>
      </c>
      <c r="IG93" s="1" t="n">
        <f aca="false">(IE93-IF93)^2</f>
        <v>5.51332833254262E-021</v>
      </c>
      <c r="IH93" s="1" t="n">
        <f aca="false">EXP($FQ93/$JG$4)*IE93</f>
        <v>0</v>
      </c>
      <c r="II93" s="1" t="n">
        <f aca="false">EXP($FQ93/$JG$4)*(-1)^$FQ93*IE93</f>
        <v>0</v>
      </c>
      <c r="IJ93" s="1" t="n">
        <f aca="false">(-1)^ID93*IE93</f>
        <v>0</v>
      </c>
      <c r="IK93" s="1" t="n">
        <v>0</v>
      </c>
      <c r="IM93" s="1" t="n">
        <f aca="false">$AM93</f>
        <v>82</v>
      </c>
      <c r="IN93" s="1" t="n">
        <f aca="false">GD93</f>
        <v>0</v>
      </c>
      <c r="IO93" s="1" t="n">
        <f aca="false">IO$6*(1+IO$5*(-1)^$FQ93)*EXP(-$FQ93/IO$4)</f>
        <v>3.19663089116205E-009</v>
      </c>
      <c r="IP93" s="1" t="n">
        <f aca="false">(IN93-IO93)^2</f>
        <v>1.02184490543315E-017</v>
      </c>
      <c r="IQ93" s="1" t="n">
        <f aca="false">EXP($FQ93/$JG$4)*IN93</f>
        <v>0</v>
      </c>
      <c r="IR93" s="1" t="n">
        <f aca="false">EXP($FQ93/$JG$4)*(-1)^$FQ93*IN93</f>
        <v>0</v>
      </c>
      <c r="IS93" s="1" t="n">
        <f aca="false">(-1)^IM93*IN93</f>
        <v>0</v>
      </c>
      <c r="IV93" s="1" t="n">
        <f aca="false">$AM93</f>
        <v>82</v>
      </c>
      <c r="IW93" s="1" t="n">
        <f aca="false">GH93</f>
        <v>0</v>
      </c>
      <c r="IX93" s="1" t="n">
        <f aca="false">IX$6*(1+IX$5*(-1)^$FQ93)*EXP(-$FQ93/IX$4)</f>
        <v>5.06542754306103E-006</v>
      </c>
      <c r="IY93" s="1" t="n">
        <f aca="false">(IW93-IX93)^2</f>
        <v>2.56585561940013E-011</v>
      </c>
      <c r="IZ93" s="1" t="n">
        <f aca="false">EXP($FQ93/$JG$4)*IW93</f>
        <v>0</v>
      </c>
      <c r="JA93" s="1" t="n">
        <f aca="false">EXP($FQ93/$JG$4)*(-1)^$FQ93*IW93</f>
        <v>0</v>
      </c>
      <c r="JB93" s="1" t="n">
        <f aca="false">(-1)^IV93*IW93</f>
        <v>0</v>
      </c>
      <c r="JE93" s="1" t="n">
        <f aca="false">$AM93</f>
        <v>82</v>
      </c>
      <c r="JF93" s="1" t="n">
        <f aca="false">GL93</f>
        <v>0</v>
      </c>
      <c r="JG93" s="1" t="n">
        <f aca="false">JG$6*(1+JG$5*(-1)^$FQ93)*EXP(-$FQ93/JG$4)</f>
        <v>2.38664657671398E-007</v>
      </c>
      <c r="JH93" s="1" t="n">
        <f aca="false">(JF93-JG93)^2</f>
        <v>5.69608188214056E-014</v>
      </c>
      <c r="JI93" s="1" t="n">
        <f aca="false">EXP($FQ93/$JG$4)*JF93</f>
        <v>0</v>
      </c>
      <c r="JJ93" s="1" t="n">
        <f aca="false">EXP($FQ93/$JG$4)*(-1)^$FQ93*JF93</f>
        <v>0</v>
      </c>
      <c r="JK93" s="1" t="n">
        <f aca="false">(-1)^JE93*JF93</f>
        <v>0</v>
      </c>
      <c r="JO93" s="1" t="n">
        <f aca="false">$AM93</f>
        <v>82</v>
      </c>
      <c r="JP93" s="1" t="n">
        <f aca="false">GM93</f>
        <v>0</v>
      </c>
      <c r="JQ93" s="1" t="n">
        <f aca="false">JQ$6*(1+JQ$5*(-1)^$FQ93)*EXP(-$FQ93/JQ$4)</f>
        <v>0.0203650283187927</v>
      </c>
      <c r="JR93" s="1" t="n">
        <f aca="false">(JP93-JQ93)^2</f>
        <v>0.000414734378425229</v>
      </c>
      <c r="JS93" s="1" t="n">
        <f aca="false">EXP($FQ93/$JG$4)*JP93</f>
        <v>0</v>
      </c>
      <c r="JT93" s="1" t="n">
        <f aca="false">EXP($FQ93/$JG$4)*(-1)^$FQ93*JP93</f>
        <v>0</v>
      </c>
      <c r="JU93" s="1" t="n">
        <f aca="false">(-1)^JO93*JP93</f>
        <v>0</v>
      </c>
    </row>
    <row r="94" customFormat="false" ht="16" hidden="false" customHeight="false" outlineLevel="0" collapsed="false">
      <c r="A94" s="1" t="n">
        <v>2</v>
      </c>
      <c r="B94" s="1" t="n">
        <v>2</v>
      </c>
      <c r="C94" s="1" t="n">
        <f aca="false">B94-A94</f>
        <v>0</v>
      </c>
      <c r="D94" s="1" t="n">
        <v>1</v>
      </c>
      <c r="E94" s="1" t="n">
        <v>1</v>
      </c>
      <c r="F94" s="1" t="n">
        <f aca="false">E94-D94</f>
        <v>0</v>
      </c>
      <c r="G94" s="1" t="n">
        <v>2</v>
      </c>
      <c r="H94" s="1" t="n">
        <v>2</v>
      </c>
      <c r="I94" s="1" t="n">
        <f aca="false">H94-G94</f>
        <v>0</v>
      </c>
      <c r="J94" s="1" t="n">
        <v>2</v>
      </c>
      <c r="K94" s="1" t="n">
        <v>2</v>
      </c>
      <c r="L94" s="1" t="n">
        <f aca="false">K94-J94</f>
        <v>0</v>
      </c>
      <c r="M94" s="1" t="n">
        <v>7</v>
      </c>
      <c r="N94" s="1" t="n">
        <v>11</v>
      </c>
      <c r="O94" s="1" t="n">
        <f aca="false">N94-M94</f>
        <v>4</v>
      </c>
      <c r="P94" s="1" t="n">
        <v>2</v>
      </c>
      <c r="Q94" s="1" t="n">
        <v>4</v>
      </c>
      <c r="R94" s="1" t="n">
        <f aca="false">Q94-P94</f>
        <v>2</v>
      </c>
      <c r="S94" s="1" t="n">
        <v>1</v>
      </c>
      <c r="T94" s="1" t="n">
        <v>6</v>
      </c>
      <c r="U94" s="1" t="n">
        <f aca="false">T94-S94</f>
        <v>5</v>
      </c>
      <c r="V94" s="1" t="n">
        <v>2</v>
      </c>
      <c r="W94" s="1" t="n">
        <v>2</v>
      </c>
      <c r="X94" s="1" t="n">
        <f aca="false">W94-V94</f>
        <v>0</v>
      </c>
      <c r="Y94" s="1" t="n">
        <v>2</v>
      </c>
      <c r="Z94" s="1" t="n">
        <v>2</v>
      </c>
      <c r="AA94" s="1" t="n">
        <f aca="false">Z94-Y94</f>
        <v>0</v>
      </c>
      <c r="AB94" s="1" t="n">
        <v>2</v>
      </c>
      <c r="AC94" s="1" t="n">
        <v>4</v>
      </c>
      <c r="AD94" s="1" t="n">
        <f aca="false">AC94-AB94</f>
        <v>2</v>
      </c>
      <c r="AE94" s="1" t="n">
        <v>5</v>
      </c>
      <c r="AF94" s="1" t="n">
        <v>13</v>
      </c>
      <c r="AG94" s="1" t="n">
        <f aca="false">AF94-AE94</f>
        <v>8</v>
      </c>
      <c r="AM94" s="1" t="n">
        <v>83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W94" s="1" t="n">
        <f aca="false">$AM94</f>
        <v>83</v>
      </c>
      <c r="BX94" s="1" t="n">
        <f aca="false">MAX(BX93-AN94/AN$9*100,0)</f>
        <v>0</v>
      </c>
      <c r="BY94" s="1" t="n">
        <f aca="false">MAX(BY93-AO94/AO$9*100,0)</f>
        <v>0</v>
      </c>
      <c r="BZ94" s="1" t="n">
        <f aca="false">MAX(BZ93-AQ94/AQ$9*100,0)</f>
        <v>0</v>
      </c>
      <c r="CA94" s="1" t="n">
        <f aca="false">MAX(CA93-AR94/AR$9*100,0)</f>
        <v>0</v>
      </c>
      <c r="CB94" s="1" t="n">
        <f aca="false">CB$7*EXP(-$AM94/CB$8)</f>
        <v>3.2105929653452E-045</v>
      </c>
      <c r="CC94" s="1" t="n">
        <f aca="false">(BZ94-CB94)^2</f>
        <v>1.03079071891241E-089</v>
      </c>
      <c r="CD94" s="1" t="n">
        <f aca="false">MAX(CD93-AT94/AT$9*100,0)</f>
        <v>0</v>
      </c>
      <c r="CE94" s="1" t="n">
        <f aca="false">MAX(CE93-AU94/AU$9*100,0)</f>
        <v>5.32907051820075E-015</v>
      </c>
      <c r="CF94" s="1" t="n">
        <f aca="false">CF$7*EXP(-$AM94/CF$8)</f>
        <v>4.91743574433855E-044</v>
      </c>
      <c r="CG94" s="1" t="n">
        <f aca="false">(CD94-CF94)^2</f>
        <v>2.41811742996984E-087</v>
      </c>
      <c r="CH94" s="1" t="n">
        <f aca="false">$AM94</f>
        <v>83</v>
      </c>
      <c r="CI94" s="1" t="n">
        <f aca="false">MAX(CI93-AW94/AW$9*100,0)</f>
        <v>0</v>
      </c>
      <c r="CJ94" s="1" t="n">
        <f aca="false">MAX(CJ93-AX94/AX$9*100,0)</f>
        <v>0</v>
      </c>
      <c r="CK94" s="1" t="n">
        <f aca="false">CK$7*EXP(-$AM94/CK$8)</f>
        <v>2.76372748591799E-029</v>
      </c>
      <c r="CL94" s="1" t="n">
        <f aca="false">(CI94-CK94)^2</f>
        <v>7.63818961641857E-058</v>
      </c>
      <c r="CM94" s="1" t="n">
        <f aca="false">MAX(CM93-AZ94/AZ$9*100,0)</f>
        <v>0</v>
      </c>
      <c r="CN94" s="1" t="n">
        <f aca="false">MAX(CN93-BA94/BA$9*100,0)</f>
        <v>5.32907051820075E-015</v>
      </c>
      <c r="CO94" s="1" t="n">
        <f aca="false">CO$7*EXP(-$AM94/CO$8)</f>
        <v>6.2205881631985E-016</v>
      </c>
      <c r="CP94" s="1" t="n">
        <f aca="false">(CM94-CO94)^2</f>
        <v>3.86957170961253E-031</v>
      </c>
      <c r="CQ94" s="1" t="n">
        <f aca="false">$AM94</f>
        <v>83</v>
      </c>
      <c r="CR94" s="1" t="n">
        <f aca="false">MAX(CR93-BC94/BC$9*100,0)</f>
        <v>0</v>
      </c>
      <c r="CS94" s="1" t="n">
        <f aca="false">MAX(CS93-BD94/BD$9*100,0)</f>
        <v>0</v>
      </c>
      <c r="CT94" s="1" t="n">
        <f aca="false">CT$7*EXP(-$AM94/CT$8)</f>
        <v>6.0854421674806E-027</v>
      </c>
      <c r="CU94" s="1" t="n">
        <f aca="false">(CR94-CT94)^2</f>
        <v>3.7032606373751E-053</v>
      </c>
      <c r="CV94" s="1" t="n">
        <f aca="false">MAX(CV93-BF94/BF$9*100,0)</f>
        <v>8.88178419700125E-015</v>
      </c>
      <c r="CW94" s="1" t="n">
        <f aca="false">MAX(CW93-BG94/BG$9*100,0)</f>
        <v>5.32907051820075E-015</v>
      </c>
      <c r="CX94" s="1" t="n">
        <f aca="false">CX$7*EXP(-$AM94/CX$8)</f>
        <v>1.71579708672343E-013</v>
      </c>
      <c r="CY94" s="1" t="n">
        <f aca="false">(CV94-CX94)^2</f>
        <v>2.6470614628584E-026</v>
      </c>
      <c r="CZ94" s="1" t="n">
        <f aca="false">$AM94</f>
        <v>83</v>
      </c>
      <c r="DA94" s="1" t="n">
        <f aca="false">MAX(DA93-BI94/BI$9*100,0)</f>
        <v>0</v>
      </c>
      <c r="DB94" s="1" t="n">
        <f aca="false">MAX(DB93-BJ94/BJ$9*100,0)</f>
        <v>9.88098491916389E-015</v>
      </c>
      <c r="DC94" s="1" t="n">
        <f aca="false">DC$7*EXP(-$AM94/DC$8)</f>
        <v>7.81355100180583E-025</v>
      </c>
      <c r="DD94" s="1" t="n">
        <f aca="false">(DA94-DC94)^2</f>
        <v>6.10515792578209E-049</v>
      </c>
      <c r="DE94" s="1" t="n">
        <f aca="false">MAX(DE93-BL94/BL$9*100,0)</f>
        <v>0</v>
      </c>
      <c r="DF94" s="1" t="n">
        <f aca="false">MAX(DF93-BM94/BM$9*100,0)</f>
        <v>0</v>
      </c>
      <c r="DG94" s="1" t="n">
        <f aca="false">DG$7*EXP(-$AM94/DG$8)</f>
        <v>1.17321213771765E-007</v>
      </c>
      <c r="DH94" s="1" t="n">
        <f aca="false">(DE94-DG94)^2</f>
        <v>1.37642672008802E-014</v>
      </c>
      <c r="DI94" s="1" t="n">
        <f aca="false">$AM94</f>
        <v>83</v>
      </c>
      <c r="DJ94" s="1" t="n">
        <f aca="false">MAX(DJ93-BO94/BO$9*100,0)</f>
        <v>0</v>
      </c>
      <c r="DK94" s="1" t="n">
        <f aca="false">MAX(DK93-BP94/BP$9*100,0)</f>
        <v>9.99200722162641E-015</v>
      </c>
      <c r="DL94" s="1" t="n">
        <f aca="false">DL$7*EXP(-$AM94/DL$8)</f>
        <v>1.15268240829463E-020</v>
      </c>
      <c r="DM94" s="1" t="n">
        <f aca="false">(DJ94-DL94)^2</f>
        <v>1.32867673439191E-040</v>
      </c>
      <c r="DN94" s="1" t="n">
        <f aca="false">MAX(DN93-BR94/BR$9*100,0)</f>
        <v>0</v>
      </c>
      <c r="DO94" s="1" t="n">
        <f aca="false">MAX(DO93-BS94/BS$9*100,0)</f>
        <v>0</v>
      </c>
      <c r="DP94" s="1" t="n">
        <f aca="false">DP$7*EXP(-$AM94/DP$8)</f>
        <v>7.49727039021326E-009</v>
      </c>
      <c r="DQ94" s="1" t="n">
        <f aca="false">(DN94-DP94)^2</f>
        <v>5.62090633039685E-017</v>
      </c>
      <c r="DS94" s="1" t="n">
        <f aca="false">$AM94</f>
        <v>83</v>
      </c>
      <c r="DT94" s="1" t="n">
        <f aca="false">CA94</f>
        <v>0</v>
      </c>
      <c r="DU94" s="1" t="n">
        <f aca="false">DU$7*EXP(-DS94/DU$8)</f>
        <v>1.12436467895651E-035</v>
      </c>
      <c r="DV94" s="1" t="n">
        <f aca="false">(DT94-DU94)^2</f>
        <v>1.26419593128498E-070</v>
      </c>
      <c r="DX94" s="1" t="n">
        <f aca="false">$AM94</f>
        <v>83</v>
      </c>
      <c r="DY94" s="1" t="n">
        <f aca="false">CM94</f>
        <v>0</v>
      </c>
      <c r="DZ94" s="1" t="n">
        <f aca="false">DZ$7*EXP(-DX94/DZ$8)</f>
        <v>8.8684347644786E-019</v>
      </c>
      <c r="EA94" s="1" t="n">
        <f aca="false">(DY94-DZ94)^2</f>
        <v>7.86491351718126E-037</v>
      </c>
      <c r="EC94" s="1" t="n">
        <f aca="false">$AM94</f>
        <v>83</v>
      </c>
      <c r="ED94" s="1" t="n">
        <f aca="false">CV94</f>
        <v>8.88178419700125E-015</v>
      </c>
      <c r="EE94" s="1" t="n">
        <f aca="false">EE$7*EXP(-EC94/EE$8)</f>
        <v>2.57919381372289E-014</v>
      </c>
      <c r="EF94" s="1" t="n">
        <f aca="false">(ED94-EE94)^2</f>
        <v>2.85953306282197E-028</v>
      </c>
      <c r="EH94" s="1" t="n">
        <f aca="false">$AM94</f>
        <v>83</v>
      </c>
      <c r="EI94" s="1" t="n">
        <f aca="false">DE94</f>
        <v>0</v>
      </c>
      <c r="EJ94" s="1" t="n">
        <f aca="false">EJ$7*EXP(-EH94/EJ$8)</f>
        <v>1.16834403756115E-007</v>
      </c>
      <c r="EK94" s="1" t="n">
        <f aca="false">(EI94-EJ94)^2</f>
        <v>1.36502779010469E-014</v>
      </c>
      <c r="EM94" s="1" t="n">
        <f aca="false">AM94</f>
        <v>83</v>
      </c>
      <c r="EN94" s="1" t="n">
        <f aca="false">DN94</f>
        <v>0</v>
      </c>
      <c r="EO94" s="1" t="n">
        <f aca="false">EO$7*EXP(-EM94/EO$8)</f>
        <v>1.59751046696228E-008</v>
      </c>
      <c r="EP94" s="1" t="n">
        <f aca="false">(EN94-EO94)^2</f>
        <v>2.55203969205404E-016</v>
      </c>
      <c r="ER94" s="1" t="n">
        <f aca="false">$AM94</f>
        <v>83</v>
      </c>
      <c r="ES94" s="1" t="n">
        <f aca="false">BZ94</f>
        <v>0</v>
      </c>
      <c r="ET94" s="1" t="n">
        <f aca="false">ET$7*EXP(-ER94/ET$8)</f>
        <v>2.23882495836752E-041</v>
      </c>
      <c r="EU94" s="1" t="n">
        <f aca="false">(ES94-ET94)^2</f>
        <v>5.01233719420933E-082</v>
      </c>
      <c r="EW94" s="1" t="n">
        <f aca="false">$AM94</f>
        <v>83</v>
      </c>
      <c r="EX94" s="1" t="n">
        <f aca="false">CI94</f>
        <v>0</v>
      </c>
      <c r="EY94" s="1" t="n">
        <f aca="false">EY$7*EXP(-EW94/EY$8)</f>
        <v>5.99364976062982E-038</v>
      </c>
      <c r="EZ94" s="1" t="n">
        <f aca="false">(EX94-EY94)^2</f>
        <v>3.59238374530979E-075</v>
      </c>
      <c r="FB94" s="1" t="n">
        <f aca="false">$AM94</f>
        <v>83</v>
      </c>
      <c r="FC94" s="1" t="n">
        <f aca="false">CR94</f>
        <v>0</v>
      </c>
      <c r="FD94" s="1" t="n">
        <f aca="false">FD$7*EXP(-FB94/FD$8)</f>
        <v>8.32674456672158E-033</v>
      </c>
      <c r="FE94" s="1" t="n">
        <f aca="false">(FC94-FD94)^2</f>
        <v>6.93346750794273E-065</v>
      </c>
      <c r="FG94" s="1" t="n">
        <f aca="false">$AM94</f>
        <v>83</v>
      </c>
      <c r="FH94" s="1" t="n">
        <f aca="false">DA94</f>
        <v>0</v>
      </c>
      <c r="FI94" s="1" t="n">
        <f aca="false">FI$7*EXP(-FG94/FI$8)</f>
        <v>3.01345709195733E-028</v>
      </c>
      <c r="FJ94" s="1" t="n">
        <f aca="false">(FH94-FI94)^2</f>
        <v>9.08092364506793E-056</v>
      </c>
      <c r="FL94" s="1" t="n">
        <f aca="false">EM94</f>
        <v>83</v>
      </c>
      <c r="FM94" s="1" t="n">
        <f aca="false">DJ94</f>
        <v>0</v>
      </c>
      <c r="FN94" s="1" t="n">
        <f aca="false">FN$7*EXP(-FL94/FN$8)</f>
        <v>1.58302432881856E-022</v>
      </c>
      <c r="FO94" s="1" t="n">
        <f aca="false">(FM94-FN94)^2</f>
        <v>2.50596602563145E-044</v>
      </c>
      <c r="FQ94" s="1" t="n">
        <f aca="false">AM94</f>
        <v>83</v>
      </c>
      <c r="FR94" s="1" t="n">
        <f aca="false">AN94/AN$9*100</f>
        <v>0</v>
      </c>
      <c r="FS94" s="1" t="n">
        <f aca="false">AO94/AO$9*100</f>
        <v>0</v>
      </c>
      <c r="FT94" s="1" t="n">
        <f aca="false">AQ94/AQ$9*100</f>
        <v>0</v>
      </c>
      <c r="FU94" s="1" t="n">
        <f aca="false">AR94/AR$9*100</f>
        <v>0</v>
      </c>
      <c r="FV94" s="1" t="n">
        <f aca="false">AT94/AT$9*100</f>
        <v>0</v>
      </c>
      <c r="FW94" s="1" t="n">
        <f aca="false">AU94/AU$9*100</f>
        <v>0</v>
      </c>
      <c r="FX94" s="1" t="n">
        <f aca="false">AW94/AW$9*100</f>
        <v>0</v>
      </c>
      <c r="FY94" s="1" t="n">
        <f aca="false">AX94/AX$9*100</f>
        <v>0</v>
      </c>
      <c r="FZ94" s="1" t="n">
        <f aca="false">AZ94/AZ$9*100</f>
        <v>0</v>
      </c>
      <c r="GA94" s="1" t="n">
        <f aca="false">BA94/BA$9*100</f>
        <v>0</v>
      </c>
      <c r="GB94" s="1" t="n">
        <f aca="false">BC94/BC$9*100</f>
        <v>0</v>
      </c>
      <c r="GC94" s="1" t="n">
        <f aca="false">BD94/BD$9*100</f>
        <v>0</v>
      </c>
      <c r="GD94" s="1" t="n">
        <f aca="false">BF94/BF$9*100</f>
        <v>0</v>
      </c>
      <c r="GE94" s="1" t="n">
        <f aca="false">BG94/BG$9*100</f>
        <v>0</v>
      </c>
      <c r="GF94" s="1" t="n">
        <f aca="false">BI94/BI$9*100</f>
        <v>0</v>
      </c>
      <c r="GG94" s="1" t="n">
        <f aca="false">BJ94/BJ$9*100</f>
        <v>0</v>
      </c>
      <c r="GH94" s="1" t="n">
        <f aca="false">BL94/BL$9*100</f>
        <v>0</v>
      </c>
      <c r="GI94" s="1" t="n">
        <f aca="false">BM94/BM$9*100</f>
        <v>0</v>
      </c>
      <c r="GJ94" s="1" t="n">
        <f aca="false">BO94/BO$9*100</f>
        <v>0</v>
      </c>
      <c r="GK94" s="1" t="n">
        <f aca="false">BP94/BP$9*100</f>
        <v>0</v>
      </c>
      <c r="GL94" s="1" t="n">
        <f aca="false">BR94/BR$9*100</f>
        <v>0</v>
      </c>
      <c r="GM94" s="1" t="n">
        <f aca="false">BS94/BS$9*100</f>
        <v>0</v>
      </c>
      <c r="GO94" s="1" t="n">
        <f aca="false">$AM94</f>
        <v>83</v>
      </c>
      <c r="GP94" s="1" t="n">
        <f aca="false">FT94</f>
        <v>0</v>
      </c>
      <c r="GQ94" s="1" t="n">
        <f aca="false">GQ$6*(1+GQ$5*(-1)^$FQ94)*EXP(-$FQ94/GQ$4)</f>
        <v>3.45651685051889E-026</v>
      </c>
      <c r="GR94" s="1" t="n">
        <f aca="false">(GP94-GQ94)^2</f>
        <v>1.1947508737921E-051</v>
      </c>
      <c r="GS94" s="1" t="n">
        <f aca="false">EXP($FQ94/$JG$4)*GP94</f>
        <v>0</v>
      </c>
      <c r="GT94" s="1" t="n">
        <f aca="false">EXP($FQ94/$JG$4)*(-1)^$FQ94*GP94</f>
        <v>-0</v>
      </c>
      <c r="GU94" s="1" t="n">
        <f aca="false">(-1)^GO94*GP94</f>
        <v>-0</v>
      </c>
      <c r="GW94" s="1" t="n">
        <f aca="false">$AM94</f>
        <v>83</v>
      </c>
      <c r="GX94" s="1" t="n">
        <f aca="false">FX94</f>
        <v>0</v>
      </c>
      <c r="GY94" s="1" t="n">
        <f aca="false">GY$6*(1+GY$5*(-1)^$FQ94)*EXP(-$FQ94/GY$4)</f>
        <v>3.45651685051889E-026</v>
      </c>
      <c r="GZ94" s="1" t="n">
        <f aca="false">(GX94-GY94)^2</f>
        <v>1.1947508737921E-051</v>
      </c>
      <c r="HA94" s="1" t="n">
        <f aca="false">EXP($FQ94/$JG$4)*GX94</f>
        <v>0</v>
      </c>
      <c r="HB94" s="1" t="n">
        <f aca="false">EXP($FQ94/$JG$4)*(-1)^$FQ94*GX94</f>
        <v>-0</v>
      </c>
      <c r="HC94" s="1" t="n">
        <f aca="false">(-1)^GW94*GX94</f>
        <v>-0</v>
      </c>
      <c r="HE94" s="1" t="n">
        <f aca="false">$AM94</f>
        <v>83</v>
      </c>
      <c r="HF94" s="1" t="n">
        <f aca="false">GB94</f>
        <v>0</v>
      </c>
      <c r="HG94" s="1" t="n">
        <f aca="false">HG$6*(1+HG$5*(-1)^$FQ94)*EXP(-$FQ94/HG$4)</f>
        <v>3.45651685051889E-026</v>
      </c>
      <c r="HH94" s="1" t="n">
        <f aca="false">(HF94-HG94)^2</f>
        <v>1.1947508737921E-051</v>
      </c>
      <c r="HI94" s="1" t="n">
        <f aca="false">EXP($FQ94/$JG$4)*HF94</f>
        <v>0</v>
      </c>
      <c r="HJ94" s="1" t="n">
        <f aca="false">EXP($FQ94/$JG$4)*(-1)^$FQ94*HF94</f>
        <v>-0</v>
      </c>
      <c r="HK94" s="1" t="n">
        <f aca="false">(-1)^HE94*HF94</f>
        <v>-0</v>
      </c>
      <c r="HM94" s="1" t="n">
        <f aca="false">$AM94</f>
        <v>83</v>
      </c>
      <c r="HN94" s="1" t="n">
        <f aca="false">GF94</f>
        <v>0</v>
      </c>
      <c r="HO94" s="1" t="n">
        <f aca="false">HO$6*(1+HO$5*(-1)^$FQ94)*EXP(-$FQ94/HO$4)</f>
        <v>9.43649929468215E-021</v>
      </c>
      <c r="HP94" s="1" t="n">
        <f aca="false">(HN94-HO94)^2</f>
        <v>8.90475189385367E-041</v>
      </c>
      <c r="HQ94" s="1" t="n">
        <f aca="false">EXP($FQ94/$JG$4)*HN94</f>
        <v>0</v>
      </c>
      <c r="HR94" s="1" t="n">
        <f aca="false">EXP($FQ94/$JG$4)*(-1)^$FQ94*HN94</f>
        <v>-0</v>
      </c>
      <c r="HS94" s="1" t="n">
        <f aca="false">(-1)^HM94*HN94</f>
        <v>-0</v>
      </c>
      <c r="HU94" s="1" t="n">
        <f aca="false">$AM94</f>
        <v>83</v>
      </c>
      <c r="HV94" s="1" t="n">
        <f aca="false">GJ94</f>
        <v>0</v>
      </c>
      <c r="HW94" s="1" t="n">
        <f aca="false">HW$6*(1+HW$5*(-1)^$FQ94)*EXP(-$FQ94/HW$4)</f>
        <v>3.50572044805227E-015</v>
      </c>
      <c r="HX94" s="1" t="n">
        <f aca="false">(HV94-HW94)^2</f>
        <v>1.22900758598918E-029</v>
      </c>
      <c r="HY94" s="1" t="n">
        <f aca="false">EXP($FQ94/$JG$4)*HV94</f>
        <v>0</v>
      </c>
      <c r="HZ94" s="1" t="n">
        <f aca="false">EXP($FQ94/$JG$4)*(-1)^$FQ94*HV94</f>
        <v>-0</v>
      </c>
      <c r="IA94" s="1" t="n">
        <f aca="false">(-1)^HU94*HV94</f>
        <v>-0</v>
      </c>
      <c r="ID94" s="1" t="n">
        <f aca="false">$AM94</f>
        <v>83</v>
      </c>
      <c r="IE94" s="1" t="n">
        <f aca="false">FZ94</f>
        <v>0</v>
      </c>
      <c r="IF94" s="1" t="n">
        <f aca="false">IF$6*(1+IF$5*(-1)^$FQ94)*EXP(-$FQ94/IF$4)</f>
        <v>2.7407983393808E-011</v>
      </c>
      <c r="IG94" s="1" t="n">
        <f aca="false">(IE94-IF94)^2</f>
        <v>7.51197553715255E-022</v>
      </c>
      <c r="IH94" s="1" t="n">
        <f aca="false">EXP($FQ94/$JG$4)*IE94</f>
        <v>0</v>
      </c>
      <c r="II94" s="1" t="n">
        <f aca="false">EXP($FQ94/$JG$4)*(-1)^$FQ94*IE94</f>
        <v>-0</v>
      </c>
      <c r="IJ94" s="1" t="n">
        <f aca="false">(-1)^ID94*IE94</f>
        <v>-0</v>
      </c>
      <c r="IK94" s="1" t="n">
        <v>0</v>
      </c>
      <c r="IM94" s="1" t="n">
        <f aca="false">$AM94</f>
        <v>83</v>
      </c>
      <c r="IN94" s="1" t="n">
        <f aca="false">GD94</f>
        <v>0</v>
      </c>
      <c r="IO94" s="1" t="n">
        <f aca="false">IO$6*(1+IO$5*(-1)^$FQ94)*EXP(-$FQ94/IO$4)</f>
        <v>1.1046592578849E-009</v>
      </c>
      <c r="IP94" s="1" t="n">
        <f aca="false">(IN94-IO94)^2</f>
        <v>1.22027207603082E-018</v>
      </c>
      <c r="IQ94" s="1" t="n">
        <f aca="false">EXP($FQ94/$JG$4)*IN94</f>
        <v>0</v>
      </c>
      <c r="IR94" s="1" t="n">
        <f aca="false">EXP($FQ94/$JG$4)*(-1)^$FQ94*IN94</f>
        <v>-0</v>
      </c>
      <c r="IS94" s="1" t="n">
        <f aca="false">(-1)^IM94*IN94</f>
        <v>-0</v>
      </c>
      <c r="IV94" s="1" t="n">
        <f aca="false">$AM94</f>
        <v>83</v>
      </c>
      <c r="IW94" s="1" t="n">
        <f aca="false">GH94</f>
        <v>0</v>
      </c>
      <c r="IX94" s="1" t="n">
        <f aca="false">IX$6*(1+IX$5*(-1)^$FQ94)*EXP(-$FQ94/IX$4)</f>
        <v>1.0776672135882E-006</v>
      </c>
      <c r="IY94" s="1" t="n">
        <f aca="false">(IW94-IX94)^2</f>
        <v>1.16136662324296E-012</v>
      </c>
      <c r="IZ94" s="1" t="n">
        <f aca="false">EXP($FQ94/$JG$4)*IW94</f>
        <v>0</v>
      </c>
      <c r="JA94" s="1" t="n">
        <f aca="false">EXP($FQ94/$JG$4)*(-1)^$FQ94*IW94</f>
        <v>-0</v>
      </c>
      <c r="JB94" s="1" t="n">
        <f aca="false">(-1)^IV94*IW94</f>
        <v>-0</v>
      </c>
      <c r="JE94" s="1" t="n">
        <f aca="false">$AM94</f>
        <v>83</v>
      </c>
      <c r="JF94" s="1" t="n">
        <f aca="false">GL94</f>
        <v>0</v>
      </c>
      <c r="JG94" s="1" t="n">
        <f aca="false">JG$6*(1+JG$5*(-1)^$FQ94)*EXP(-$FQ94/JG$4)</f>
        <v>2.88578408080605E-008</v>
      </c>
      <c r="JH94" s="1" t="n">
        <f aca="false">(JF94-JG94)^2</f>
        <v>8.32774976103362E-016</v>
      </c>
      <c r="JI94" s="1" t="n">
        <f aca="false">EXP($FQ94/$JG$4)*JF94</f>
        <v>0</v>
      </c>
      <c r="JJ94" s="1" t="n">
        <f aca="false">EXP($FQ94/$JG$4)*(-1)^$FQ94*JF94</f>
        <v>-0</v>
      </c>
      <c r="JK94" s="1" t="n">
        <f aca="false">(-1)^JE94*JF94</f>
        <v>-0</v>
      </c>
      <c r="JO94" s="1" t="n">
        <f aca="false">$AM94</f>
        <v>83</v>
      </c>
      <c r="JP94" s="1" t="n">
        <f aca="false">GM94</f>
        <v>0</v>
      </c>
      <c r="JQ94" s="1" t="n">
        <f aca="false">JQ$6*(1+JQ$5*(-1)^$FQ94)*EXP(-$FQ94/JQ$4)</f>
        <v>0.00358081724489606</v>
      </c>
      <c r="JR94" s="1" t="n">
        <f aca="false">(JP94-JQ94)^2</f>
        <v>1.2822252141345E-005</v>
      </c>
      <c r="JS94" s="1" t="n">
        <f aca="false">EXP($FQ94/$JG$4)*JP94</f>
        <v>0</v>
      </c>
      <c r="JT94" s="1" t="n">
        <f aca="false">EXP($FQ94/$JG$4)*(-1)^$FQ94*JP94</f>
        <v>-0</v>
      </c>
      <c r="JU94" s="1" t="n">
        <f aca="false">(-1)^JO94*JP94</f>
        <v>-0</v>
      </c>
    </row>
    <row r="95" customFormat="false" ht="16" hidden="false" customHeight="false" outlineLevel="0" collapsed="false">
      <c r="A95" s="1" t="n">
        <v>1</v>
      </c>
      <c r="B95" s="1" t="n">
        <v>1</v>
      </c>
      <c r="C95" s="1" t="n">
        <f aca="false">B95-A95</f>
        <v>0</v>
      </c>
      <c r="D95" s="1" t="n">
        <v>4</v>
      </c>
      <c r="E95" s="1" t="n">
        <v>4</v>
      </c>
      <c r="F95" s="1" t="n">
        <f aca="false">E95-D95</f>
        <v>0</v>
      </c>
      <c r="G95" s="1" t="n">
        <v>1</v>
      </c>
      <c r="H95" s="1" t="n">
        <v>1</v>
      </c>
      <c r="I95" s="1" t="n">
        <f aca="false">H95-G95</f>
        <v>0</v>
      </c>
      <c r="J95" s="1" t="n">
        <v>2</v>
      </c>
      <c r="K95" s="1" t="n">
        <v>2</v>
      </c>
      <c r="L95" s="1" t="n">
        <f aca="false">K95-J95</f>
        <v>0</v>
      </c>
      <c r="M95" s="1" t="n">
        <v>2</v>
      </c>
      <c r="N95" s="1" t="n">
        <v>2</v>
      </c>
      <c r="O95" s="1" t="n">
        <f aca="false">N95-M95</f>
        <v>0</v>
      </c>
      <c r="P95" s="1" t="n">
        <v>1</v>
      </c>
      <c r="Q95" s="1" t="n">
        <v>3</v>
      </c>
      <c r="R95" s="1" t="n">
        <f aca="false">Q95-P95</f>
        <v>2</v>
      </c>
      <c r="S95" s="1" t="n">
        <v>2</v>
      </c>
      <c r="T95" s="1" t="n">
        <v>5</v>
      </c>
      <c r="U95" s="1" t="n">
        <f aca="false">T95-S95</f>
        <v>3</v>
      </c>
      <c r="V95" s="1" t="n">
        <v>2</v>
      </c>
      <c r="W95" s="1" t="n">
        <v>2</v>
      </c>
      <c r="X95" s="1" t="n">
        <f aca="false">W95-V95</f>
        <v>0</v>
      </c>
      <c r="Y95" s="1" t="n">
        <v>14</v>
      </c>
      <c r="Z95" s="1" t="n">
        <v>22</v>
      </c>
      <c r="AA95" s="1" t="n">
        <f aca="false">Z95-Y95</f>
        <v>8</v>
      </c>
      <c r="AB95" s="1" t="n">
        <v>1</v>
      </c>
      <c r="AC95" s="1" t="n">
        <v>1</v>
      </c>
      <c r="AD95" s="1" t="n">
        <f aca="false">AC95-AB95</f>
        <v>0</v>
      </c>
      <c r="AE95" s="1" t="n">
        <v>4</v>
      </c>
      <c r="AF95" s="1" t="n">
        <v>11</v>
      </c>
      <c r="AG95" s="1" t="n">
        <f aca="false">AF95-AE95</f>
        <v>7</v>
      </c>
      <c r="AM95" s="1" t="n">
        <v>84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W95" s="1" t="n">
        <f aca="false">$AM95</f>
        <v>84</v>
      </c>
      <c r="BX95" s="1" t="n">
        <f aca="false">MAX(BX94-AN95/AN$9*100,0)</f>
        <v>0</v>
      </c>
      <c r="BY95" s="1" t="n">
        <f aca="false">MAX(BY94-AO95/AO$9*100,0)</f>
        <v>0</v>
      </c>
      <c r="BZ95" s="1" t="n">
        <f aca="false">MAX(BZ94-AQ95/AQ$9*100,0)</f>
        <v>0</v>
      </c>
      <c r="CA95" s="1" t="n">
        <f aca="false">MAX(CA94-AR95/AR$9*100,0)</f>
        <v>0</v>
      </c>
      <c r="CB95" s="1" t="n">
        <f aca="false">CB$7*EXP(-$AM95/CB$8)</f>
        <v>8.76125744662253E-046</v>
      </c>
      <c r="CC95" s="1" t="n">
        <f aca="false">(BZ95-CB95)^2</f>
        <v>7.67596320459987E-091</v>
      </c>
      <c r="CD95" s="1" t="n">
        <f aca="false">MAX(CD94-AT95/AT$9*100,0)</f>
        <v>0</v>
      </c>
      <c r="CE95" s="1" t="n">
        <f aca="false">MAX(CE94-AU95/AU$9*100,0)</f>
        <v>5.32907051820075E-015</v>
      </c>
      <c r="CF95" s="1" t="n">
        <f aca="false">CF$7*EXP(-$AM95/CF$8)</f>
        <v>1.38675213517921E-044</v>
      </c>
      <c r="CG95" s="1" t="n">
        <f aca="false">(CD95-CF95)^2</f>
        <v>1.9230814844241E-088</v>
      </c>
      <c r="CH95" s="1" t="n">
        <f aca="false">$AM95</f>
        <v>84</v>
      </c>
      <c r="CI95" s="1" t="n">
        <f aca="false">MAX(CI94-AW95/AW$9*100,0)</f>
        <v>0</v>
      </c>
      <c r="CJ95" s="1" t="n">
        <f aca="false">MAX(CJ94-AX95/AX$9*100,0)</f>
        <v>0</v>
      </c>
      <c r="CK95" s="1" t="n">
        <f aca="false">CK$7*EXP(-$AM95/CK$8)</f>
        <v>1.17571850255511E-029</v>
      </c>
      <c r="CL95" s="1" t="n">
        <f aca="false">(CI95-CK95)^2</f>
        <v>1.38231399725043E-058</v>
      </c>
      <c r="CM95" s="1" t="n">
        <f aca="false">MAX(CM94-AZ95/AZ$9*100,0)</f>
        <v>0</v>
      </c>
      <c r="CN95" s="1" t="n">
        <f aca="false">MAX(CN94-BA95/BA$9*100,0)</f>
        <v>5.32907051820075E-015</v>
      </c>
      <c r="CO95" s="1" t="n">
        <f aca="false">CO$7*EXP(-$AM95/CO$8)</f>
        <v>3.84623686068239E-016</v>
      </c>
      <c r="CP95" s="1" t="n">
        <f aca="false">(CM95-CO95)^2</f>
        <v>1.47935379884719E-031</v>
      </c>
      <c r="CQ95" s="1" t="n">
        <f aca="false">$AM95</f>
        <v>84</v>
      </c>
      <c r="CR95" s="1" t="n">
        <f aca="false">MAX(CR94-BC95/BC$9*100,0)</f>
        <v>0</v>
      </c>
      <c r="CS95" s="1" t="n">
        <f aca="false">MAX(CS94-BD95/BD$9*100,0)</f>
        <v>0</v>
      </c>
      <c r="CT95" s="1" t="n">
        <f aca="false">CT$7*EXP(-$AM95/CT$8)</f>
        <v>2.76903203741726E-027</v>
      </c>
      <c r="CU95" s="1" t="n">
        <f aca="false">(CR95-CT95)^2</f>
        <v>7.66753842424318E-054</v>
      </c>
      <c r="CV95" s="1" t="n">
        <f aca="false">MAX(CV94-BF95/BF$9*100,0)</f>
        <v>8.88178419700125E-015</v>
      </c>
      <c r="CW95" s="1" t="n">
        <f aca="false">MAX(CW94-BG95/BG$9*100,0)</f>
        <v>5.32907051820075E-015</v>
      </c>
      <c r="CX95" s="1" t="n">
        <f aca="false">CX$7*EXP(-$AM95/CX$8)</f>
        <v>1.13502491898805E-013</v>
      </c>
      <c r="CY95" s="1" t="n">
        <f aca="false">(CV95-CX95)^2</f>
        <v>1.09454924800263E-026</v>
      </c>
      <c r="CZ95" s="1" t="n">
        <f aca="false">$AM95</f>
        <v>84</v>
      </c>
      <c r="DA95" s="1" t="n">
        <f aca="false">MAX(DA94-BI95/BI$9*100,0)</f>
        <v>0</v>
      </c>
      <c r="DB95" s="1" t="n">
        <f aca="false">MAX(DB94-BJ95/BJ$9*100,0)</f>
        <v>9.88098491916389E-015</v>
      </c>
      <c r="DC95" s="1" t="n">
        <f aca="false">DC$7*EXP(-$AM95/DC$8)</f>
        <v>3.76569533053941E-025</v>
      </c>
      <c r="DD95" s="1" t="n">
        <f aca="false">(DA95-DC95)^2</f>
        <v>1.41804613224463E-049</v>
      </c>
      <c r="DE95" s="1" t="n">
        <f aca="false">MAX(DE94-BL95/BL$9*100,0)</f>
        <v>0</v>
      </c>
      <c r="DF95" s="1" t="n">
        <f aca="false">MAX(DF94-BM95/BM$9*100,0)</f>
        <v>0</v>
      </c>
      <c r="DG95" s="1" t="n">
        <f aca="false">DG$7*EXP(-$AM95/DG$8)</f>
        <v>9.13698531563385E-008</v>
      </c>
      <c r="DH95" s="1" t="n">
        <f aca="false">(DE95-DG95)^2</f>
        <v>8.34845006581086E-015</v>
      </c>
      <c r="DI95" s="1" t="n">
        <f aca="false">$AM95</f>
        <v>84</v>
      </c>
      <c r="DJ95" s="1" t="n">
        <f aca="false">MAX(DJ94-BO95/BO$9*100,0)</f>
        <v>0</v>
      </c>
      <c r="DK95" s="1" t="n">
        <f aca="false">MAX(DK94-BP95/BP$9*100,0)</f>
        <v>9.99200722162641E-015</v>
      </c>
      <c r="DL95" s="1" t="n">
        <f aca="false">DL$7*EXP(-$AM95/DL$8)</f>
        <v>6.24124646027724E-021</v>
      </c>
      <c r="DM95" s="1" t="n">
        <f aca="false">(DJ95-DL95)^2</f>
        <v>3.89531573779232E-041</v>
      </c>
      <c r="DN95" s="1" t="n">
        <f aca="false">MAX(DN94-BR95/BR$9*100,0)</f>
        <v>0</v>
      </c>
      <c r="DO95" s="1" t="n">
        <f aca="false">MAX(DO94-BS95/BS$9*100,0)</f>
        <v>0</v>
      </c>
      <c r="DP95" s="1" t="n">
        <f aca="false">DP$7*EXP(-$AM95/DP$8)</f>
        <v>5.64772544132193E-009</v>
      </c>
      <c r="DQ95" s="1" t="n">
        <f aca="false">(DN95-DP95)^2</f>
        <v>3.1896802660555E-017</v>
      </c>
      <c r="DS95" s="1" t="n">
        <f aca="false">$AM95</f>
        <v>84</v>
      </c>
      <c r="DT95" s="1" t="n">
        <f aca="false">CA95</f>
        <v>0</v>
      </c>
      <c r="DU95" s="1" t="n">
        <f aca="false">DU$7*EXP(-DS95/DU$8)</f>
        <v>4.01033750760817E-036</v>
      </c>
      <c r="DV95" s="1" t="n">
        <f aca="false">(DT95-DU95)^2</f>
        <v>1.60828069249289E-071</v>
      </c>
      <c r="DX95" s="1" t="n">
        <f aca="false">$AM95</f>
        <v>84</v>
      </c>
      <c r="DY95" s="1" t="n">
        <f aca="false">CM95</f>
        <v>0</v>
      </c>
      <c r="DZ95" s="1" t="n">
        <f aca="false">DZ$7*EXP(-DX95/DZ$8)</f>
        <v>5.05663156981249E-019</v>
      </c>
      <c r="EA95" s="1" t="n">
        <f aca="false">(DY95-DZ95)^2</f>
        <v>2.55695228328243E-037</v>
      </c>
      <c r="EC95" s="1" t="n">
        <f aca="false">$AM95</f>
        <v>84</v>
      </c>
      <c r="ED95" s="1" t="n">
        <f aca="false">CV95</f>
        <v>8.88178419700125E-015</v>
      </c>
      <c r="EE95" s="1" t="n">
        <f aca="false">EE$7*EXP(-EC95/EE$8)</f>
        <v>1.66661671462913E-014</v>
      </c>
      <c r="EF95" s="1" t="n">
        <f aca="false">(ED95-EE95)^2</f>
        <v>6.05966179011976E-029</v>
      </c>
      <c r="EH95" s="1" t="n">
        <f aca="false">$AM95</f>
        <v>84</v>
      </c>
      <c r="EI95" s="1" t="n">
        <f aca="false">DE95</f>
        <v>0</v>
      </c>
      <c r="EJ95" s="1" t="n">
        <f aca="false">EJ$7*EXP(-EH95/EJ$8)</f>
        <v>9.09907251349429E-008</v>
      </c>
      <c r="EK95" s="1" t="n">
        <f aca="false">(EI95-EJ95)^2</f>
        <v>8.27931206058273E-015</v>
      </c>
      <c r="EM95" s="1" t="n">
        <f aca="false">AM95</f>
        <v>84</v>
      </c>
      <c r="EN95" s="1" t="n">
        <f aca="false">DN95</f>
        <v>0</v>
      </c>
      <c r="EO95" s="1" t="n">
        <f aca="false">EO$7*EXP(-EM95/EO$8)</f>
        <v>1.21467172681799E-008</v>
      </c>
      <c r="EP95" s="1" t="n">
        <f aca="false">(EN95-EO95)^2</f>
        <v>1.475427403931E-016</v>
      </c>
      <c r="ER95" s="1" t="n">
        <f aca="false">$AM95</f>
        <v>84</v>
      </c>
      <c r="ES95" s="1" t="n">
        <f aca="false">BZ95</f>
        <v>0</v>
      </c>
      <c r="ET95" s="1" t="n">
        <f aca="false">ET$7*EXP(-ER95/ET$8)</f>
        <v>6.80773903611813E-042</v>
      </c>
      <c r="EU95" s="1" t="n">
        <f aca="false">(ES95-ET95)^2</f>
        <v>4.63453107838866E-083</v>
      </c>
      <c r="EW95" s="1" t="n">
        <f aca="false">$AM95</f>
        <v>84</v>
      </c>
      <c r="EX95" s="1" t="n">
        <f aca="false">CI95</f>
        <v>0</v>
      </c>
      <c r="EY95" s="1" t="n">
        <f aca="false">EY$7*EXP(-EW95/EY$8)</f>
        <v>1.99730632773039E-038</v>
      </c>
      <c r="EZ95" s="1" t="n">
        <f aca="false">(EX95-EY95)^2</f>
        <v>3.98923256679186E-076</v>
      </c>
      <c r="FB95" s="1" t="n">
        <f aca="false">$AM95</f>
        <v>84</v>
      </c>
      <c r="FC95" s="1" t="n">
        <f aca="false">CR95</f>
        <v>0</v>
      </c>
      <c r="FD95" s="1" t="n">
        <f aca="false">FD$7*EXP(-FB95/FD$8)</f>
        <v>3.21263547036484E-033</v>
      </c>
      <c r="FE95" s="1" t="n">
        <f aca="false">(FC95-FD95)^2</f>
        <v>1.03210266654463E-065</v>
      </c>
      <c r="FG95" s="1" t="n">
        <f aca="false">$AM95</f>
        <v>84</v>
      </c>
      <c r="FH95" s="1" t="n">
        <f aca="false">DA95</f>
        <v>0</v>
      </c>
      <c r="FI95" s="1" t="n">
        <f aca="false">FI$7*EXP(-FG95/FI$8)</f>
        <v>1.31869376442202E-028</v>
      </c>
      <c r="FJ95" s="1" t="n">
        <f aca="false">(FH95-FI95)^2</f>
        <v>1.73895324432552E-056</v>
      </c>
      <c r="FL95" s="1" t="n">
        <f aca="false">EM95</f>
        <v>84</v>
      </c>
      <c r="FM95" s="1" t="n">
        <f aca="false">DJ95</f>
        <v>0</v>
      </c>
      <c r="FN95" s="1" t="n">
        <f aca="false">FN$7*EXP(-FL95/FN$8)</f>
        <v>8.1275179026053E-023</v>
      </c>
      <c r="FO95" s="1" t="n">
        <f aca="false">(FM95-FN95)^2</f>
        <v>6.60565472571697E-045</v>
      </c>
      <c r="FQ95" s="1" t="n">
        <f aca="false">AM95</f>
        <v>84</v>
      </c>
      <c r="FR95" s="1" t="n">
        <f aca="false">AN95/AN$9*100</f>
        <v>0</v>
      </c>
      <c r="FS95" s="1" t="n">
        <f aca="false">AO95/AO$9*100</f>
        <v>0</v>
      </c>
      <c r="FT95" s="1" t="n">
        <f aca="false">AQ95/AQ$9*100</f>
        <v>0</v>
      </c>
      <c r="FU95" s="1" t="n">
        <f aca="false">AR95/AR$9*100</f>
        <v>0</v>
      </c>
      <c r="FV95" s="1" t="n">
        <f aca="false">AT95/AT$9*100</f>
        <v>0</v>
      </c>
      <c r="FW95" s="1" t="n">
        <f aca="false">AU95/AU$9*100</f>
        <v>0</v>
      </c>
      <c r="FX95" s="1" t="n">
        <f aca="false">AW95/AW$9*100</f>
        <v>0</v>
      </c>
      <c r="FY95" s="1" t="n">
        <f aca="false">AX95/AX$9*100</f>
        <v>0</v>
      </c>
      <c r="FZ95" s="1" t="n">
        <f aca="false">AZ95/AZ$9*100</f>
        <v>0</v>
      </c>
      <c r="GA95" s="1" t="n">
        <f aca="false">BA95/BA$9*100</f>
        <v>0</v>
      </c>
      <c r="GB95" s="1" t="n">
        <f aca="false">BC95/BC$9*100</f>
        <v>0</v>
      </c>
      <c r="GC95" s="1" t="n">
        <f aca="false">BD95/BD$9*100</f>
        <v>0</v>
      </c>
      <c r="GD95" s="1" t="n">
        <f aca="false">BF95/BF$9*100</f>
        <v>0</v>
      </c>
      <c r="GE95" s="1" t="n">
        <f aca="false">BG95/BG$9*100</f>
        <v>0</v>
      </c>
      <c r="GF95" s="1" t="n">
        <f aca="false">BI95/BI$9*100</f>
        <v>0</v>
      </c>
      <c r="GG95" s="1" t="n">
        <f aca="false">BJ95/BJ$9*100</f>
        <v>0</v>
      </c>
      <c r="GH95" s="1" t="n">
        <f aca="false">BL95/BL$9*100</f>
        <v>0</v>
      </c>
      <c r="GI95" s="1" t="n">
        <f aca="false">BM95/BM$9*100</f>
        <v>0</v>
      </c>
      <c r="GJ95" s="1" t="n">
        <f aca="false">BO95/BO$9*100</f>
        <v>0</v>
      </c>
      <c r="GK95" s="1" t="n">
        <f aca="false">BP95/BP$9*100</f>
        <v>0</v>
      </c>
      <c r="GL95" s="1" t="n">
        <f aca="false">BR95/BR$9*100</f>
        <v>0</v>
      </c>
      <c r="GM95" s="1" t="n">
        <f aca="false">BS95/BS$9*100</f>
        <v>0</v>
      </c>
      <c r="GO95" s="1" t="n">
        <f aca="false">$AM95</f>
        <v>84</v>
      </c>
      <c r="GP95" s="1" t="n">
        <f aca="false">FT95</f>
        <v>0</v>
      </c>
      <c r="GQ95" s="1" t="n">
        <f aca="false">GQ$6*(1+GQ$5*(-1)^$FQ95)*EXP(-$FQ95/GQ$4)</f>
        <v>4.73416946114755E-026</v>
      </c>
      <c r="GR95" s="1" t="n">
        <f aca="false">(GP95-GQ95)^2</f>
        <v>2.24123604868621E-051</v>
      </c>
      <c r="GS95" s="1" t="n">
        <f aca="false">EXP($FQ95/$JG$4)*GP95</f>
        <v>0</v>
      </c>
      <c r="GT95" s="1" t="n">
        <f aca="false">EXP($FQ95/$JG$4)*(-1)^$FQ95*GP95</f>
        <v>0</v>
      </c>
      <c r="GU95" s="1" t="n">
        <f aca="false">(-1)^GO95*GP95</f>
        <v>0</v>
      </c>
      <c r="GW95" s="1" t="n">
        <f aca="false">$AM95</f>
        <v>84</v>
      </c>
      <c r="GX95" s="1" t="n">
        <f aca="false">FX95</f>
        <v>0</v>
      </c>
      <c r="GY95" s="1" t="n">
        <f aca="false">GY$6*(1+GY$5*(-1)^$FQ95)*EXP(-$FQ95/GY$4)</f>
        <v>4.73416946114755E-026</v>
      </c>
      <c r="GZ95" s="1" t="n">
        <f aca="false">(GX95-GY95)^2</f>
        <v>2.24123604868621E-051</v>
      </c>
      <c r="HA95" s="1" t="n">
        <f aca="false">EXP($FQ95/$JG$4)*GX95</f>
        <v>0</v>
      </c>
      <c r="HB95" s="1" t="n">
        <f aca="false">EXP($FQ95/$JG$4)*(-1)^$FQ95*GX95</f>
        <v>0</v>
      </c>
      <c r="HC95" s="1" t="n">
        <f aca="false">(-1)^GW95*GX95</f>
        <v>0</v>
      </c>
      <c r="HE95" s="1" t="n">
        <f aca="false">$AM95</f>
        <v>84</v>
      </c>
      <c r="HF95" s="1" t="n">
        <f aca="false">GB95</f>
        <v>0</v>
      </c>
      <c r="HG95" s="1" t="n">
        <f aca="false">HG$6*(1+HG$5*(-1)^$FQ95)*EXP(-$FQ95/HG$4)</f>
        <v>4.73416946114755E-026</v>
      </c>
      <c r="HH95" s="1" t="n">
        <f aca="false">(HF95-HG95)^2</f>
        <v>2.24123604868621E-051</v>
      </c>
      <c r="HI95" s="1" t="n">
        <f aca="false">EXP($FQ95/$JG$4)*HF95</f>
        <v>0</v>
      </c>
      <c r="HJ95" s="1" t="n">
        <f aca="false">EXP($FQ95/$JG$4)*(-1)^$FQ95*HF95</f>
        <v>0</v>
      </c>
      <c r="HK95" s="1" t="n">
        <f aca="false">(-1)^HE95*HF95</f>
        <v>0</v>
      </c>
      <c r="HM95" s="1" t="n">
        <f aca="false">$AM95</f>
        <v>84</v>
      </c>
      <c r="HN95" s="1" t="n">
        <f aca="false">GF95</f>
        <v>0</v>
      </c>
      <c r="HO95" s="1" t="n">
        <f aca="false">HO$6*(1+HO$5*(-1)^$FQ95)*EXP(-$FQ95/HO$4)</f>
        <v>2.36208587760236E-020</v>
      </c>
      <c r="HP95" s="1" t="n">
        <f aca="false">(HN95-HO95)^2</f>
        <v>5.57944969316851E-040</v>
      </c>
      <c r="HQ95" s="1" t="n">
        <f aca="false">EXP($FQ95/$JG$4)*HN95</f>
        <v>0</v>
      </c>
      <c r="HR95" s="1" t="n">
        <f aca="false">EXP($FQ95/$JG$4)*(-1)^$FQ95*HN95</f>
        <v>0</v>
      </c>
      <c r="HS95" s="1" t="n">
        <f aca="false">(-1)^HM95*HN95</f>
        <v>0</v>
      </c>
      <c r="HU95" s="1" t="n">
        <f aca="false">$AM95</f>
        <v>84</v>
      </c>
      <c r="HV95" s="1" t="n">
        <f aca="false">GJ95</f>
        <v>0</v>
      </c>
      <c r="HW95" s="1" t="n">
        <f aca="false">HW$6*(1+HW$5*(-1)^$FQ95)*EXP(-$FQ95/HW$4)</f>
        <v>6.75667199626084E-015</v>
      </c>
      <c r="HX95" s="1" t="n">
        <f aca="false">(HV95-HW95)^2</f>
        <v>4.56526164650555E-029</v>
      </c>
      <c r="HY95" s="1" t="n">
        <f aca="false">EXP($FQ95/$JG$4)*HV95</f>
        <v>0</v>
      </c>
      <c r="HZ95" s="1" t="n">
        <f aca="false">EXP($FQ95/$JG$4)*(-1)^$FQ95*HV95</f>
        <v>0</v>
      </c>
      <c r="IA95" s="1" t="n">
        <f aca="false">(-1)^HU95*HV95</f>
        <v>0</v>
      </c>
      <c r="ID95" s="1" t="n">
        <f aca="false">$AM95</f>
        <v>84</v>
      </c>
      <c r="IE95" s="1" t="n">
        <f aca="false">FZ95</f>
        <v>0</v>
      </c>
      <c r="IF95" s="1" t="n">
        <f aca="false">IF$6*(1+IF$5*(-1)^$FQ95)*EXP(-$FQ95/IF$4)</f>
        <v>3.81221401543852E-011</v>
      </c>
      <c r="IG95" s="1" t="n">
        <f aca="false">(IE95-IF95)^2</f>
        <v>1.45329756995059E-021</v>
      </c>
      <c r="IH95" s="1" t="n">
        <f aca="false">EXP($FQ95/$JG$4)*IE95</f>
        <v>0</v>
      </c>
      <c r="II95" s="1" t="n">
        <f aca="false">EXP($FQ95/$JG$4)*(-1)^$FQ95*IE95</f>
        <v>0</v>
      </c>
      <c r="IJ95" s="1" t="n">
        <f aca="false">(-1)^ID95*IE95</f>
        <v>0</v>
      </c>
      <c r="IK95" s="1" t="n">
        <v>0</v>
      </c>
      <c r="IM95" s="1" t="n">
        <f aca="false">$AM95</f>
        <v>84</v>
      </c>
      <c r="IN95" s="1" t="n">
        <f aca="false">GD95</f>
        <v>0</v>
      </c>
      <c r="IO95" s="1" t="n">
        <f aca="false">IO$6*(1+IO$5*(-1)^$FQ95)*EXP(-$FQ95/IO$4)</f>
        <v>1.80519539360902E-009</v>
      </c>
      <c r="IP95" s="1" t="n">
        <f aca="false">(IN95-IO95)^2</f>
        <v>3.25873040910722E-018</v>
      </c>
      <c r="IQ95" s="1" t="n">
        <f aca="false">EXP($FQ95/$JG$4)*IN95</f>
        <v>0</v>
      </c>
      <c r="IR95" s="1" t="n">
        <f aca="false">EXP($FQ95/$JG$4)*(-1)^$FQ95*IN95</f>
        <v>0</v>
      </c>
      <c r="IS95" s="1" t="n">
        <f aca="false">(-1)^IM95*IN95</f>
        <v>0</v>
      </c>
      <c r="IV95" s="1" t="n">
        <f aca="false">$AM95</f>
        <v>84</v>
      </c>
      <c r="IW95" s="1" t="n">
        <f aca="false">GH95</f>
        <v>0</v>
      </c>
      <c r="IX95" s="1" t="n">
        <f aca="false">IX$6*(1+IX$5*(-1)^$FQ95)*EXP(-$FQ95/IX$4)</f>
        <v>3.4480993313704E-006</v>
      </c>
      <c r="IY95" s="1" t="n">
        <f aca="false">(IW95-IX95)^2</f>
        <v>1.1889388998997E-011</v>
      </c>
      <c r="IZ95" s="1" t="n">
        <f aca="false">EXP($FQ95/$JG$4)*IW95</f>
        <v>0</v>
      </c>
      <c r="JA95" s="1" t="n">
        <f aca="false">EXP($FQ95/$JG$4)*(-1)^$FQ95*IW95</f>
        <v>0</v>
      </c>
      <c r="JB95" s="1" t="n">
        <f aca="false">(-1)^IV95*IW95</f>
        <v>0</v>
      </c>
      <c r="JE95" s="1" t="n">
        <f aca="false">$AM95</f>
        <v>84</v>
      </c>
      <c r="JF95" s="1" t="n">
        <f aca="false">GL95</f>
        <v>0</v>
      </c>
      <c r="JG95" s="1" t="n">
        <f aca="false">JG$6*(1+JG$5*(-1)^$FQ95)*EXP(-$FQ95/JG$4)</f>
        <v>1.49570782310246E-007</v>
      </c>
      <c r="JH95" s="1" t="n">
        <f aca="false">(JF95-JG95)^2</f>
        <v>2.2371418920899E-014</v>
      </c>
      <c r="JI95" s="1" t="n">
        <f aca="false">EXP($FQ95/$JG$4)*JF95</f>
        <v>0</v>
      </c>
      <c r="JJ95" s="1" t="n">
        <f aca="false">EXP($FQ95/$JG$4)*(-1)^$FQ95*JF95</f>
        <v>0</v>
      </c>
      <c r="JK95" s="1" t="n">
        <f aca="false">(-1)^JE95*JF95</f>
        <v>0</v>
      </c>
      <c r="JO95" s="1" t="n">
        <f aca="false">$AM95</f>
        <v>84</v>
      </c>
      <c r="JP95" s="1" t="n">
        <f aca="false">GM95</f>
        <v>0</v>
      </c>
      <c r="JQ95" s="1" t="n">
        <f aca="false">JQ$6*(1+JQ$5*(-1)^$FQ95)*EXP(-$FQ95/JQ$4)</f>
        <v>0.0173539323939802</v>
      </c>
      <c r="JR95" s="1" t="n">
        <f aca="false">(JP95-JQ95)^2</f>
        <v>0.000301158969534835</v>
      </c>
      <c r="JS95" s="1" t="n">
        <f aca="false">EXP($FQ95/$JG$4)*JP95</f>
        <v>0</v>
      </c>
      <c r="JT95" s="1" t="n">
        <f aca="false">EXP($FQ95/$JG$4)*(-1)^$FQ95*JP95</f>
        <v>0</v>
      </c>
      <c r="JU95" s="1" t="n">
        <f aca="false">(-1)^JO95*JP95</f>
        <v>0</v>
      </c>
    </row>
    <row r="96" customFormat="false" ht="16" hidden="false" customHeight="false" outlineLevel="0" collapsed="false">
      <c r="A96" s="1" t="n">
        <v>2</v>
      </c>
      <c r="B96" s="1" t="n">
        <v>2</v>
      </c>
      <c r="C96" s="1" t="n">
        <f aca="false">B96-A96</f>
        <v>0</v>
      </c>
      <c r="D96" s="1" t="n">
        <v>2</v>
      </c>
      <c r="E96" s="1" t="n">
        <v>2</v>
      </c>
      <c r="F96" s="1" t="n">
        <f aca="false">E96-D96</f>
        <v>0</v>
      </c>
      <c r="G96" s="1" t="n">
        <v>1</v>
      </c>
      <c r="H96" s="1" t="n">
        <v>1</v>
      </c>
      <c r="I96" s="1" t="n">
        <f aca="false">H96-G96</f>
        <v>0</v>
      </c>
      <c r="J96" s="1" t="n">
        <v>2</v>
      </c>
      <c r="K96" s="1" t="n">
        <v>2</v>
      </c>
      <c r="L96" s="1" t="n">
        <f aca="false">K96-J96</f>
        <v>0</v>
      </c>
      <c r="M96" s="1" t="n">
        <v>3</v>
      </c>
      <c r="N96" s="1" t="n">
        <v>4</v>
      </c>
      <c r="O96" s="1" t="n">
        <f aca="false">N96-M96</f>
        <v>1</v>
      </c>
      <c r="P96" s="1" t="n">
        <v>2</v>
      </c>
      <c r="Q96" s="1" t="n">
        <v>2</v>
      </c>
      <c r="R96" s="1" t="n">
        <f aca="false">Q96-P96</f>
        <v>0</v>
      </c>
      <c r="S96" s="1" t="n">
        <v>4</v>
      </c>
      <c r="T96" s="1" t="n">
        <v>4</v>
      </c>
      <c r="U96" s="1" t="n">
        <f aca="false">T96-S96</f>
        <v>0</v>
      </c>
      <c r="V96" s="1" t="n">
        <v>2</v>
      </c>
      <c r="W96" s="1" t="n">
        <v>2</v>
      </c>
      <c r="X96" s="1" t="n">
        <f aca="false">W96-V96</f>
        <v>0</v>
      </c>
      <c r="Y96" s="1" t="n">
        <v>2</v>
      </c>
      <c r="Z96" s="1" t="n">
        <v>8</v>
      </c>
      <c r="AA96" s="1" t="n">
        <f aca="false">Z96-Y96</f>
        <v>6</v>
      </c>
      <c r="AB96" s="1" t="n">
        <v>1</v>
      </c>
      <c r="AC96" s="1" t="n">
        <v>3</v>
      </c>
      <c r="AD96" s="1" t="n">
        <f aca="false">AC96-AB96</f>
        <v>2</v>
      </c>
      <c r="AE96" s="1" t="n">
        <v>4</v>
      </c>
      <c r="AF96" s="1" t="n">
        <v>4</v>
      </c>
      <c r="AG96" s="1" t="n">
        <f aca="false">AF96-AE96</f>
        <v>0</v>
      </c>
      <c r="AM96" s="1" t="n">
        <v>85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W96" s="1" t="n">
        <f aca="false">$AM96</f>
        <v>85</v>
      </c>
      <c r="BX96" s="1" t="n">
        <f aca="false">MAX(BX95-AN96/AN$9*100,0)</f>
        <v>0</v>
      </c>
      <c r="BY96" s="1" t="n">
        <f aca="false">MAX(BY95-AO96/AO$9*100,0)</f>
        <v>0</v>
      </c>
      <c r="BZ96" s="1" t="n">
        <f aca="false">MAX(BZ95-AQ96/AQ$9*100,0)</f>
        <v>0</v>
      </c>
      <c r="CA96" s="1" t="n">
        <f aca="false">MAX(CA95-AR96/AR$9*100,0)</f>
        <v>0</v>
      </c>
      <c r="CB96" s="1" t="n">
        <f aca="false">CB$7*EXP(-$AM96/CB$8)</f>
        <v>2.39082415225272E-046</v>
      </c>
      <c r="CC96" s="1" t="n">
        <f aca="false">(BZ96-CB96)^2</f>
        <v>5.71604012699494E-092</v>
      </c>
      <c r="CD96" s="1" t="n">
        <f aca="false">MAX(CD95-AT96/AT$9*100,0)</f>
        <v>0</v>
      </c>
      <c r="CE96" s="1" t="n">
        <f aca="false">MAX(CE95-AU96/AU$9*100,0)</f>
        <v>5.32907051820075E-015</v>
      </c>
      <c r="CF96" s="1" t="n">
        <f aca="false">CF$7*EXP(-$AM96/CF$8)</f>
        <v>3.91074044361055E-045</v>
      </c>
      <c r="CG96" s="1" t="n">
        <f aca="false">(CD96-CF96)^2</f>
        <v>1.52938908172912E-089</v>
      </c>
      <c r="CH96" s="1" t="n">
        <f aca="false">$AM96</f>
        <v>85</v>
      </c>
      <c r="CI96" s="1" t="n">
        <f aca="false">MAX(CI95-AW96/AW$9*100,0)</f>
        <v>0</v>
      </c>
      <c r="CJ96" s="1" t="n">
        <f aca="false">MAX(CJ95-AX96/AX$9*100,0)</f>
        <v>0</v>
      </c>
      <c r="CK96" s="1" t="n">
        <f aca="false">CK$7*EXP(-$AM96/CK$8)</f>
        <v>5.00162915589079E-030</v>
      </c>
      <c r="CL96" s="1" t="n">
        <f aca="false">(CI96-CK96)^2</f>
        <v>2.50162942130568E-059</v>
      </c>
      <c r="CM96" s="1" t="n">
        <f aca="false">MAX(CM95-AZ96/AZ$9*100,0)</f>
        <v>0</v>
      </c>
      <c r="CN96" s="1" t="n">
        <f aca="false">MAX(CN95-BA96/BA$9*100,0)</f>
        <v>5.32907051820075E-015</v>
      </c>
      <c r="CO96" s="1" t="n">
        <f aca="false">CO$7*EXP(-$AM96/CO$8)</f>
        <v>2.37815743469269E-016</v>
      </c>
      <c r="CP96" s="1" t="n">
        <f aca="false">(CM96-CO96)^2</f>
        <v>5.65563278418412E-032</v>
      </c>
      <c r="CQ96" s="1" t="n">
        <f aca="false">$AM96</f>
        <v>85</v>
      </c>
      <c r="CR96" s="1" t="n">
        <f aca="false">MAX(CR95-BC96/BC$9*100,0)</f>
        <v>0</v>
      </c>
      <c r="CS96" s="1" t="n">
        <f aca="false">MAX(CS95-BD96/BD$9*100,0)</f>
        <v>0</v>
      </c>
      <c r="CT96" s="1" t="n">
        <f aca="false">CT$7*EXP(-$AM96/CT$8)</f>
        <v>1.25998049331845E-027</v>
      </c>
      <c r="CU96" s="1" t="n">
        <f aca="false">(CR96-CT96)^2</f>
        <v>1.587550843543E-054</v>
      </c>
      <c r="CV96" s="1" t="n">
        <f aca="false">MAX(CV95-BF96/BF$9*100,0)</f>
        <v>8.88178419700125E-015</v>
      </c>
      <c r="CW96" s="1" t="n">
        <f aca="false">MAX(CW95-BG96/BG$9*100,0)</f>
        <v>5.32907051820075E-015</v>
      </c>
      <c r="CX96" s="1" t="n">
        <f aca="false">CX$7*EXP(-$AM96/CX$8)</f>
        <v>7.50835618437838E-014</v>
      </c>
      <c r="CY96" s="1" t="n">
        <f aca="false">(CV96-CX96)^2</f>
        <v>4.38267536359404E-027</v>
      </c>
      <c r="CZ96" s="1" t="n">
        <f aca="false">$AM96</f>
        <v>85</v>
      </c>
      <c r="DA96" s="1" t="n">
        <f aca="false">MAX(DA95-BI96/BI$9*100,0)</f>
        <v>0</v>
      </c>
      <c r="DB96" s="1" t="n">
        <f aca="false">MAX(DB95-BJ96/BJ$9*100,0)</f>
        <v>9.88098491916389E-015</v>
      </c>
      <c r="DC96" s="1" t="n">
        <f aca="false">DC$7*EXP(-$AM96/DC$8)</f>
        <v>1.81485490005362E-025</v>
      </c>
      <c r="DD96" s="1" t="n">
        <f aca="false">(DA96-DC96)^2</f>
        <v>3.29369830824864E-050</v>
      </c>
      <c r="DE96" s="1" t="n">
        <f aca="false">MAX(DE95-BL96/BL$9*100,0)</f>
        <v>0</v>
      </c>
      <c r="DF96" s="1" t="n">
        <f aca="false">MAX(DF95-BM96/BM$9*100,0)</f>
        <v>0</v>
      </c>
      <c r="DG96" s="1" t="n">
        <f aca="false">DG$7*EXP(-$AM96/DG$8)</f>
        <v>7.11589131872757E-008</v>
      </c>
      <c r="DH96" s="1" t="n">
        <f aca="false">(DE96-DG96)^2</f>
        <v>5.06359092599424E-015</v>
      </c>
      <c r="DI96" s="1" t="n">
        <f aca="false">$AM96</f>
        <v>85</v>
      </c>
      <c r="DJ96" s="1" t="n">
        <f aca="false">MAX(DJ95-BO96/BO$9*100,0)</f>
        <v>0</v>
      </c>
      <c r="DK96" s="1" t="n">
        <f aca="false">MAX(DK95-BP96/BP$9*100,0)</f>
        <v>9.99200722162641E-015</v>
      </c>
      <c r="DL96" s="1" t="n">
        <f aca="false">DL$7*EXP(-$AM96/DL$8)</f>
        <v>3.37934864778178E-021</v>
      </c>
      <c r="DM96" s="1" t="n">
        <f aca="false">(DJ96-DL96)^2</f>
        <v>1.14199972832645E-041</v>
      </c>
      <c r="DN96" s="1" t="n">
        <f aca="false">MAX(DN95-BR96/BR$9*100,0)</f>
        <v>0</v>
      </c>
      <c r="DO96" s="1" t="n">
        <f aca="false">MAX(DO95-BS96/BS$9*100,0)</f>
        <v>0</v>
      </c>
      <c r="DP96" s="1" t="n">
        <f aca="false">DP$7*EXP(-$AM96/DP$8)</f>
        <v>4.25445542182823E-009</v>
      </c>
      <c r="DQ96" s="1" t="n">
        <f aca="false">(DN96-DP96)^2</f>
        <v>1.81003909363236E-017</v>
      </c>
      <c r="DS96" s="1" t="n">
        <f aca="false">$AM96</f>
        <v>85</v>
      </c>
      <c r="DT96" s="1" t="n">
        <f aca="false">CA96</f>
        <v>0</v>
      </c>
      <c r="DU96" s="1" t="n">
        <f aca="false">DU$7*EXP(-DS96/DU$8)</f>
        <v>1.43039062200486E-036</v>
      </c>
      <c r="DV96" s="1" t="n">
        <f aca="false">(DT96-DU96)^2</f>
        <v>2.04601733151945E-072</v>
      </c>
      <c r="DX96" s="1" t="n">
        <f aca="false">$AM96</f>
        <v>85</v>
      </c>
      <c r="DY96" s="1" t="n">
        <f aca="false">CM96</f>
        <v>0</v>
      </c>
      <c r="DZ96" s="1" t="n">
        <f aca="false">DZ$7*EXP(-DX96/DZ$8)</f>
        <v>2.88320583190617E-019</v>
      </c>
      <c r="EA96" s="1" t="n">
        <f aca="false">(DY96-DZ96)^2</f>
        <v>8.31287586913775E-038</v>
      </c>
      <c r="EC96" s="1" t="n">
        <f aca="false">$AM96</f>
        <v>85</v>
      </c>
      <c r="ED96" s="1" t="n">
        <f aca="false">CV96</f>
        <v>8.88178419700125E-015</v>
      </c>
      <c r="EE96" s="1" t="n">
        <f aca="false">EE$7*EXP(-EC96/EE$8)</f>
        <v>1.07693003088894E-014</v>
      </c>
      <c r="EF96" s="1" t="n">
        <f aca="false">(ED96-EE96)^2</f>
        <v>3.56271707263735E-030</v>
      </c>
      <c r="EH96" s="1" t="n">
        <f aca="false">$AM96</f>
        <v>85</v>
      </c>
      <c r="EI96" s="1" t="n">
        <f aca="false">DE96</f>
        <v>0</v>
      </c>
      <c r="EJ96" s="1" t="n">
        <f aca="false">EJ$7*EXP(-EH96/EJ$8)</f>
        <v>7.08636479873285E-008</v>
      </c>
      <c r="EK96" s="1" t="n">
        <f aca="false">(EI96-EJ96)^2</f>
        <v>5.02165660607201E-015</v>
      </c>
      <c r="EM96" s="1" t="n">
        <f aca="false">AM96</f>
        <v>85</v>
      </c>
      <c r="EN96" s="1" t="n">
        <f aca="false">DN96</f>
        <v>0</v>
      </c>
      <c r="EO96" s="1" t="n">
        <f aca="false">EO$7*EXP(-EM96/EO$8)</f>
        <v>9.23579178004744E-009</v>
      </c>
      <c r="EP96" s="1" t="n">
        <f aca="false">(EN96-EO96)^2</f>
        <v>8.52998498043919E-017</v>
      </c>
      <c r="ER96" s="1" t="n">
        <f aca="false">$AM96</f>
        <v>85</v>
      </c>
      <c r="ES96" s="1" t="n">
        <f aca="false">BZ96</f>
        <v>0</v>
      </c>
      <c r="ET96" s="1" t="n">
        <f aca="false">ET$7*EXP(-ER96/ET$8)</f>
        <v>2.07007299122125E-042</v>
      </c>
      <c r="EU96" s="1" t="n">
        <f aca="false">(ES96-ET96)^2</f>
        <v>4.28520218898369E-084</v>
      </c>
      <c r="EW96" s="1" t="n">
        <f aca="false">$AM96</f>
        <v>85</v>
      </c>
      <c r="EX96" s="1" t="n">
        <f aca="false">CI96</f>
        <v>0</v>
      </c>
      <c r="EY96" s="1" t="n">
        <f aca="false">EY$7*EXP(-EW96/EY$8)</f>
        <v>6.65576522838508E-039</v>
      </c>
      <c r="EZ96" s="1" t="n">
        <f aca="false">(EX96-EY96)^2</f>
        <v>4.42992107753799E-077</v>
      </c>
      <c r="FB96" s="1" t="n">
        <f aca="false">$AM96</f>
        <v>85</v>
      </c>
      <c r="FC96" s="1" t="n">
        <f aca="false">CR96</f>
        <v>0</v>
      </c>
      <c r="FD96" s="1" t="n">
        <f aca="false">FD$7*EXP(-FB96/FD$8)</f>
        <v>1.23950321554176E-033</v>
      </c>
      <c r="FE96" s="1" t="n">
        <f aca="false">(FC96-FD96)^2</f>
        <v>1.53636822133836E-066</v>
      </c>
      <c r="FG96" s="1" t="n">
        <f aca="false">$AM96</f>
        <v>85</v>
      </c>
      <c r="FH96" s="1" t="n">
        <f aca="false">DA96</f>
        <v>0</v>
      </c>
      <c r="FI96" s="1" t="n">
        <f aca="false">FI$7*EXP(-FG96/FI$8)</f>
        <v>5.77062553492685E-029</v>
      </c>
      <c r="FJ96" s="1" t="n">
        <f aca="false">(FH96-FI96)^2</f>
        <v>3.33001190643498E-057</v>
      </c>
      <c r="FL96" s="1" t="n">
        <f aca="false">EM96</f>
        <v>85</v>
      </c>
      <c r="FM96" s="1" t="n">
        <f aca="false">DJ96</f>
        <v>0</v>
      </c>
      <c r="FN96" s="1" t="n">
        <f aca="false">FN$7*EXP(-FL96/FN$8)</f>
        <v>4.17280682644144E-023</v>
      </c>
      <c r="FO96" s="1" t="n">
        <f aca="false">(FM96-FN96)^2</f>
        <v>1.74123168107963E-045</v>
      </c>
      <c r="FQ96" s="1" t="n">
        <f aca="false">AM96</f>
        <v>85</v>
      </c>
      <c r="FR96" s="1" t="n">
        <f aca="false">AN96/AN$9*100</f>
        <v>0</v>
      </c>
      <c r="FS96" s="1" t="n">
        <f aca="false">AO96/AO$9*100</f>
        <v>0</v>
      </c>
      <c r="FT96" s="1" t="n">
        <f aca="false">AQ96/AQ$9*100</f>
        <v>0</v>
      </c>
      <c r="FU96" s="1" t="n">
        <f aca="false">AR96/AR$9*100</f>
        <v>0</v>
      </c>
      <c r="FV96" s="1" t="n">
        <f aca="false">AT96/AT$9*100</f>
        <v>0</v>
      </c>
      <c r="FW96" s="1" t="n">
        <f aca="false">AU96/AU$9*100</f>
        <v>0</v>
      </c>
      <c r="FX96" s="1" t="n">
        <f aca="false">AW96/AW$9*100</f>
        <v>0</v>
      </c>
      <c r="FY96" s="1" t="n">
        <f aca="false">AX96/AX$9*100</f>
        <v>0</v>
      </c>
      <c r="FZ96" s="1" t="n">
        <f aca="false">AZ96/AZ$9*100</f>
        <v>0</v>
      </c>
      <c r="GA96" s="1" t="n">
        <f aca="false">BA96/BA$9*100</f>
        <v>0</v>
      </c>
      <c r="GB96" s="1" t="n">
        <f aca="false">BC96/BC$9*100</f>
        <v>0</v>
      </c>
      <c r="GC96" s="1" t="n">
        <f aca="false">BD96/BD$9*100</f>
        <v>0</v>
      </c>
      <c r="GD96" s="1" t="n">
        <f aca="false">BF96/BF$9*100</f>
        <v>0</v>
      </c>
      <c r="GE96" s="1" t="n">
        <f aca="false">BG96/BG$9*100</f>
        <v>0</v>
      </c>
      <c r="GF96" s="1" t="n">
        <f aca="false">BI96/BI$9*100</f>
        <v>0</v>
      </c>
      <c r="GG96" s="1" t="n">
        <f aca="false">BJ96/BJ$9*100</f>
        <v>0</v>
      </c>
      <c r="GH96" s="1" t="n">
        <f aca="false">BL96/BL$9*100</f>
        <v>0</v>
      </c>
      <c r="GI96" s="1" t="n">
        <f aca="false">BM96/BM$9*100</f>
        <v>0</v>
      </c>
      <c r="GJ96" s="1" t="n">
        <f aca="false">BO96/BO$9*100</f>
        <v>0</v>
      </c>
      <c r="GK96" s="1" t="n">
        <f aca="false">BP96/BP$9*100</f>
        <v>0</v>
      </c>
      <c r="GL96" s="1" t="n">
        <f aca="false">BR96/BR$9*100</f>
        <v>0</v>
      </c>
      <c r="GM96" s="1" t="n">
        <f aca="false">BS96/BS$9*100</f>
        <v>0</v>
      </c>
      <c r="GO96" s="1" t="n">
        <f aca="false">$AM96</f>
        <v>85</v>
      </c>
      <c r="GP96" s="1" t="n">
        <f aca="false">FT96</f>
        <v>0</v>
      </c>
      <c r="GQ96" s="1" t="n">
        <f aca="false">GQ$6*(1+GQ$5*(-1)^$FQ96)*EXP(-$FQ96/GQ$4)</f>
        <v>7.59655586756847E-027</v>
      </c>
      <c r="GR96" s="1" t="n">
        <f aca="false">(GP96-GQ96)^2</f>
        <v>5.7707661049089E-053</v>
      </c>
      <c r="GS96" s="1" t="n">
        <f aca="false">EXP($FQ96/$JG$4)*GP96</f>
        <v>0</v>
      </c>
      <c r="GT96" s="1" t="n">
        <f aca="false">EXP($FQ96/$JG$4)*(-1)^$FQ96*GP96</f>
        <v>-0</v>
      </c>
      <c r="GU96" s="1" t="n">
        <f aca="false">(-1)^GO96*GP96</f>
        <v>-0</v>
      </c>
      <c r="GW96" s="1" t="n">
        <f aca="false">$AM96</f>
        <v>85</v>
      </c>
      <c r="GX96" s="1" t="n">
        <f aca="false">FX96</f>
        <v>0</v>
      </c>
      <c r="GY96" s="1" t="n">
        <f aca="false">GY$6*(1+GY$5*(-1)^$FQ96)*EXP(-$FQ96/GY$4)</f>
        <v>7.59655586756847E-027</v>
      </c>
      <c r="GZ96" s="1" t="n">
        <f aca="false">(GX96-GY96)^2</f>
        <v>5.7707661049089E-053</v>
      </c>
      <c r="HA96" s="1" t="n">
        <f aca="false">EXP($FQ96/$JG$4)*GX96</f>
        <v>0</v>
      </c>
      <c r="HB96" s="1" t="n">
        <f aca="false">EXP($FQ96/$JG$4)*(-1)^$FQ96*GX96</f>
        <v>-0</v>
      </c>
      <c r="HC96" s="1" t="n">
        <f aca="false">(-1)^GW96*GX96</f>
        <v>-0</v>
      </c>
      <c r="HE96" s="1" t="n">
        <f aca="false">$AM96</f>
        <v>85</v>
      </c>
      <c r="HF96" s="1" t="n">
        <f aca="false">GB96</f>
        <v>0</v>
      </c>
      <c r="HG96" s="1" t="n">
        <f aca="false">HG$6*(1+HG$5*(-1)^$FQ96)*EXP(-$FQ96/HG$4)</f>
        <v>7.59655586756847E-027</v>
      </c>
      <c r="HH96" s="1" t="n">
        <f aca="false">(HF96-HG96)^2</f>
        <v>5.7707661049089E-053</v>
      </c>
      <c r="HI96" s="1" t="n">
        <f aca="false">EXP($FQ96/$JG$4)*HF96</f>
        <v>0</v>
      </c>
      <c r="HJ96" s="1" t="n">
        <f aca="false">EXP($FQ96/$JG$4)*(-1)^$FQ96*HF96</f>
        <v>-0</v>
      </c>
      <c r="HK96" s="1" t="n">
        <f aca="false">(-1)^HE96*HF96</f>
        <v>-0</v>
      </c>
      <c r="HM96" s="1" t="n">
        <f aca="false">$AM96</f>
        <v>85</v>
      </c>
      <c r="HN96" s="1" t="n">
        <f aca="false">GF96</f>
        <v>0</v>
      </c>
      <c r="HO96" s="1" t="n">
        <f aca="false">HO$6*(1+HO$5*(-1)^$FQ96)*EXP(-$FQ96/HO$4)</f>
        <v>2.84903483783495E-021</v>
      </c>
      <c r="HP96" s="1" t="n">
        <f aca="false">(HN96-HO96)^2</f>
        <v>8.11699950719722E-042</v>
      </c>
      <c r="HQ96" s="1" t="n">
        <f aca="false">EXP($FQ96/$JG$4)*HN96</f>
        <v>0</v>
      </c>
      <c r="HR96" s="1" t="n">
        <f aca="false">EXP($FQ96/$JG$4)*(-1)^$FQ96*HN96</f>
        <v>-0</v>
      </c>
      <c r="HS96" s="1" t="n">
        <f aca="false">(-1)^HM96*HN96</f>
        <v>-0</v>
      </c>
      <c r="HU96" s="1" t="n">
        <f aca="false">$AM96</f>
        <v>85</v>
      </c>
      <c r="HV96" s="1" t="n">
        <f aca="false">GJ96</f>
        <v>0</v>
      </c>
      <c r="HW96" s="1" t="n">
        <f aca="false">HW$6*(1+HW$5*(-1)^$FQ96)*EXP(-$FQ96/HW$4)</f>
        <v>1.44692453825858E-015</v>
      </c>
      <c r="HX96" s="1" t="n">
        <f aca="false">(HV96-HW96)^2</f>
        <v>2.0935906194148E-030</v>
      </c>
      <c r="HY96" s="1" t="n">
        <f aca="false">EXP($FQ96/$JG$4)*HV96</f>
        <v>0</v>
      </c>
      <c r="HZ96" s="1" t="n">
        <f aca="false">EXP($FQ96/$JG$4)*(-1)^$FQ96*HV96</f>
        <v>-0</v>
      </c>
      <c r="IA96" s="1" t="n">
        <f aca="false">(-1)^HU96*HV96</f>
        <v>-0</v>
      </c>
      <c r="ID96" s="1" t="n">
        <f aca="false">$AM96</f>
        <v>85</v>
      </c>
      <c r="IE96" s="1" t="n">
        <f aca="false">FZ96</f>
        <v>0</v>
      </c>
      <c r="IF96" s="1" t="n">
        <f aca="false">IF$6*(1+IF$5*(-1)^$FQ96)*EXP(-$FQ96/IF$4)</f>
        <v>1.40717278725421E-011</v>
      </c>
      <c r="IG96" s="1" t="n">
        <f aca="false">(IE96-IF96)^2</f>
        <v>1.98013525318878E-022</v>
      </c>
      <c r="IH96" s="1" t="n">
        <f aca="false">EXP($FQ96/$JG$4)*IE96</f>
        <v>0</v>
      </c>
      <c r="II96" s="1" t="n">
        <f aca="false">EXP($FQ96/$JG$4)*(-1)^$FQ96*IE96</f>
        <v>-0</v>
      </c>
      <c r="IJ96" s="1" t="n">
        <f aca="false">(-1)^ID96*IE96</f>
        <v>-0</v>
      </c>
      <c r="IK96" s="1" t="n">
        <v>0</v>
      </c>
      <c r="IM96" s="1" t="n">
        <f aca="false">$AM96</f>
        <v>85</v>
      </c>
      <c r="IN96" s="1" t="n">
        <f aca="false">GD96</f>
        <v>0</v>
      </c>
      <c r="IO96" s="1" t="n">
        <f aca="false">IO$6*(1+IO$5*(-1)^$FQ96)*EXP(-$FQ96/IO$4)</f>
        <v>6.23821101571246E-010</v>
      </c>
      <c r="IP96" s="1" t="n">
        <f aca="false">(IN96-IO96)^2</f>
        <v>3.89152766765563E-019</v>
      </c>
      <c r="IQ96" s="1" t="n">
        <f aca="false">EXP($FQ96/$JG$4)*IN96</f>
        <v>0</v>
      </c>
      <c r="IR96" s="1" t="n">
        <f aca="false">EXP($FQ96/$JG$4)*(-1)^$FQ96*IN96</f>
        <v>-0</v>
      </c>
      <c r="IS96" s="1" t="n">
        <f aca="false">(-1)^IM96*IN96</f>
        <v>-0</v>
      </c>
      <c r="IV96" s="1" t="n">
        <f aca="false">$AM96</f>
        <v>85</v>
      </c>
      <c r="IW96" s="1" t="n">
        <f aca="false">GH96</f>
        <v>0</v>
      </c>
      <c r="IX96" s="1" t="n">
        <f aca="false">IX$6*(1+IX$5*(-1)^$FQ96)*EXP(-$FQ96/IX$4)</f>
        <v>7.33581433556106E-007</v>
      </c>
      <c r="IY96" s="1" t="n">
        <f aca="false">(IW96-IX96)^2</f>
        <v>5.38141719658232E-013</v>
      </c>
      <c r="IZ96" s="1" t="n">
        <f aca="false">EXP($FQ96/$JG$4)*IW96</f>
        <v>0</v>
      </c>
      <c r="JA96" s="1" t="n">
        <f aca="false">EXP($FQ96/$JG$4)*(-1)^$FQ96*IW96</f>
        <v>-0</v>
      </c>
      <c r="JB96" s="1" t="n">
        <f aca="false">(-1)^IV96*IW96</f>
        <v>-0</v>
      </c>
      <c r="JE96" s="1" t="n">
        <f aca="false">$AM96</f>
        <v>85</v>
      </c>
      <c r="JF96" s="1" t="n">
        <f aca="false">GL96</f>
        <v>0</v>
      </c>
      <c r="JG96" s="1" t="n">
        <f aca="false">JG$6*(1+JG$5*(-1)^$FQ96)*EXP(-$FQ96/JG$4)</f>
        <v>1.80851654683996E-008</v>
      </c>
      <c r="JH96" s="1" t="n">
        <f aca="false">(JF96-JG96)^2</f>
        <v>3.27073210019393E-016</v>
      </c>
      <c r="JI96" s="1" t="n">
        <f aca="false">EXP($FQ96/$JG$4)*JF96</f>
        <v>0</v>
      </c>
      <c r="JJ96" s="1" t="n">
        <f aca="false">EXP($FQ96/$JG$4)*(-1)^$FQ96*JF96</f>
        <v>-0</v>
      </c>
      <c r="JK96" s="1" t="n">
        <f aca="false">(-1)^JE96*JF96</f>
        <v>-0</v>
      </c>
      <c r="JO96" s="1" t="n">
        <f aca="false">$AM96</f>
        <v>85</v>
      </c>
      <c r="JP96" s="1" t="n">
        <f aca="false">GM96</f>
        <v>0</v>
      </c>
      <c r="JQ96" s="1" t="n">
        <f aca="false">JQ$6*(1+JQ$5*(-1)^$FQ96)*EXP(-$FQ96/JQ$4)</f>
        <v>0.00305137117466128</v>
      </c>
      <c r="JR96" s="1" t="n">
        <f aca="false">(JP96-JQ96)^2</f>
        <v>9.31086604555376E-006</v>
      </c>
      <c r="JS96" s="1" t="n">
        <f aca="false">EXP($FQ96/$JG$4)*JP96</f>
        <v>0</v>
      </c>
      <c r="JT96" s="1" t="n">
        <f aca="false">EXP($FQ96/$JG$4)*(-1)^$FQ96*JP96</f>
        <v>-0</v>
      </c>
      <c r="JU96" s="1" t="n">
        <f aca="false">(-1)^JO96*JP96</f>
        <v>-0</v>
      </c>
    </row>
    <row r="97" customFormat="false" ht="16" hidden="false" customHeight="false" outlineLevel="0" collapsed="false">
      <c r="A97" s="1" t="n">
        <v>1</v>
      </c>
      <c r="B97" s="1" t="n">
        <v>1</v>
      </c>
      <c r="C97" s="1" t="n">
        <f aca="false">B97-A97</f>
        <v>0</v>
      </c>
      <c r="D97" s="1" t="n">
        <v>2</v>
      </c>
      <c r="E97" s="1" t="n">
        <v>2</v>
      </c>
      <c r="F97" s="1" t="n">
        <f aca="false">E97-D97</f>
        <v>0</v>
      </c>
      <c r="G97" s="1" t="n">
        <v>3</v>
      </c>
      <c r="H97" s="1" t="n">
        <v>3</v>
      </c>
      <c r="I97" s="1" t="n">
        <f aca="false">H97-G97</f>
        <v>0</v>
      </c>
      <c r="J97" s="1" t="n">
        <v>1</v>
      </c>
      <c r="K97" s="1" t="n">
        <v>1</v>
      </c>
      <c r="L97" s="1" t="n">
        <f aca="false">K97-J97</f>
        <v>0</v>
      </c>
      <c r="M97" s="1" t="n">
        <v>1</v>
      </c>
      <c r="N97" s="1" t="n">
        <v>3</v>
      </c>
      <c r="O97" s="1" t="n">
        <f aca="false">N97-M97</f>
        <v>2</v>
      </c>
      <c r="P97" s="1" t="n">
        <v>2</v>
      </c>
      <c r="Q97" s="1" t="n">
        <v>4</v>
      </c>
      <c r="R97" s="1" t="n">
        <f aca="false">Q97-P97</f>
        <v>2</v>
      </c>
      <c r="S97" s="1" t="n">
        <v>5</v>
      </c>
      <c r="T97" s="1" t="n">
        <v>11</v>
      </c>
      <c r="U97" s="1" t="n">
        <f aca="false">T97-S97</f>
        <v>6</v>
      </c>
      <c r="V97" s="1" t="n">
        <v>2</v>
      </c>
      <c r="W97" s="1" t="n">
        <v>2</v>
      </c>
      <c r="X97" s="1" t="n">
        <f aca="false">W97-V97</f>
        <v>0</v>
      </c>
      <c r="Y97" s="1" t="n">
        <v>4</v>
      </c>
      <c r="Z97" s="1" t="n">
        <v>6</v>
      </c>
      <c r="AA97" s="1" t="n">
        <f aca="false">Z97-Y97</f>
        <v>2</v>
      </c>
      <c r="AB97" s="1" t="n">
        <v>1</v>
      </c>
      <c r="AC97" s="1" t="n">
        <v>3</v>
      </c>
      <c r="AD97" s="1" t="n">
        <f aca="false">AC97-AB97</f>
        <v>2</v>
      </c>
      <c r="AE97" s="1" t="n">
        <v>8</v>
      </c>
      <c r="AF97" s="1" t="n">
        <v>12</v>
      </c>
      <c r="AG97" s="1" t="n">
        <f aca="false">AF97-AE97</f>
        <v>4</v>
      </c>
      <c r="AM97" s="1" t="n">
        <v>86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W97" s="1" t="n">
        <f aca="false">$AM97</f>
        <v>86</v>
      </c>
      <c r="BX97" s="1" t="n">
        <f aca="false">MAX(BX96-AN97/AN$9*100,0)</f>
        <v>0</v>
      </c>
      <c r="BY97" s="1" t="n">
        <f aca="false">MAX(BY96-AO97/AO$9*100,0)</f>
        <v>0</v>
      </c>
      <c r="BZ97" s="1" t="n">
        <f aca="false">MAX(BZ96-AQ97/AQ$9*100,0)</f>
        <v>0</v>
      </c>
      <c r="CA97" s="1" t="n">
        <f aca="false">MAX(CA96-AR97/AR$9*100,0)</f>
        <v>0</v>
      </c>
      <c r="CB97" s="1" t="n">
        <f aca="false">CB$7*EXP(-$AM97/CB$8)</f>
        <v>6.52422344831152E-047</v>
      </c>
      <c r="CC97" s="1" t="n">
        <f aca="false">(BZ97-CB97)^2</f>
        <v>4.25654916034979E-093</v>
      </c>
      <c r="CD97" s="1" t="n">
        <f aca="false">MAX(CD96-AT97/AT$9*100,0)</f>
        <v>0</v>
      </c>
      <c r="CE97" s="1" t="n">
        <f aca="false">MAX(CE96-AU97/AU$9*100,0)</f>
        <v>5.32907051820075E-015</v>
      </c>
      <c r="CF97" s="1" t="n">
        <f aca="false">CF$7*EXP(-$AM97/CF$8)</f>
        <v>1.10285684292924E-045</v>
      </c>
      <c r="CG97" s="1" t="n">
        <f aca="false">(CD97-CF97)^2</f>
        <v>1.21629321599585E-090</v>
      </c>
      <c r="CH97" s="1" t="n">
        <f aca="false">$AM97</f>
        <v>86</v>
      </c>
      <c r="CI97" s="1" t="n">
        <f aca="false">MAX(CI96-AW97/AW$9*100,0)</f>
        <v>0</v>
      </c>
      <c r="CJ97" s="1" t="n">
        <f aca="false">MAX(CJ96-AX97/AX$9*100,0)</f>
        <v>0</v>
      </c>
      <c r="CK97" s="1" t="n">
        <f aca="false">CK$7*EXP(-$AM97/CK$8)</f>
        <v>2.1277452178128E-030</v>
      </c>
      <c r="CL97" s="1" t="n">
        <f aca="false">(CI97-CK97)^2</f>
        <v>4.52729971192524E-060</v>
      </c>
      <c r="CM97" s="1" t="n">
        <f aca="false">MAX(CM96-AZ97/AZ$9*100,0)</f>
        <v>0</v>
      </c>
      <c r="CN97" s="1" t="n">
        <f aca="false">MAX(CN96-BA97/BA$9*100,0)</f>
        <v>5.32907051820075E-015</v>
      </c>
      <c r="CO97" s="1" t="n">
        <f aca="false">CO$7*EXP(-$AM97/CO$8)</f>
        <v>1.47043278639389E-016</v>
      </c>
      <c r="CP97" s="1" t="n">
        <f aca="false">(CM97-CO97)^2</f>
        <v>2.1621725793021E-032</v>
      </c>
      <c r="CQ97" s="1" t="n">
        <f aca="false">$AM97</f>
        <v>86</v>
      </c>
      <c r="CR97" s="1" t="n">
        <f aca="false">MAX(CR96-BC97/BC$9*100,0)</f>
        <v>0</v>
      </c>
      <c r="CS97" s="1" t="n">
        <f aca="false">MAX(CS96-BD97/BD$9*100,0)</f>
        <v>0</v>
      </c>
      <c r="CT97" s="1" t="n">
        <f aca="false">CT$7*EXP(-$AM97/CT$8)</f>
        <v>5.73323393189688E-028</v>
      </c>
      <c r="CU97" s="1" t="n">
        <f aca="false">(CR97-CT97)^2</f>
        <v>3.28699713178538E-055</v>
      </c>
      <c r="CV97" s="1" t="n">
        <f aca="false">MAX(CV96-BF97/BF$9*100,0)</f>
        <v>8.88178419700125E-015</v>
      </c>
      <c r="CW97" s="1" t="n">
        <f aca="false">MAX(CW96-BG97/BG$9*100,0)</f>
        <v>5.32907051820075E-015</v>
      </c>
      <c r="CX97" s="1" t="n">
        <f aca="false">CX$7*EXP(-$AM97/CX$8)</f>
        <v>4.96688765580193E-014</v>
      </c>
      <c r="CY97" s="1" t="n">
        <f aca="false">(CV97-CX97)^2</f>
        <v>1.66358690326622E-027</v>
      </c>
      <c r="CZ97" s="1" t="n">
        <f aca="false">$AM97</f>
        <v>86</v>
      </c>
      <c r="DA97" s="1" t="n">
        <f aca="false">MAX(DA96-BI97/BI$9*100,0)</f>
        <v>0</v>
      </c>
      <c r="DB97" s="1" t="n">
        <f aca="false">MAX(DB96-BJ97/BJ$9*100,0)</f>
        <v>9.88098491916389E-015</v>
      </c>
      <c r="DC97" s="1" t="n">
        <f aca="false">DC$7*EXP(-$AM97/DC$8)</f>
        <v>8.74658733418262E-026</v>
      </c>
      <c r="DD97" s="1" t="n">
        <f aca="false">(DA97-DC97)^2</f>
        <v>7.65027899944838E-051</v>
      </c>
      <c r="DE97" s="1" t="n">
        <f aca="false">MAX(DE96-BL97/BL$9*100,0)</f>
        <v>0</v>
      </c>
      <c r="DF97" s="1" t="n">
        <f aca="false">MAX(DF96-BM97/BM$9*100,0)</f>
        <v>0</v>
      </c>
      <c r="DG97" s="1" t="n">
        <f aca="false">DG$7*EXP(-$AM97/DG$8)</f>
        <v>5.54186173127604E-008</v>
      </c>
      <c r="DH97" s="1" t="n">
        <f aca="false">(DE97-DG97)^2</f>
        <v>3.07122314485819E-015</v>
      </c>
      <c r="DI97" s="1" t="n">
        <f aca="false">$AM97</f>
        <v>86</v>
      </c>
      <c r="DJ97" s="1" t="n">
        <f aca="false">MAX(DJ96-BO97/BO$9*100,0)</f>
        <v>0</v>
      </c>
      <c r="DK97" s="1" t="n">
        <f aca="false">MAX(DK96-BP97/BP$9*100,0)</f>
        <v>9.99200722162641E-015</v>
      </c>
      <c r="DL97" s="1" t="n">
        <f aca="false">DL$7*EXP(-$AM97/DL$8)</f>
        <v>1.82976226879482E-021</v>
      </c>
      <c r="DM97" s="1" t="n">
        <f aca="false">(DJ97-DL97)^2</f>
        <v>3.34802996030517E-042</v>
      </c>
      <c r="DN97" s="1" t="n">
        <f aca="false">MAX(DN96-BR97/BR$9*100,0)</f>
        <v>0</v>
      </c>
      <c r="DO97" s="1" t="n">
        <f aca="false">MAX(DO96-BS97/BS$9*100,0)</f>
        <v>0</v>
      </c>
      <c r="DP97" s="1" t="n">
        <f aca="false">DP$7*EXP(-$AM97/DP$8)</f>
        <v>3.20489923321891E-009</v>
      </c>
      <c r="DQ97" s="1" t="n">
        <f aca="false">(DN97-DP97)^2</f>
        <v>1.02713790950872E-017</v>
      </c>
      <c r="DS97" s="1" t="n">
        <f aca="false">$AM97</f>
        <v>86</v>
      </c>
      <c r="DT97" s="1" t="n">
        <f aca="false">CA97</f>
        <v>0</v>
      </c>
      <c r="DU97" s="1" t="n">
        <f aca="false">DU$7*EXP(-DS97/DU$8)</f>
        <v>5.10185820429792E-037</v>
      </c>
      <c r="DV97" s="1" t="n">
        <f aca="false">(DT97-DU97)^2</f>
        <v>2.6028957136762E-073</v>
      </c>
      <c r="DX97" s="1" t="n">
        <f aca="false">$AM97</f>
        <v>86</v>
      </c>
      <c r="DY97" s="1" t="n">
        <f aca="false">CM97</f>
        <v>0</v>
      </c>
      <c r="DZ97" s="1" t="n">
        <f aca="false">DZ$7*EXP(-DX97/DZ$8)</f>
        <v>1.64395522085586E-019</v>
      </c>
      <c r="EA97" s="1" t="n">
        <f aca="false">(DY97-DZ97)^2</f>
        <v>2.70258876817924E-038</v>
      </c>
      <c r="EC97" s="1" t="n">
        <f aca="false">$AM97</f>
        <v>86</v>
      </c>
      <c r="ED97" s="1" t="n">
        <f aca="false">CV97</f>
        <v>8.88178419700125E-015</v>
      </c>
      <c r="EE97" s="1" t="n">
        <f aca="false">EE$7*EXP(-EC97/EE$8)</f>
        <v>6.9588783146733E-015</v>
      </c>
      <c r="EF97" s="1" t="n">
        <f aca="false">(ED97-EE97)^2</f>
        <v>3.69756703229144E-030</v>
      </c>
      <c r="EH97" s="1" t="n">
        <f aca="false">$AM97</f>
        <v>86</v>
      </c>
      <c r="EI97" s="1" t="n">
        <f aca="false">DE97</f>
        <v>0</v>
      </c>
      <c r="EJ97" s="1" t="n">
        <f aca="false">EJ$7*EXP(-EH97/EJ$8)</f>
        <v>5.51886645438278E-008</v>
      </c>
      <c r="EK97" s="1" t="n">
        <f aca="false">(EI97-EJ97)^2</f>
        <v>3.04578869413116E-015</v>
      </c>
      <c r="EM97" s="1" t="n">
        <f aca="false">AM97</f>
        <v>86</v>
      </c>
      <c r="EN97" s="1" t="n">
        <f aca="false">DN97</f>
        <v>0</v>
      </c>
      <c r="EO97" s="1" t="n">
        <f aca="false">EO$7*EXP(-EM97/EO$8)</f>
        <v>7.0224611243605E-009</v>
      </c>
      <c r="EP97" s="1" t="n">
        <f aca="false">(EN97-EO97)^2</f>
        <v>4.93149602431545E-017</v>
      </c>
      <c r="ER97" s="1" t="n">
        <f aca="false">$AM97</f>
        <v>86</v>
      </c>
      <c r="ES97" s="1" t="n">
        <f aca="false">BZ97</f>
        <v>0</v>
      </c>
      <c r="ET97" s="1" t="n">
        <f aca="false">ET$7*EXP(-ER97/ET$8)</f>
        <v>6.29460407669679E-043</v>
      </c>
      <c r="EU97" s="1" t="n">
        <f aca="false">(ES97-ET97)^2</f>
        <v>3.96220404823678E-085</v>
      </c>
      <c r="EW97" s="1" t="n">
        <f aca="false">$AM97</f>
        <v>86</v>
      </c>
      <c r="EX97" s="1" t="n">
        <f aca="false">CI97</f>
        <v>0</v>
      </c>
      <c r="EY97" s="1" t="n">
        <f aca="false">EY$7*EXP(-EW97/EY$8)</f>
        <v>2.21794775094508E-039</v>
      </c>
      <c r="EZ97" s="1" t="n">
        <f aca="false">(EX97-EY97)^2</f>
        <v>4.91929222592234E-078</v>
      </c>
      <c r="FB97" s="1" t="n">
        <f aca="false">$AM97</f>
        <v>86</v>
      </c>
      <c r="FC97" s="1" t="n">
        <f aca="false">CR97</f>
        <v>0</v>
      </c>
      <c r="FD97" s="1" t="n">
        <f aca="false">FD$7*EXP(-FB97/FD$8)</f>
        <v>4.78226750439227E-034</v>
      </c>
      <c r="FE97" s="1" t="n">
        <f aca="false">(FC97-FD97)^2</f>
        <v>2.28700824835663E-067</v>
      </c>
      <c r="FG97" s="1" t="n">
        <f aca="false">$AM97</f>
        <v>86</v>
      </c>
      <c r="FH97" s="1" t="n">
        <f aca="false">DA97</f>
        <v>0</v>
      </c>
      <c r="FI97" s="1" t="n">
        <f aca="false">FI$7*EXP(-FG97/FI$8)</f>
        <v>2.52523519582616E-029</v>
      </c>
      <c r="FJ97" s="1" t="n">
        <f aca="false">(FH97-FI97)^2</f>
        <v>6.37681279423918E-058</v>
      </c>
      <c r="FL97" s="1" t="n">
        <f aca="false">EM97</f>
        <v>86</v>
      </c>
      <c r="FM97" s="1" t="n">
        <f aca="false">DJ97</f>
        <v>0</v>
      </c>
      <c r="FN97" s="1" t="n">
        <f aca="false">FN$7*EXP(-FL97/FN$8)</f>
        <v>2.14239045911109E-023</v>
      </c>
      <c r="FO97" s="1" t="n">
        <f aca="false">(FM97-FN97)^2</f>
        <v>4.58983687929023E-046</v>
      </c>
      <c r="FQ97" s="1" t="n">
        <f aca="false">AM97</f>
        <v>86</v>
      </c>
      <c r="FR97" s="1" t="n">
        <f aca="false">AN97/AN$9*100</f>
        <v>0</v>
      </c>
      <c r="FS97" s="1" t="n">
        <f aca="false">AO97/AO$9*100</f>
        <v>0</v>
      </c>
      <c r="FT97" s="1" t="n">
        <f aca="false">AQ97/AQ$9*100</f>
        <v>0</v>
      </c>
      <c r="FU97" s="1" t="n">
        <f aca="false">AR97/AR$9*100</f>
        <v>0</v>
      </c>
      <c r="FV97" s="1" t="n">
        <f aca="false">AT97/AT$9*100</f>
        <v>0</v>
      </c>
      <c r="FW97" s="1" t="n">
        <f aca="false">AU97/AU$9*100</f>
        <v>0</v>
      </c>
      <c r="FX97" s="1" t="n">
        <f aca="false">AW97/AW$9*100</f>
        <v>0</v>
      </c>
      <c r="FY97" s="1" t="n">
        <f aca="false">AX97/AX$9*100</f>
        <v>0</v>
      </c>
      <c r="FZ97" s="1" t="n">
        <f aca="false">AZ97/AZ$9*100</f>
        <v>0</v>
      </c>
      <c r="GA97" s="1" t="n">
        <f aca="false">BA97/BA$9*100</f>
        <v>0</v>
      </c>
      <c r="GB97" s="1" t="n">
        <f aca="false">BC97/BC$9*100</f>
        <v>0</v>
      </c>
      <c r="GC97" s="1" t="n">
        <f aca="false">BD97/BD$9*100</f>
        <v>0</v>
      </c>
      <c r="GD97" s="1" t="n">
        <f aca="false">BF97/BF$9*100</f>
        <v>0</v>
      </c>
      <c r="GE97" s="1" t="n">
        <f aca="false">BG97/BG$9*100</f>
        <v>0</v>
      </c>
      <c r="GF97" s="1" t="n">
        <f aca="false">BI97/BI$9*100</f>
        <v>0</v>
      </c>
      <c r="GG97" s="1" t="n">
        <f aca="false">BJ97/BJ$9*100</f>
        <v>0</v>
      </c>
      <c r="GH97" s="1" t="n">
        <f aca="false">BL97/BL$9*100</f>
        <v>0</v>
      </c>
      <c r="GI97" s="1" t="n">
        <f aca="false">BM97/BM$9*100</f>
        <v>0</v>
      </c>
      <c r="GJ97" s="1" t="n">
        <f aca="false">BO97/BO$9*100</f>
        <v>0</v>
      </c>
      <c r="GK97" s="1" t="n">
        <f aca="false">BP97/BP$9*100</f>
        <v>0</v>
      </c>
      <c r="GL97" s="1" t="n">
        <f aca="false">BR97/BR$9*100</f>
        <v>0</v>
      </c>
      <c r="GM97" s="1" t="n">
        <f aca="false">BS97/BS$9*100</f>
        <v>0</v>
      </c>
      <c r="GO97" s="1" t="n">
        <f aca="false">$AM97</f>
        <v>86</v>
      </c>
      <c r="GP97" s="1" t="n">
        <f aca="false">FT97</f>
        <v>0</v>
      </c>
      <c r="GQ97" s="1" t="n">
        <f aca="false">GQ$6*(1+GQ$5*(-1)^$FQ97)*EXP(-$FQ97/GQ$4)</f>
        <v>1.0404515399005E-026</v>
      </c>
      <c r="GR97" s="1" t="n">
        <f aca="false">(GP97-GQ97)^2</f>
        <v>1.08253940688132E-052</v>
      </c>
      <c r="GS97" s="1" t="n">
        <f aca="false">EXP($FQ97/$JG$4)*GP97</f>
        <v>0</v>
      </c>
      <c r="GT97" s="1" t="n">
        <f aca="false">EXP($FQ97/$JG$4)*(-1)^$FQ97*GP97</f>
        <v>0</v>
      </c>
      <c r="GU97" s="1" t="n">
        <f aca="false">(-1)^GO97*GP97</f>
        <v>0</v>
      </c>
      <c r="GW97" s="1" t="n">
        <f aca="false">$AM97</f>
        <v>86</v>
      </c>
      <c r="GX97" s="1" t="n">
        <f aca="false">FX97</f>
        <v>0</v>
      </c>
      <c r="GY97" s="1" t="n">
        <f aca="false">GY$6*(1+GY$5*(-1)^$FQ97)*EXP(-$FQ97/GY$4)</f>
        <v>1.0404515399005E-026</v>
      </c>
      <c r="GZ97" s="1" t="n">
        <f aca="false">(GX97-GY97)^2</f>
        <v>1.08253940688132E-052</v>
      </c>
      <c r="HA97" s="1" t="n">
        <f aca="false">EXP($FQ97/$JG$4)*GX97</f>
        <v>0</v>
      </c>
      <c r="HB97" s="1" t="n">
        <f aca="false">EXP($FQ97/$JG$4)*(-1)^$FQ97*GX97</f>
        <v>0</v>
      </c>
      <c r="HC97" s="1" t="n">
        <f aca="false">(-1)^GW97*GX97</f>
        <v>0</v>
      </c>
      <c r="HE97" s="1" t="n">
        <f aca="false">$AM97</f>
        <v>86</v>
      </c>
      <c r="HF97" s="1" t="n">
        <f aca="false">GB97</f>
        <v>0</v>
      </c>
      <c r="HG97" s="1" t="n">
        <f aca="false">HG$6*(1+HG$5*(-1)^$FQ97)*EXP(-$FQ97/HG$4)</f>
        <v>1.0404515399005E-026</v>
      </c>
      <c r="HH97" s="1" t="n">
        <f aca="false">(HF97-HG97)^2</f>
        <v>1.08253940688132E-052</v>
      </c>
      <c r="HI97" s="1" t="n">
        <f aca="false">EXP($FQ97/$JG$4)*HF97</f>
        <v>0</v>
      </c>
      <c r="HJ97" s="1" t="n">
        <f aca="false">EXP($FQ97/$JG$4)*(-1)^$FQ97*HF97</f>
        <v>0</v>
      </c>
      <c r="HK97" s="1" t="n">
        <f aca="false">(-1)^HE97*HF97</f>
        <v>0</v>
      </c>
      <c r="HM97" s="1" t="n">
        <f aca="false">$AM97</f>
        <v>86</v>
      </c>
      <c r="HN97" s="1" t="n">
        <f aca="false">GF97</f>
        <v>0</v>
      </c>
      <c r="HO97" s="1" t="n">
        <f aca="false">HO$6*(1+HO$5*(-1)^$FQ97)*EXP(-$FQ97/HO$4)</f>
        <v>7.13152700497686E-021</v>
      </c>
      <c r="HP97" s="1" t="n">
        <f aca="false">(HN97-HO97)^2</f>
        <v>5.08586774227142E-041</v>
      </c>
      <c r="HQ97" s="1" t="n">
        <f aca="false">EXP($FQ97/$JG$4)*HN97</f>
        <v>0</v>
      </c>
      <c r="HR97" s="1" t="n">
        <f aca="false">EXP($FQ97/$JG$4)*(-1)^$FQ97*HN97</f>
        <v>0</v>
      </c>
      <c r="HS97" s="1" t="n">
        <f aca="false">(-1)^HM97*HN97</f>
        <v>0</v>
      </c>
      <c r="HU97" s="1" t="n">
        <f aca="false">$AM97</f>
        <v>86</v>
      </c>
      <c r="HV97" s="1" t="n">
        <f aca="false">GJ97</f>
        <v>0</v>
      </c>
      <c r="HW97" s="1" t="n">
        <f aca="false">HW$6*(1+HW$5*(-1)^$FQ97)*EXP(-$FQ97/HW$4)</f>
        <v>2.78869768802759E-015</v>
      </c>
      <c r="HX97" s="1" t="n">
        <f aca="false">(HV97-HW97)^2</f>
        <v>7.77683479521043E-030</v>
      </c>
      <c r="HY97" s="1" t="n">
        <f aca="false">EXP($FQ97/$JG$4)*HV97</f>
        <v>0</v>
      </c>
      <c r="HZ97" s="1" t="n">
        <f aca="false">EXP($FQ97/$JG$4)*(-1)^$FQ97*HV97</f>
        <v>0</v>
      </c>
      <c r="IA97" s="1" t="n">
        <f aca="false">(-1)^HU97*HV97</f>
        <v>0</v>
      </c>
      <c r="ID97" s="1" t="n">
        <f aca="false">$AM97</f>
        <v>86</v>
      </c>
      <c r="IE97" s="1" t="n">
        <f aca="false">FZ97</f>
        <v>0</v>
      </c>
      <c r="IF97" s="1" t="n">
        <f aca="false">IF$6*(1+IF$5*(-1)^$FQ97)*EXP(-$FQ97/IF$4)</f>
        <v>1.95725593694211E-011</v>
      </c>
      <c r="IG97" s="1" t="n">
        <f aca="false">(IE97-IF97)^2</f>
        <v>3.83085080269514E-022</v>
      </c>
      <c r="IH97" s="1" t="n">
        <f aca="false">EXP($FQ97/$JG$4)*IE97</f>
        <v>0</v>
      </c>
      <c r="II97" s="1" t="n">
        <f aca="false">EXP($FQ97/$JG$4)*(-1)^$FQ97*IE97</f>
        <v>0</v>
      </c>
      <c r="IJ97" s="1" t="n">
        <f aca="false">(-1)^ID97*IE97</f>
        <v>0</v>
      </c>
      <c r="IK97" s="1" t="n">
        <v>0</v>
      </c>
      <c r="IM97" s="1" t="n">
        <f aca="false">$AM97</f>
        <v>86</v>
      </c>
      <c r="IN97" s="1" t="n">
        <f aca="false">GD97</f>
        <v>0</v>
      </c>
      <c r="IO97" s="1" t="n">
        <f aca="false">IO$6*(1+IO$5*(-1)^$FQ97)*EXP(-$FQ97/IO$4)</f>
        <v>1.01942655253594E-009</v>
      </c>
      <c r="IP97" s="1" t="n">
        <f aca="false">(IN97-IO97)^2</f>
        <v>1.03923049601531E-018</v>
      </c>
      <c r="IQ97" s="1" t="n">
        <f aca="false">EXP($FQ97/$JG$4)*IN97</f>
        <v>0</v>
      </c>
      <c r="IR97" s="1" t="n">
        <f aca="false">EXP($FQ97/$JG$4)*(-1)^$FQ97*IN97</f>
        <v>0</v>
      </c>
      <c r="IS97" s="1" t="n">
        <f aca="false">(-1)^IM97*IN97</f>
        <v>0</v>
      </c>
      <c r="IV97" s="1" t="n">
        <f aca="false">$AM97</f>
        <v>86</v>
      </c>
      <c r="IW97" s="1" t="n">
        <f aca="false">GH97</f>
        <v>0</v>
      </c>
      <c r="IX97" s="1" t="n">
        <f aca="false">IX$6*(1+IX$5*(-1)^$FQ97)*EXP(-$FQ97/IX$4)</f>
        <v>2.34716396551441E-006</v>
      </c>
      <c r="IY97" s="1" t="n">
        <f aca="false">(IW97-IX97)^2</f>
        <v>5.50917868100933E-012</v>
      </c>
      <c r="IZ97" s="1" t="n">
        <f aca="false">EXP($FQ97/$JG$4)*IW97</f>
        <v>0</v>
      </c>
      <c r="JA97" s="1" t="n">
        <f aca="false">EXP($FQ97/$JG$4)*(-1)^$FQ97*IW97</f>
        <v>0</v>
      </c>
      <c r="JB97" s="1" t="n">
        <f aca="false">(-1)^IV97*IW97</f>
        <v>0</v>
      </c>
      <c r="JE97" s="1" t="n">
        <f aca="false">$AM97</f>
        <v>86</v>
      </c>
      <c r="JF97" s="1" t="n">
        <f aca="false">GL97</f>
        <v>0</v>
      </c>
      <c r="JG97" s="1" t="n">
        <f aca="false">JG$6*(1+JG$5*(-1)^$FQ97)*EXP(-$FQ97/JG$4)</f>
        <v>9.37357845068993E-008</v>
      </c>
      <c r="JH97" s="1" t="n">
        <f aca="false">(JF97-JG97)^2</f>
        <v>8.78639729712386E-015</v>
      </c>
      <c r="JI97" s="1" t="n">
        <f aca="false">EXP($FQ97/$JG$4)*JF97</f>
        <v>0</v>
      </c>
      <c r="JJ97" s="1" t="n">
        <f aca="false">EXP($FQ97/$JG$4)*(-1)^$FQ97*JF97</f>
        <v>0</v>
      </c>
      <c r="JK97" s="1" t="n">
        <f aca="false">(-1)^JE97*JF97</f>
        <v>0</v>
      </c>
      <c r="JO97" s="1" t="n">
        <f aca="false">$AM97</f>
        <v>86</v>
      </c>
      <c r="JP97" s="1" t="n">
        <f aca="false">GM97</f>
        <v>0</v>
      </c>
      <c r="JQ97" s="1" t="n">
        <f aca="false">JQ$6*(1+JQ$5*(-1)^$FQ97)*EXP(-$FQ97/JQ$4)</f>
        <v>0.0147880457036698</v>
      </c>
      <c r="JR97" s="1" t="n">
        <f aca="false">(JP97-JQ97)^2</f>
        <v>0.000218686295733827</v>
      </c>
      <c r="JS97" s="1" t="n">
        <f aca="false">EXP($FQ97/$JG$4)*JP97</f>
        <v>0</v>
      </c>
      <c r="JT97" s="1" t="n">
        <f aca="false">EXP($FQ97/$JG$4)*(-1)^$FQ97*JP97</f>
        <v>0</v>
      </c>
      <c r="JU97" s="1" t="n">
        <f aca="false">(-1)^JO97*JP97</f>
        <v>0</v>
      </c>
    </row>
    <row r="98" customFormat="false" ht="16" hidden="false" customHeight="false" outlineLevel="0" collapsed="false">
      <c r="A98" s="1" t="n">
        <v>1</v>
      </c>
      <c r="B98" s="1" t="n">
        <v>1</v>
      </c>
      <c r="C98" s="1" t="n">
        <f aca="false">B98-A98</f>
        <v>0</v>
      </c>
      <c r="D98" s="1" t="n">
        <v>2</v>
      </c>
      <c r="E98" s="1" t="n">
        <v>2</v>
      </c>
      <c r="F98" s="1" t="n">
        <f aca="false">E98-D98</f>
        <v>0</v>
      </c>
      <c r="G98" s="1" t="n">
        <v>1</v>
      </c>
      <c r="H98" s="1" t="n">
        <v>1</v>
      </c>
      <c r="I98" s="1" t="n">
        <f aca="false">H98-G98</f>
        <v>0</v>
      </c>
      <c r="J98" s="1" t="n">
        <v>2</v>
      </c>
      <c r="K98" s="1" t="n">
        <v>2</v>
      </c>
      <c r="L98" s="1" t="n">
        <f aca="false">K98-J98</f>
        <v>0</v>
      </c>
      <c r="M98" s="1" t="n">
        <v>1</v>
      </c>
      <c r="N98" s="1" t="n">
        <v>1</v>
      </c>
      <c r="O98" s="1" t="n">
        <f aca="false">N98-M98</f>
        <v>0</v>
      </c>
      <c r="P98" s="1" t="n">
        <v>2</v>
      </c>
      <c r="Q98" s="1" t="n">
        <v>3</v>
      </c>
      <c r="R98" s="1" t="n">
        <f aca="false">Q98-P98</f>
        <v>1</v>
      </c>
      <c r="S98" s="1" t="n">
        <v>2</v>
      </c>
      <c r="T98" s="1" t="n">
        <v>4</v>
      </c>
      <c r="U98" s="1" t="n">
        <f aca="false">T98-S98</f>
        <v>2</v>
      </c>
      <c r="V98" s="1" t="n">
        <v>2</v>
      </c>
      <c r="W98" s="1" t="n">
        <v>2</v>
      </c>
      <c r="X98" s="1" t="n">
        <f aca="false">W98-V98</f>
        <v>0</v>
      </c>
      <c r="Y98" s="1" t="n">
        <v>4</v>
      </c>
      <c r="Z98" s="1" t="n">
        <v>8</v>
      </c>
      <c r="AA98" s="1" t="n">
        <f aca="false">Z98-Y98</f>
        <v>4</v>
      </c>
      <c r="AB98" s="1" t="n">
        <v>1</v>
      </c>
      <c r="AC98" s="1" t="n">
        <v>2</v>
      </c>
      <c r="AD98" s="1" t="n">
        <f aca="false">AC98-AB98</f>
        <v>1</v>
      </c>
      <c r="AE98" s="1" t="n">
        <v>4</v>
      </c>
      <c r="AF98" s="1" t="n">
        <v>8</v>
      </c>
      <c r="AG98" s="1" t="n">
        <f aca="false">AF98-AE98</f>
        <v>4</v>
      </c>
      <c r="AM98" s="1" t="n">
        <v>87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W98" s="1" t="n">
        <f aca="false">$AM98</f>
        <v>87</v>
      </c>
      <c r="BX98" s="1" t="n">
        <f aca="false">MAX(BX97-AN98/AN$9*100,0)</f>
        <v>0</v>
      </c>
      <c r="BY98" s="1" t="n">
        <f aca="false">MAX(BY97-AO98/AO$9*100,0)</f>
        <v>0</v>
      </c>
      <c r="BZ98" s="1" t="n">
        <f aca="false">MAX(BZ97-AQ98/AQ$9*100,0)</f>
        <v>0</v>
      </c>
      <c r="CA98" s="1" t="n">
        <f aca="false">MAX(CA97-AR98/AR$9*100,0)</f>
        <v>0</v>
      </c>
      <c r="CB98" s="1" t="n">
        <f aca="false">CB$7*EXP(-$AM98/CB$8)</f>
        <v>1.7803689812733E-047</v>
      </c>
      <c r="CC98" s="1" t="n">
        <f aca="false">(BZ98-CB98)^2</f>
        <v>3.16971370948013E-094</v>
      </c>
      <c r="CD98" s="1" t="n">
        <f aca="false">MAX(CD97-AT98/AT$9*100,0)</f>
        <v>0</v>
      </c>
      <c r="CE98" s="1" t="n">
        <f aca="false">MAX(CE97-AU98/AU$9*100,0)</f>
        <v>5.32907051820075E-015</v>
      </c>
      <c r="CF98" s="1" t="n">
        <f aca="false">CF$7*EXP(-$AM98/CF$8)</f>
        <v>3.11013536575422E-046</v>
      </c>
      <c r="CG98" s="1" t="n">
        <f aca="false">(CD98-CF98)^2</f>
        <v>9.67294199331514E-092</v>
      </c>
      <c r="CH98" s="1" t="n">
        <f aca="false">$AM98</f>
        <v>87</v>
      </c>
      <c r="CI98" s="1" t="n">
        <f aca="false">MAX(CI97-AW98/AW$9*100,0)</f>
        <v>0</v>
      </c>
      <c r="CJ98" s="1" t="n">
        <f aca="false">MAX(CJ97-AX98/AX$9*100,0)</f>
        <v>0</v>
      </c>
      <c r="CK98" s="1" t="n">
        <f aca="false">CK$7*EXP(-$AM98/CK$8)</f>
        <v>9.05165011402965E-031</v>
      </c>
      <c r="CL98" s="1" t="n">
        <f aca="false">(CI98-CK98)^2</f>
        <v>8.1932369786813E-061</v>
      </c>
      <c r="CM98" s="1" t="n">
        <f aca="false">MAX(CM97-AZ98/AZ$9*100,0)</f>
        <v>0</v>
      </c>
      <c r="CN98" s="1" t="n">
        <f aca="false">MAX(CN97-BA98/BA$9*100,0)</f>
        <v>5.32907051820075E-015</v>
      </c>
      <c r="CO98" s="1" t="n">
        <f aca="false">CO$7*EXP(-$AM98/CO$8)</f>
        <v>9.09179748893086E-017</v>
      </c>
      <c r="CP98" s="1" t="n">
        <f aca="false">(CM98-CO98)^2</f>
        <v>8.26607815797295E-033</v>
      </c>
      <c r="CQ98" s="1" t="n">
        <f aca="false">$AM98</f>
        <v>87</v>
      </c>
      <c r="CR98" s="1" t="n">
        <f aca="false">MAX(CR97-BC98/BC$9*100,0)</f>
        <v>0</v>
      </c>
      <c r="CS98" s="1" t="n">
        <f aca="false">MAX(CS97-BD98/BD$9*100,0)</f>
        <v>0</v>
      </c>
      <c r="CT98" s="1" t="n">
        <f aca="false">CT$7*EXP(-$AM98/CT$8)</f>
        <v>2.60876826999779E-028</v>
      </c>
      <c r="CU98" s="1" t="n">
        <f aca="false">(CR98-CT98)^2</f>
        <v>6.80567188654726E-056</v>
      </c>
      <c r="CV98" s="1" t="n">
        <f aca="false">MAX(CV97-BF98/BF$9*100,0)</f>
        <v>8.88178419700125E-015</v>
      </c>
      <c r="CW98" s="1" t="n">
        <f aca="false">MAX(CW97-BG98/BG$9*100,0)</f>
        <v>5.32907051820075E-015</v>
      </c>
      <c r="CX98" s="1" t="n">
        <f aca="false">CX$7*EXP(-$AM98/CX$8)</f>
        <v>3.28566897727695E-014</v>
      </c>
      <c r="CY98" s="1" t="n">
        <f aca="false">(CV98-CX98)^2</f>
        <v>5.74796097367003E-028</v>
      </c>
      <c r="CZ98" s="1" t="n">
        <f aca="false">$AM98</f>
        <v>87</v>
      </c>
      <c r="DA98" s="1" t="n">
        <f aca="false">MAX(DA97-BI98/BI$9*100,0)</f>
        <v>0</v>
      </c>
      <c r="DB98" s="1" t="n">
        <f aca="false">MAX(DB97-BJ98/BJ$9*100,0)</f>
        <v>9.88098491916389E-015</v>
      </c>
      <c r="DC98" s="1" t="n">
        <f aca="false">DC$7*EXP(-$AM98/DC$8)</f>
        <v>4.21536674872595E-026</v>
      </c>
      <c r="DD98" s="1" t="n">
        <f aca="false">(DA98-DC98)^2</f>
        <v>1.77693168262644E-051</v>
      </c>
      <c r="DE98" s="1" t="n">
        <f aca="false">MAX(DE97-BL98/BL$9*100,0)</f>
        <v>0</v>
      </c>
      <c r="DF98" s="1" t="n">
        <f aca="false">MAX(DF97-BM98/BM$9*100,0)</f>
        <v>0</v>
      </c>
      <c r="DG98" s="1" t="n">
        <f aca="false">DG$7*EXP(-$AM98/DG$8)</f>
        <v>4.31600625599123E-008</v>
      </c>
      <c r="DH98" s="1" t="n">
        <f aca="false">(DE98-DG98)^2</f>
        <v>1.86279100017554E-015</v>
      </c>
      <c r="DI98" s="1" t="n">
        <f aca="false">$AM98</f>
        <v>87</v>
      </c>
      <c r="DJ98" s="1" t="n">
        <f aca="false">MAX(DJ97-BO98/BO$9*100,0)</f>
        <v>0</v>
      </c>
      <c r="DK98" s="1" t="n">
        <f aca="false">MAX(DK97-BP98/BP$9*100,0)</f>
        <v>9.99200722162641E-015</v>
      </c>
      <c r="DL98" s="1" t="n">
        <f aca="false">DL$7*EXP(-$AM98/DL$8)</f>
        <v>9.90732330179318E-022</v>
      </c>
      <c r="DM98" s="1" t="n">
        <f aca="false">(DJ98-DL98)^2</f>
        <v>9.81550550062541E-043</v>
      </c>
      <c r="DN98" s="1" t="n">
        <f aca="false">MAX(DN97-BR98/BR$9*100,0)</f>
        <v>0</v>
      </c>
      <c r="DO98" s="1" t="n">
        <f aca="false">MAX(DO97-BS98/BS$9*100,0)</f>
        <v>0</v>
      </c>
      <c r="DP98" s="1" t="n">
        <f aca="false">DP$7*EXP(-$AM98/DP$8)</f>
        <v>2.4142641247075E-009</v>
      </c>
      <c r="DQ98" s="1" t="n">
        <f aca="false">(DN98-DP98)^2</f>
        <v>5.82867126384967E-018</v>
      </c>
      <c r="DS98" s="1" t="n">
        <f aca="false">$AM98</f>
        <v>87</v>
      </c>
      <c r="DT98" s="1" t="n">
        <f aca="false">CA98</f>
        <v>0</v>
      </c>
      <c r="DU98" s="1" t="n">
        <f aca="false">DU$7*EXP(-DS98/DU$8)</f>
        <v>1.81970971679604E-037</v>
      </c>
      <c r="DV98" s="1" t="n">
        <f aca="false">(DT98-DU98)^2</f>
        <v>3.31134345340192E-074</v>
      </c>
      <c r="DX98" s="1" t="n">
        <f aca="false">$AM98</f>
        <v>87</v>
      </c>
      <c r="DY98" s="1" t="n">
        <f aca="false">CM98</f>
        <v>0</v>
      </c>
      <c r="DZ98" s="1" t="n">
        <f aca="false">DZ$7*EXP(-DX98/DZ$8)</f>
        <v>9.37355473643888E-020</v>
      </c>
      <c r="EA98" s="1" t="n">
        <f aca="false">(DY98-DZ98)^2</f>
        <v>8.78635283970158E-039</v>
      </c>
      <c r="EC98" s="1" t="n">
        <f aca="false">$AM98</f>
        <v>87</v>
      </c>
      <c r="ED98" s="1" t="n">
        <f aca="false">CV98</f>
        <v>8.88178419700125E-015</v>
      </c>
      <c r="EE98" s="1" t="n">
        <f aca="false">EE$7*EXP(-EC98/EE$8)</f>
        <v>4.49666979371515E-015</v>
      </c>
      <c r="EF98" s="1" t="n">
        <f aca="false">(ED98-EE98)^2</f>
        <v>1.92292283299072E-029</v>
      </c>
      <c r="EH98" s="1" t="n">
        <f aca="false">$AM98</f>
        <v>87</v>
      </c>
      <c r="EI98" s="1" t="n">
        <f aca="false">DE98</f>
        <v>0</v>
      </c>
      <c r="EJ98" s="1" t="n">
        <f aca="false">EJ$7*EXP(-EH98/EJ$8)</f>
        <v>4.29809751633982E-008</v>
      </c>
      <c r="EK98" s="1" t="n">
        <f aca="false">(EI98-EJ98)^2</f>
        <v>1.84736422599665E-015</v>
      </c>
      <c r="EM98" s="1" t="n">
        <f aca="false">AM98</f>
        <v>87</v>
      </c>
      <c r="EN98" s="1" t="n">
        <f aca="false">DN98</f>
        <v>0</v>
      </c>
      <c r="EO98" s="1" t="n">
        <f aca="false">EO$7*EXP(-EM98/EO$8)</f>
        <v>5.33954872712617E-009</v>
      </c>
      <c r="EP98" s="1" t="n">
        <f aca="false">(EN98-EO98)^2</f>
        <v>2.85107806093547E-017</v>
      </c>
      <c r="ER98" s="1" t="n">
        <f aca="false">$AM98</f>
        <v>87</v>
      </c>
      <c r="ES98" s="1" t="n">
        <f aca="false">BZ98</f>
        <v>0</v>
      </c>
      <c r="ET98" s="1" t="n">
        <f aca="false">ET$7*EXP(-ER98/ET$8)</f>
        <v>1.91404074399293E-043</v>
      </c>
      <c r="EU98" s="1" t="n">
        <f aca="false">(ES98-ET98)^2</f>
        <v>3.66355196966501E-086</v>
      </c>
      <c r="EW98" s="1" t="n">
        <f aca="false">$AM98</f>
        <v>87</v>
      </c>
      <c r="EX98" s="1" t="n">
        <f aca="false">CI98</f>
        <v>0</v>
      </c>
      <c r="EY98" s="1" t="n">
        <f aca="false">EY$7*EXP(-EW98/EY$8)</f>
        <v>7.39102425810151E-040</v>
      </c>
      <c r="EZ98" s="1" t="n">
        <f aca="false">(EX98-EY98)^2</f>
        <v>5.4627239583845E-079</v>
      </c>
      <c r="FB98" s="1" t="n">
        <f aca="false">$AM98</f>
        <v>87</v>
      </c>
      <c r="FC98" s="1" t="n">
        <f aca="false">CR98</f>
        <v>0</v>
      </c>
      <c r="FD98" s="1" t="n">
        <f aca="false">FD$7*EXP(-FB98/FD$8)</f>
        <v>1.84510069815108E-034</v>
      </c>
      <c r="FE98" s="1" t="n">
        <f aca="false">(FC98-FD98)^2</f>
        <v>3.4043965863176E-068</v>
      </c>
      <c r="FG98" s="1" t="n">
        <f aca="false">$AM98</f>
        <v>87</v>
      </c>
      <c r="FH98" s="1" t="n">
        <f aca="false">DA98</f>
        <v>0</v>
      </c>
      <c r="FI98" s="1" t="n">
        <f aca="false">FI$7*EXP(-FG98/FI$8)</f>
        <v>1.10504706216742E-029</v>
      </c>
      <c r="FJ98" s="1" t="n">
        <f aca="false">(FH98-FI98)^2</f>
        <v>1.22112900960485E-058</v>
      </c>
      <c r="FL98" s="1" t="n">
        <f aca="false">EM98</f>
        <v>87</v>
      </c>
      <c r="FM98" s="1" t="n">
        <f aca="false">DJ98</f>
        <v>0</v>
      </c>
      <c r="FN98" s="1" t="n">
        <f aca="false">FN$7*EXP(-FL98/FN$8)</f>
        <v>1.09993993735973E-023</v>
      </c>
      <c r="FO98" s="1" t="n">
        <f aca="false">(FM98-FN98)^2</f>
        <v>1.20986786579893E-046</v>
      </c>
      <c r="FQ98" s="1" t="n">
        <f aca="false">AM98</f>
        <v>87</v>
      </c>
      <c r="FR98" s="1" t="n">
        <f aca="false">AN98/AN$9*100</f>
        <v>0</v>
      </c>
      <c r="FS98" s="1" t="n">
        <f aca="false">AO98/AO$9*100</f>
        <v>0</v>
      </c>
      <c r="FT98" s="1" t="n">
        <f aca="false">AQ98/AQ$9*100</f>
        <v>0</v>
      </c>
      <c r="FU98" s="1" t="n">
        <f aca="false">AR98/AR$9*100</f>
        <v>0</v>
      </c>
      <c r="FV98" s="1" t="n">
        <f aca="false">AT98/AT$9*100</f>
        <v>0</v>
      </c>
      <c r="FW98" s="1" t="n">
        <f aca="false">AU98/AU$9*100</f>
        <v>0</v>
      </c>
      <c r="FX98" s="1" t="n">
        <f aca="false">AW98/AW$9*100</f>
        <v>0</v>
      </c>
      <c r="FY98" s="1" t="n">
        <f aca="false">AX98/AX$9*100</f>
        <v>0</v>
      </c>
      <c r="FZ98" s="1" t="n">
        <f aca="false">AZ98/AZ$9*100</f>
        <v>0</v>
      </c>
      <c r="GA98" s="1" t="n">
        <f aca="false">BA98/BA$9*100</f>
        <v>0</v>
      </c>
      <c r="GB98" s="1" t="n">
        <f aca="false">BC98/BC$9*100</f>
        <v>0</v>
      </c>
      <c r="GC98" s="1" t="n">
        <f aca="false">BD98/BD$9*100</f>
        <v>0</v>
      </c>
      <c r="GD98" s="1" t="n">
        <f aca="false">BF98/BF$9*100</f>
        <v>0</v>
      </c>
      <c r="GE98" s="1" t="n">
        <f aca="false">BG98/BG$9*100</f>
        <v>0</v>
      </c>
      <c r="GF98" s="1" t="n">
        <f aca="false">BI98/BI$9*100</f>
        <v>0</v>
      </c>
      <c r="GG98" s="1" t="n">
        <f aca="false">BJ98/BJ$9*100</f>
        <v>0</v>
      </c>
      <c r="GH98" s="1" t="n">
        <f aca="false">BL98/BL$9*100</f>
        <v>0</v>
      </c>
      <c r="GI98" s="1" t="n">
        <f aca="false">BM98/BM$9*100</f>
        <v>0</v>
      </c>
      <c r="GJ98" s="1" t="n">
        <f aca="false">BO98/BO$9*100</f>
        <v>0</v>
      </c>
      <c r="GK98" s="1" t="n">
        <f aca="false">BP98/BP$9*100</f>
        <v>0</v>
      </c>
      <c r="GL98" s="1" t="n">
        <f aca="false">BR98/BR$9*100</f>
        <v>0</v>
      </c>
      <c r="GM98" s="1" t="n">
        <f aca="false">BS98/BS$9*100</f>
        <v>0</v>
      </c>
      <c r="GO98" s="1" t="n">
        <f aca="false">$AM98</f>
        <v>87</v>
      </c>
      <c r="GP98" s="1" t="n">
        <f aca="false">FT98</f>
        <v>0</v>
      </c>
      <c r="GQ98" s="1" t="n">
        <f aca="false">GQ$6*(1+GQ$5*(-1)^$FQ98)*EXP(-$FQ98/GQ$4)</f>
        <v>1.6695321777594E-027</v>
      </c>
      <c r="GR98" s="1" t="n">
        <f aca="false">(GP98-GQ98)^2</f>
        <v>2.78733769257404E-054</v>
      </c>
      <c r="GS98" s="1" t="n">
        <f aca="false">EXP($FQ98/$JG$4)*GP98</f>
        <v>0</v>
      </c>
      <c r="GT98" s="1" t="n">
        <f aca="false">EXP($FQ98/$JG$4)*(-1)^$FQ98*GP98</f>
        <v>-0</v>
      </c>
      <c r="GU98" s="1" t="n">
        <f aca="false">(-1)^GO98*GP98</f>
        <v>-0</v>
      </c>
      <c r="GW98" s="1" t="n">
        <f aca="false">$AM98</f>
        <v>87</v>
      </c>
      <c r="GX98" s="1" t="n">
        <f aca="false">FX98</f>
        <v>0</v>
      </c>
      <c r="GY98" s="1" t="n">
        <f aca="false">GY$6*(1+GY$5*(-1)^$FQ98)*EXP(-$FQ98/GY$4)</f>
        <v>1.6695321777594E-027</v>
      </c>
      <c r="GZ98" s="1" t="n">
        <f aca="false">(GX98-GY98)^2</f>
        <v>2.78733769257404E-054</v>
      </c>
      <c r="HA98" s="1" t="n">
        <f aca="false">EXP($FQ98/$JG$4)*GX98</f>
        <v>0</v>
      </c>
      <c r="HB98" s="1" t="n">
        <f aca="false">EXP($FQ98/$JG$4)*(-1)^$FQ98*GX98</f>
        <v>-0</v>
      </c>
      <c r="HC98" s="1" t="n">
        <f aca="false">(-1)^GW98*GX98</f>
        <v>-0</v>
      </c>
      <c r="HE98" s="1" t="n">
        <f aca="false">$AM98</f>
        <v>87</v>
      </c>
      <c r="HF98" s="1" t="n">
        <f aca="false">GB98</f>
        <v>0</v>
      </c>
      <c r="HG98" s="1" t="n">
        <f aca="false">HG$6*(1+HG$5*(-1)^$FQ98)*EXP(-$FQ98/HG$4)</f>
        <v>1.6695321777594E-027</v>
      </c>
      <c r="HH98" s="1" t="n">
        <f aca="false">(HF98-HG98)^2</f>
        <v>2.78733769257404E-054</v>
      </c>
      <c r="HI98" s="1" t="n">
        <f aca="false">EXP($FQ98/$JG$4)*HF98</f>
        <v>0</v>
      </c>
      <c r="HJ98" s="1" t="n">
        <f aca="false">EXP($FQ98/$JG$4)*(-1)^$FQ98*HF98</f>
        <v>-0</v>
      </c>
      <c r="HK98" s="1" t="n">
        <f aca="false">(-1)^HE98*HF98</f>
        <v>-0</v>
      </c>
      <c r="HM98" s="1" t="n">
        <f aca="false">$AM98</f>
        <v>87</v>
      </c>
      <c r="HN98" s="1" t="n">
        <f aca="false">GF98</f>
        <v>0</v>
      </c>
      <c r="HO98" s="1" t="n">
        <f aca="false">HO$6*(1+HO$5*(-1)^$FQ98)*EXP(-$FQ98/HO$4)</f>
        <v>8.60170626174003E-022</v>
      </c>
      <c r="HP98" s="1" t="n">
        <f aca="false">(HN98-HO98)^2</f>
        <v>7.39893506132576E-043</v>
      </c>
      <c r="HQ98" s="1" t="n">
        <f aca="false">EXP($FQ98/$JG$4)*HN98</f>
        <v>0</v>
      </c>
      <c r="HR98" s="1" t="n">
        <f aca="false">EXP($FQ98/$JG$4)*(-1)^$FQ98*HN98</f>
        <v>-0</v>
      </c>
      <c r="HS98" s="1" t="n">
        <f aca="false">(-1)^HM98*HN98</f>
        <v>-0</v>
      </c>
      <c r="HU98" s="1" t="n">
        <f aca="false">$AM98</f>
        <v>87</v>
      </c>
      <c r="HV98" s="1" t="n">
        <f aca="false">GJ98</f>
        <v>0</v>
      </c>
      <c r="HW98" s="1" t="n">
        <f aca="false">HW$6*(1+HW$5*(-1)^$FQ98)*EXP(-$FQ98/HW$4)</f>
        <v>5.971926884752E-016</v>
      </c>
      <c r="HX98" s="1" t="n">
        <f aca="false">(HV98-HW98)^2</f>
        <v>3.56639107168237E-031</v>
      </c>
      <c r="HY98" s="1" t="n">
        <f aca="false">EXP($FQ98/$JG$4)*HV98</f>
        <v>0</v>
      </c>
      <c r="HZ98" s="1" t="n">
        <f aca="false">EXP($FQ98/$JG$4)*(-1)^$FQ98*HV98</f>
        <v>-0</v>
      </c>
      <c r="IA98" s="1" t="n">
        <f aca="false">(-1)^HU98*HV98</f>
        <v>-0</v>
      </c>
      <c r="ID98" s="1" t="n">
        <f aca="false">$AM98</f>
        <v>87</v>
      </c>
      <c r="IE98" s="1" t="n">
        <f aca="false">FZ98</f>
        <v>0</v>
      </c>
      <c r="IF98" s="1" t="n">
        <f aca="false">IF$6*(1+IF$5*(-1)^$FQ98)*EXP(-$FQ98/IF$4)</f>
        <v>7.22466598413117E-012</v>
      </c>
      <c r="IG98" s="1" t="n">
        <f aca="false">(IE98-IF98)^2</f>
        <v>5.2195798582262E-023</v>
      </c>
      <c r="IH98" s="1" t="n">
        <f aca="false">EXP($FQ98/$JG$4)*IE98</f>
        <v>0</v>
      </c>
      <c r="II98" s="1" t="n">
        <f aca="false">EXP($FQ98/$JG$4)*(-1)^$FQ98*IE98</f>
        <v>-0</v>
      </c>
      <c r="IJ98" s="1" t="n">
        <f aca="false">(-1)^ID98*IE98</f>
        <v>-0</v>
      </c>
      <c r="IK98" s="1" t="n">
        <v>0</v>
      </c>
      <c r="IM98" s="1" t="n">
        <f aca="false">$AM98</f>
        <v>87</v>
      </c>
      <c r="IN98" s="1" t="n">
        <f aca="false">GD98</f>
        <v>0</v>
      </c>
      <c r="IO98" s="1" t="n">
        <f aca="false">IO$6*(1+IO$5*(-1)^$FQ98)*EXP(-$FQ98/IO$4)</f>
        <v>3.52283080948125E-010</v>
      </c>
      <c r="IP98" s="1" t="n">
        <f aca="false">(IN98-IO98)^2</f>
        <v>1.24103369122303E-019</v>
      </c>
      <c r="IQ98" s="1" t="n">
        <f aca="false">EXP($FQ98/$JG$4)*IN98</f>
        <v>0</v>
      </c>
      <c r="IR98" s="1" t="n">
        <f aca="false">EXP($FQ98/$JG$4)*(-1)^$FQ98*IN98</f>
        <v>-0</v>
      </c>
      <c r="IS98" s="1" t="n">
        <f aca="false">(-1)^IM98*IN98</f>
        <v>-0</v>
      </c>
      <c r="IV98" s="1" t="n">
        <f aca="false">$AM98</f>
        <v>87</v>
      </c>
      <c r="IW98" s="1" t="n">
        <f aca="false">GH98</f>
        <v>0</v>
      </c>
      <c r="IX98" s="1" t="n">
        <f aca="false">IX$6*(1+IX$5*(-1)^$FQ98)*EXP(-$FQ98/IX$4)</f>
        <v>4.99357977001485E-007</v>
      </c>
      <c r="IY98" s="1" t="n">
        <f aca="false">(IW98-IX98)^2</f>
        <v>2.49358389195016E-013</v>
      </c>
      <c r="IZ98" s="1" t="n">
        <f aca="false">EXP($FQ98/$JG$4)*IW98</f>
        <v>0</v>
      </c>
      <c r="JA98" s="1" t="n">
        <f aca="false">EXP($FQ98/$JG$4)*(-1)^$FQ98*IW98</f>
        <v>-0</v>
      </c>
      <c r="JB98" s="1" t="n">
        <f aca="false">(-1)^IV98*IW98</f>
        <v>-0</v>
      </c>
      <c r="JE98" s="1" t="n">
        <f aca="false">$AM98</f>
        <v>87</v>
      </c>
      <c r="JF98" s="1" t="n">
        <f aca="false">GL98</f>
        <v>0</v>
      </c>
      <c r="JG98" s="1" t="n">
        <f aca="false">JG$6*(1+JG$5*(-1)^$FQ98)*EXP(-$FQ98/JG$4)</f>
        <v>1.13339460216314E-008</v>
      </c>
      <c r="JH98" s="1" t="n">
        <f aca="false">(JF98-JG98)^2</f>
        <v>1.28458332421254E-016</v>
      </c>
      <c r="JI98" s="1" t="n">
        <f aca="false">EXP($FQ98/$JG$4)*JF98</f>
        <v>0</v>
      </c>
      <c r="JJ98" s="1" t="n">
        <f aca="false">EXP($FQ98/$JG$4)*(-1)^$FQ98*JF98</f>
        <v>-0</v>
      </c>
      <c r="JK98" s="1" t="n">
        <f aca="false">(-1)^JE98*JF98</f>
        <v>-0</v>
      </c>
      <c r="JO98" s="1" t="n">
        <f aca="false">$AM98</f>
        <v>87</v>
      </c>
      <c r="JP98" s="1" t="n">
        <f aca="false">GM98</f>
        <v>0</v>
      </c>
      <c r="JQ98" s="1" t="n">
        <f aca="false">JQ$6*(1+JQ$5*(-1)^$FQ98)*EXP(-$FQ98/JQ$4)</f>
        <v>0.00260020699431814</v>
      </c>
      <c r="JR98" s="1" t="n">
        <f aca="false">(JP98-JQ98)^2</f>
        <v>6.76107641330098E-006</v>
      </c>
      <c r="JS98" s="1" t="n">
        <f aca="false">EXP($FQ98/$JG$4)*JP98</f>
        <v>0</v>
      </c>
      <c r="JT98" s="1" t="n">
        <f aca="false">EXP($FQ98/$JG$4)*(-1)^$FQ98*JP98</f>
        <v>-0</v>
      </c>
      <c r="JU98" s="1" t="n">
        <f aca="false">(-1)^JO98*JP98</f>
        <v>-0</v>
      </c>
    </row>
    <row r="99" customFormat="false" ht="16" hidden="false" customHeight="false" outlineLevel="0" collapsed="false">
      <c r="A99" s="1" t="n">
        <v>2</v>
      </c>
      <c r="B99" s="1" t="n">
        <v>2</v>
      </c>
      <c r="C99" s="1" t="n">
        <f aca="false">B99-A99</f>
        <v>0</v>
      </c>
      <c r="D99" s="1" t="n">
        <v>2</v>
      </c>
      <c r="E99" s="1" t="n">
        <v>2</v>
      </c>
      <c r="F99" s="1" t="n">
        <f aca="false">E99-D99</f>
        <v>0</v>
      </c>
      <c r="G99" s="1" t="n">
        <v>1</v>
      </c>
      <c r="H99" s="1" t="n">
        <v>1</v>
      </c>
      <c r="I99" s="1" t="n">
        <f aca="false">H99-G99</f>
        <v>0</v>
      </c>
      <c r="J99" s="1" t="n">
        <v>2</v>
      </c>
      <c r="K99" s="1" t="n">
        <v>2</v>
      </c>
      <c r="L99" s="1" t="n">
        <f aca="false">K99-J99</f>
        <v>0</v>
      </c>
      <c r="M99" s="1" t="n">
        <v>1</v>
      </c>
      <c r="N99" s="1" t="n">
        <v>2</v>
      </c>
      <c r="O99" s="1" t="n">
        <f aca="false">N99-M99</f>
        <v>1</v>
      </c>
      <c r="P99" s="1" t="n">
        <v>1</v>
      </c>
      <c r="Q99" s="1" t="n">
        <v>2</v>
      </c>
      <c r="R99" s="1" t="n">
        <f aca="false">Q99-P99</f>
        <v>1</v>
      </c>
      <c r="S99" s="1" t="n">
        <v>7</v>
      </c>
      <c r="T99" s="1" t="n">
        <v>13</v>
      </c>
      <c r="U99" s="1" t="n">
        <f aca="false">T99-S99</f>
        <v>6</v>
      </c>
      <c r="V99" s="1" t="n">
        <v>2</v>
      </c>
      <c r="W99" s="1" t="n">
        <v>2</v>
      </c>
      <c r="X99" s="1" t="n">
        <f aca="false">W99-V99</f>
        <v>0</v>
      </c>
      <c r="Y99" s="1" t="n">
        <v>6</v>
      </c>
      <c r="Z99" s="1" t="n">
        <v>10</v>
      </c>
      <c r="AA99" s="1" t="n">
        <f aca="false">Z99-Y99</f>
        <v>4</v>
      </c>
      <c r="AB99" s="1" t="n">
        <v>2</v>
      </c>
      <c r="AC99" s="1" t="n">
        <v>6</v>
      </c>
      <c r="AD99" s="1" t="n">
        <f aca="false">AC99-AB99</f>
        <v>4</v>
      </c>
      <c r="AE99" s="1" t="n">
        <v>2</v>
      </c>
      <c r="AF99" s="1" t="n">
        <v>2</v>
      </c>
      <c r="AG99" s="1" t="n">
        <f aca="false">AF99-AE99</f>
        <v>0</v>
      </c>
      <c r="AM99" s="1" t="n">
        <v>88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W99" s="1" t="n">
        <f aca="false">$AM99</f>
        <v>88</v>
      </c>
      <c r="BX99" s="1" t="n">
        <f aca="false">MAX(BX98-AN99/AN$9*100,0)</f>
        <v>0</v>
      </c>
      <c r="BY99" s="1" t="n">
        <f aca="false">MAX(BY98-AO99/AO$9*100,0)</f>
        <v>0</v>
      </c>
      <c r="BZ99" s="1" t="n">
        <f aca="false">MAX(BZ98-AQ99/AQ$9*100,0)</f>
        <v>0</v>
      </c>
      <c r="CA99" s="1" t="n">
        <f aca="false">MAX(CA98-AR99/AR$9*100,0)</f>
        <v>0</v>
      </c>
      <c r="CB99" s="1" t="n">
        <f aca="false">CB$7*EXP(-$AM99/CB$8)</f>
        <v>4.8583769924381E-048</v>
      </c>
      <c r="CC99" s="1" t="n">
        <f aca="false">(BZ99-CB99)^2</f>
        <v>2.36038270006519E-095</v>
      </c>
      <c r="CD99" s="1" t="n">
        <f aca="false">MAX(CD98-AT99/AT$9*100,0)</f>
        <v>0</v>
      </c>
      <c r="CE99" s="1" t="n">
        <f aca="false">MAX(CE98-AU99/AU$9*100,0)</f>
        <v>5.32907051820075E-015</v>
      </c>
      <c r="CF99" s="1" t="n">
        <f aca="false">CF$7*EXP(-$AM99/CF$8)</f>
        <v>8.77080471081209E-047</v>
      </c>
      <c r="CG99" s="1" t="n">
        <f aca="false">(CD99-CF99)^2</f>
        <v>7.69270152752036E-093</v>
      </c>
      <c r="CH99" s="1" t="n">
        <f aca="false">$AM99</f>
        <v>88</v>
      </c>
      <c r="CI99" s="1" t="n">
        <f aca="false">MAX(CI98-AW99/AW$9*100,0)</f>
        <v>0</v>
      </c>
      <c r="CJ99" s="1" t="n">
        <f aca="false">MAX(CJ98-AX99/AX$9*100,0)</f>
        <v>0</v>
      </c>
      <c r="CK99" s="1" t="n">
        <f aca="false">CK$7*EXP(-$AM99/CK$8)</f>
        <v>3.85066638152452E-031</v>
      </c>
      <c r="CL99" s="1" t="n">
        <f aca="false">(CI99-CK99)^2</f>
        <v>1.48276315818031E-061</v>
      </c>
      <c r="CM99" s="1" t="n">
        <f aca="false">MAX(CM98-AZ99/AZ$9*100,0)</f>
        <v>0</v>
      </c>
      <c r="CN99" s="1" t="n">
        <f aca="false">MAX(CN98-BA99/BA$9*100,0)</f>
        <v>5.32907051820075E-015</v>
      </c>
      <c r="CO99" s="1" t="n">
        <f aca="false">CO$7*EXP(-$AM99/CO$8)</f>
        <v>5.62152737238994E-017</v>
      </c>
      <c r="CP99" s="1" t="n">
        <f aca="false">(CM99-CO99)^2</f>
        <v>3.16015699985293E-033</v>
      </c>
      <c r="CQ99" s="1" t="n">
        <f aca="false">$AM99</f>
        <v>88</v>
      </c>
      <c r="CR99" s="1" t="n">
        <f aca="false">MAX(CR98-BC99/BC$9*100,0)</f>
        <v>0</v>
      </c>
      <c r="CS99" s="1" t="n">
        <f aca="false">MAX(CS98-BD99/BD$9*100,0)</f>
        <v>0</v>
      </c>
      <c r="CT99" s="1" t="n">
        <f aca="false">CT$7*EXP(-$AM99/CT$8)</f>
        <v>1.18705637470745E-028</v>
      </c>
      <c r="CU99" s="1" t="n">
        <f aca="false">(CR99-CT99)^2</f>
        <v>1.40910283673359E-056</v>
      </c>
      <c r="CV99" s="1" t="n">
        <f aca="false">MAX(CV98-BF99/BF$9*100,0)</f>
        <v>8.88178419700125E-015</v>
      </c>
      <c r="CW99" s="1" t="n">
        <f aca="false">MAX(CW98-BG99/BG$9*100,0)</f>
        <v>5.32907051820075E-015</v>
      </c>
      <c r="CX99" s="1" t="n">
        <f aca="false">CX$7*EXP(-$AM99/CX$8)</f>
        <v>2.17351818208118E-014</v>
      </c>
      <c r="CY99" s="1" t="n">
        <f aca="false">(CV99-CX99)^2</f>
        <v>1.65209830475779E-028</v>
      </c>
      <c r="CZ99" s="1" t="n">
        <f aca="false">$AM99</f>
        <v>88</v>
      </c>
      <c r="DA99" s="1" t="n">
        <f aca="false">MAX(DA98-BI99/BI$9*100,0)</f>
        <v>0</v>
      </c>
      <c r="DB99" s="1" t="n">
        <f aca="false">MAX(DB98-BJ99/BJ$9*100,0)</f>
        <v>9.88098491916389E-015</v>
      </c>
      <c r="DC99" s="1" t="n">
        <f aca="false">DC$7*EXP(-$AM99/DC$8)</f>
        <v>2.03157141721089E-026</v>
      </c>
      <c r="DD99" s="1" t="n">
        <f aca="false">(DA99-DC99)^2</f>
        <v>4.12728242322826E-052</v>
      </c>
      <c r="DE99" s="1" t="n">
        <f aca="false">MAX(DE98-BL99/BL$9*100,0)</f>
        <v>0</v>
      </c>
      <c r="DF99" s="1" t="n">
        <f aca="false">MAX(DF98-BM99/BM$9*100,0)</f>
        <v>0</v>
      </c>
      <c r="DG99" s="1" t="n">
        <f aca="false">DG$7*EXP(-$AM99/DG$8)</f>
        <v>3.36130905190705E-008</v>
      </c>
      <c r="DH99" s="1" t="n">
        <f aca="false">(DE99-DG99)^2</f>
        <v>1.12983985424323E-015</v>
      </c>
      <c r="DI99" s="1" t="n">
        <f aca="false">$AM99</f>
        <v>88</v>
      </c>
      <c r="DJ99" s="1" t="n">
        <f aca="false">MAX(DJ98-BO99/BO$9*100,0)</f>
        <v>0</v>
      </c>
      <c r="DK99" s="1" t="n">
        <f aca="false">MAX(DK98-BP99/BP$9*100,0)</f>
        <v>9.99200722162641E-015</v>
      </c>
      <c r="DL99" s="1" t="n">
        <f aca="false">DL$7*EXP(-$AM99/DL$8)</f>
        <v>5.36436108013666E-022</v>
      </c>
      <c r="DM99" s="1" t="n">
        <f aca="false">(DJ99-DL99)^2</f>
        <v>2.8776369798085E-043</v>
      </c>
      <c r="DN99" s="1" t="n">
        <f aca="false">MAX(DN98-BR99/BR$9*100,0)</f>
        <v>0</v>
      </c>
      <c r="DO99" s="1" t="n">
        <f aca="false">MAX(DO98-BS99/BS$9*100,0)</f>
        <v>0</v>
      </c>
      <c r="DP99" s="1" t="n">
        <f aca="false">DP$7*EXP(-$AM99/DP$8)</f>
        <v>1.81867535909872E-009</v>
      </c>
      <c r="DQ99" s="1" t="n">
        <f aca="false">(DN99-DP99)^2</f>
        <v>3.30758006179286E-018</v>
      </c>
      <c r="DS99" s="1" t="n">
        <f aca="false">$AM99</f>
        <v>88</v>
      </c>
      <c r="DT99" s="1" t="n">
        <f aca="false">CA99</f>
        <v>0</v>
      </c>
      <c r="DU99" s="1" t="n">
        <f aca="false">DU$7*EXP(-DS99/DU$8)</f>
        <v>6.49046547513298E-038</v>
      </c>
      <c r="DV99" s="1" t="n">
        <f aca="false">(DT99-DU99)^2</f>
        <v>4.21261420838932E-075</v>
      </c>
      <c r="DX99" s="1" t="n">
        <f aca="false">$AM99</f>
        <v>88</v>
      </c>
      <c r="DY99" s="1" t="n">
        <f aca="false">CM99</f>
        <v>0</v>
      </c>
      <c r="DZ99" s="1" t="n">
        <f aca="false">DZ$7*EXP(-DX99/DZ$8)</f>
        <v>5.34464243808743E-020</v>
      </c>
      <c r="EA99" s="1" t="n">
        <f aca="false">(DY99-DZ99)^2</f>
        <v>2.85652027910051E-039</v>
      </c>
      <c r="EC99" s="1" t="n">
        <f aca="false">$AM99</f>
        <v>88</v>
      </c>
      <c r="ED99" s="1" t="n">
        <f aca="false">CV99</f>
        <v>8.88178419700125E-015</v>
      </c>
      <c r="EE99" s="1" t="n">
        <f aca="false">EE$7*EXP(-EC99/EE$8)</f>
        <v>2.90564632967854E-015</v>
      </c>
      <c r="EF99" s="1" t="n">
        <f aca="false">(ED99-EE99)^2</f>
        <v>3.57142238092485E-029</v>
      </c>
      <c r="EH99" s="1" t="n">
        <f aca="false">$AM99</f>
        <v>88</v>
      </c>
      <c r="EI99" s="1" t="n">
        <f aca="false">DE99</f>
        <v>0</v>
      </c>
      <c r="EJ99" s="1" t="n">
        <f aca="false">EJ$7*EXP(-EH99/EJ$8)</f>
        <v>3.34736171144271E-008</v>
      </c>
      <c r="EK99" s="1" t="n">
        <f aca="false">(EI99-EJ99)^2</f>
        <v>1.12048304272327E-015</v>
      </c>
      <c r="EM99" s="1" t="n">
        <f aca="false">AM99</f>
        <v>88</v>
      </c>
      <c r="EN99" s="1" t="n">
        <f aca="false">DN99</f>
        <v>0</v>
      </c>
      <c r="EO99" s="1" t="n">
        <f aca="false">EO$7*EXP(-EM99/EO$8)</f>
        <v>4.05994139439982E-009</v>
      </c>
      <c r="EP99" s="1" t="n">
        <f aca="false">(EN99-EO99)^2</f>
        <v>1.64831241259612E-017</v>
      </c>
      <c r="ER99" s="1" t="n">
        <f aca="false">$AM99</f>
        <v>88</v>
      </c>
      <c r="ES99" s="1" t="n">
        <f aca="false">BZ99</f>
        <v>0</v>
      </c>
      <c r="ET99" s="1" t="n">
        <f aca="false">ET$7*EXP(-ER99/ET$8)</f>
        <v>5.82014678767137E-044</v>
      </c>
      <c r="EU99" s="1" t="n">
        <f aca="false">(ES99-ET99)^2</f>
        <v>3.38741086300414E-087</v>
      </c>
      <c r="EW99" s="1" t="n">
        <f aca="false">$AM99</f>
        <v>88</v>
      </c>
      <c r="EX99" s="1" t="n">
        <f aca="false">CI99</f>
        <v>0</v>
      </c>
      <c r="EY99" s="1" t="n">
        <f aca="false">EY$7*EXP(-EW99/EY$8)</f>
        <v>2.4629633209605E-040</v>
      </c>
      <c r="EZ99" s="1" t="n">
        <f aca="false">(EX99-EY99)^2</f>
        <v>6.06618832039678E-080</v>
      </c>
      <c r="FB99" s="1" t="n">
        <f aca="false">$AM99</f>
        <v>88</v>
      </c>
      <c r="FC99" s="1" t="n">
        <f aca="false">CR99</f>
        <v>0</v>
      </c>
      <c r="FD99" s="1" t="n">
        <f aca="false">FD$7*EXP(-FB99/FD$8)</f>
        <v>7.11879162591973E-035</v>
      </c>
      <c r="FE99" s="1" t="n">
        <f aca="false">(FC99-FD99)^2</f>
        <v>5.06771942132649E-069</v>
      </c>
      <c r="FG99" s="1" t="n">
        <f aca="false">$AM99</f>
        <v>88</v>
      </c>
      <c r="FH99" s="1" t="n">
        <f aca="false">DA99</f>
        <v>0</v>
      </c>
      <c r="FI99" s="1" t="n">
        <f aca="false">FI$7*EXP(-FG99/FI$8)</f>
        <v>4.83570406282619E-030</v>
      </c>
      <c r="FJ99" s="1" t="n">
        <f aca="false">(FH99-FI99)^2</f>
        <v>2.33840337832337E-059</v>
      </c>
      <c r="FL99" s="1" t="n">
        <f aca="false">EM99</f>
        <v>88</v>
      </c>
      <c r="FM99" s="1" t="n">
        <f aca="false">DJ99</f>
        <v>0</v>
      </c>
      <c r="FN99" s="1" t="n">
        <f aca="false">FN$7*EXP(-FL99/FN$8)</f>
        <v>5.64727993748123E-024</v>
      </c>
      <c r="FO99" s="1" t="n">
        <f aca="false">(FM99-FN99)^2</f>
        <v>3.1891770692278E-047</v>
      </c>
      <c r="FQ99" s="1" t="n">
        <f aca="false">AM99</f>
        <v>88</v>
      </c>
      <c r="FR99" s="1" t="n">
        <f aca="false">AN99/AN$9*100</f>
        <v>0</v>
      </c>
      <c r="FS99" s="1" t="n">
        <f aca="false">AO99/AO$9*100</f>
        <v>0</v>
      </c>
      <c r="FT99" s="1" t="n">
        <f aca="false">AQ99/AQ$9*100</f>
        <v>0</v>
      </c>
      <c r="FU99" s="1" t="n">
        <f aca="false">AR99/AR$9*100</f>
        <v>0</v>
      </c>
      <c r="FV99" s="1" t="n">
        <f aca="false">AT99/AT$9*100</f>
        <v>0</v>
      </c>
      <c r="FW99" s="1" t="n">
        <f aca="false">AU99/AU$9*100</f>
        <v>0</v>
      </c>
      <c r="FX99" s="1" t="n">
        <f aca="false">AW99/AW$9*100</f>
        <v>0</v>
      </c>
      <c r="FY99" s="1" t="n">
        <f aca="false">AX99/AX$9*100</f>
        <v>0</v>
      </c>
      <c r="FZ99" s="1" t="n">
        <f aca="false">AZ99/AZ$9*100</f>
        <v>0</v>
      </c>
      <c r="GA99" s="1" t="n">
        <f aca="false">BA99/BA$9*100</f>
        <v>0</v>
      </c>
      <c r="GB99" s="1" t="n">
        <f aca="false">BC99/BC$9*100</f>
        <v>0</v>
      </c>
      <c r="GC99" s="1" t="n">
        <f aca="false">BD99/BD$9*100</f>
        <v>0</v>
      </c>
      <c r="GD99" s="1" t="n">
        <f aca="false">BF99/BF$9*100</f>
        <v>0</v>
      </c>
      <c r="GE99" s="1" t="n">
        <f aca="false">BG99/BG$9*100</f>
        <v>0</v>
      </c>
      <c r="GF99" s="1" t="n">
        <f aca="false">BI99/BI$9*100</f>
        <v>0</v>
      </c>
      <c r="GG99" s="1" t="n">
        <f aca="false">BJ99/BJ$9*100</f>
        <v>0</v>
      </c>
      <c r="GH99" s="1" t="n">
        <f aca="false">BL99/BL$9*100</f>
        <v>0</v>
      </c>
      <c r="GI99" s="1" t="n">
        <f aca="false">BM99/BM$9*100</f>
        <v>0</v>
      </c>
      <c r="GJ99" s="1" t="n">
        <f aca="false">BO99/BO$9*100</f>
        <v>0</v>
      </c>
      <c r="GK99" s="1" t="n">
        <f aca="false">BP99/BP$9*100</f>
        <v>0</v>
      </c>
      <c r="GL99" s="1" t="n">
        <f aca="false">BR99/BR$9*100</f>
        <v>0</v>
      </c>
      <c r="GM99" s="1" t="n">
        <f aca="false">BS99/BS$9*100</f>
        <v>0</v>
      </c>
      <c r="GO99" s="1" t="n">
        <f aca="false">$AM99</f>
        <v>88</v>
      </c>
      <c r="GP99" s="1" t="n">
        <f aca="false">FT99</f>
        <v>0</v>
      </c>
      <c r="GQ99" s="1" t="n">
        <f aca="false">GQ$6*(1+GQ$5*(-1)^$FQ99)*EXP(-$FQ99/GQ$4)</f>
        <v>2.28665115553111E-027</v>
      </c>
      <c r="GR99" s="1" t="n">
        <f aca="false">(GP99-GQ99)^2</f>
        <v>5.22877350709176E-054</v>
      </c>
      <c r="GS99" s="1" t="n">
        <f aca="false">EXP($FQ99/$JG$4)*GP99</f>
        <v>0</v>
      </c>
      <c r="GT99" s="1" t="n">
        <f aca="false">EXP($FQ99/$JG$4)*(-1)^$FQ99*GP99</f>
        <v>0</v>
      </c>
      <c r="GU99" s="1" t="n">
        <f aca="false">(-1)^GO99*GP99</f>
        <v>0</v>
      </c>
      <c r="GW99" s="1" t="n">
        <f aca="false">$AM99</f>
        <v>88</v>
      </c>
      <c r="GX99" s="1" t="n">
        <f aca="false">FX99</f>
        <v>0</v>
      </c>
      <c r="GY99" s="1" t="n">
        <f aca="false">GY$6*(1+GY$5*(-1)^$FQ99)*EXP(-$FQ99/GY$4)</f>
        <v>2.28665115553111E-027</v>
      </c>
      <c r="GZ99" s="1" t="n">
        <f aca="false">(GX99-GY99)^2</f>
        <v>5.22877350709176E-054</v>
      </c>
      <c r="HA99" s="1" t="n">
        <f aca="false">EXP($FQ99/$JG$4)*GX99</f>
        <v>0</v>
      </c>
      <c r="HB99" s="1" t="n">
        <f aca="false">EXP($FQ99/$JG$4)*(-1)^$FQ99*GX99</f>
        <v>0</v>
      </c>
      <c r="HC99" s="1" t="n">
        <f aca="false">(-1)^GW99*GX99</f>
        <v>0</v>
      </c>
      <c r="HE99" s="1" t="n">
        <f aca="false">$AM99</f>
        <v>88</v>
      </c>
      <c r="HF99" s="1" t="n">
        <f aca="false">GB99</f>
        <v>0</v>
      </c>
      <c r="HG99" s="1" t="n">
        <f aca="false">HG$6*(1+HG$5*(-1)^$FQ99)*EXP(-$FQ99/HG$4)</f>
        <v>2.28665115553111E-027</v>
      </c>
      <c r="HH99" s="1" t="n">
        <f aca="false">(HF99-HG99)^2</f>
        <v>5.22877350709176E-054</v>
      </c>
      <c r="HI99" s="1" t="n">
        <f aca="false">EXP($FQ99/$JG$4)*HF99</f>
        <v>0</v>
      </c>
      <c r="HJ99" s="1" t="n">
        <f aca="false">EXP($FQ99/$JG$4)*(-1)^$FQ99*HF99</f>
        <v>0</v>
      </c>
      <c r="HK99" s="1" t="n">
        <f aca="false">(-1)^HE99*HF99</f>
        <v>0</v>
      </c>
      <c r="HM99" s="1" t="n">
        <f aca="false">$AM99</f>
        <v>88</v>
      </c>
      <c r="HN99" s="1" t="n">
        <f aca="false">GF99</f>
        <v>0</v>
      </c>
      <c r="HO99" s="1" t="n">
        <f aca="false">HO$6*(1+HO$5*(-1)^$FQ99)*EXP(-$FQ99/HO$4)</f>
        <v>2.15312567188872E-021</v>
      </c>
      <c r="HP99" s="1" t="n">
        <f aca="false">(HN99-HO99)^2</f>
        <v>4.63595015894625E-042</v>
      </c>
      <c r="HQ99" s="1" t="n">
        <f aca="false">EXP($FQ99/$JG$4)*HN99</f>
        <v>0</v>
      </c>
      <c r="HR99" s="1" t="n">
        <f aca="false">EXP($FQ99/$JG$4)*(-1)^$FQ99*HN99</f>
        <v>0</v>
      </c>
      <c r="HS99" s="1" t="n">
        <f aca="false">(-1)^HM99*HN99</f>
        <v>0</v>
      </c>
      <c r="HU99" s="1" t="n">
        <f aca="false">$AM99</f>
        <v>88</v>
      </c>
      <c r="HV99" s="1" t="n">
        <f aca="false">GJ99</f>
        <v>0</v>
      </c>
      <c r="HW99" s="1" t="n">
        <f aca="false">HW$6*(1+HW$5*(-1)^$FQ99)*EXP(-$FQ99/HW$4)</f>
        <v>1.15098598829634E-015</v>
      </c>
      <c r="HX99" s="1" t="n">
        <f aca="false">(HV99-HW99)^2</f>
        <v>1.3247687452545E-030</v>
      </c>
      <c r="HY99" s="1" t="n">
        <f aca="false">EXP($FQ99/$JG$4)*HV99</f>
        <v>0</v>
      </c>
      <c r="HZ99" s="1" t="n">
        <f aca="false">EXP($FQ99/$JG$4)*(-1)^$FQ99*HV99</f>
        <v>0</v>
      </c>
      <c r="IA99" s="1" t="n">
        <f aca="false">(-1)^HU99*HV99</f>
        <v>0</v>
      </c>
      <c r="ID99" s="1" t="n">
        <f aca="false">$AM99</f>
        <v>88</v>
      </c>
      <c r="IE99" s="1" t="n">
        <f aca="false">FZ99</f>
        <v>0</v>
      </c>
      <c r="IF99" s="1" t="n">
        <f aca="false">IF$6*(1+IF$5*(-1)^$FQ99)*EXP(-$FQ99/IF$4)</f>
        <v>1.00488870435426E-011</v>
      </c>
      <c r="IG99" s="1" t="n">
        <f aca="false">(IE99-IF99)^2</f>
        <v>1.00980130813878E-022</v>
      </c>
      <c r="IH99" s="1" t="n">
        <f aca="false">EXP($FQ99/$JG$4)*IE99</f>
        <v>0</v>
      </c>
      <c r="II99" s="1" t="n">
        <f aca="false">EXP($FQ99/$JG$4)*(-1)^$FQ99*IE99</f>
        <v>0</v>
      </c>
      <c r="IJ99" s="1" t="n">
        <f aca="false">(-1)^ID99*IE99</f>
        <v>0</v>
      </c>
      <c r="IK99" s="1" t="n">
        <v>0</v>
      </c>
      <c r="IM99" s="1" t="n">
        <f aca="false">$AM99</f>
        <v>88</v>
      </c>
      <c r="IN99" s="1" t="n">
        <f aca="false">GD99</f>
        <v>0</v>
      </c>
      <c r="IO99" s="1" t="n">
        <f aca="false">IO$6*(1+IO$5*(-1)^$FQ99)*EXP(-$FQ99/IO$4)</f>
        <v>5.75688648272942E-010</v>
      </c>
      <c r="IP99" s="1" t="n">
        <f aca="false">(IN99-IO99)^2</f>
        <v>3.31417419750327E-019</v>
      </c>
      <c r="IQ99" s="1" t="n">
        <f aca="false">EXP($FQ99/$JG$4)*IN99</f>
        <v>0</v>
      </c>
      <c r="IR99" s="1" t="n">
        <f aca="false">EXP($FQ99/$JG$4)*(-1)^$FQ99*IN99</f>
        <v>0</v>
      </c>
      <c r="IS99" s="1" t="n">
        <f aca="false">(-1)^IM99*IN99</f>
        <v>0</v>
      </c>
      <c r="IV99" s="1" t="n">
        <f aca="false">$AM99</f>
        <v>88</v>
      </c>
      <c r="IW99" s="1" t="n">
        <f aca="false">GH99</f>
        <v>0</v>
      </c>
      <c r="IX99" s="1" t="n">
        <f aca="false">IX$6*(1+IX$5*(-1)^$FQ99)*EXP(-$FQ99/IX$4)</f>
        <v>1.59774361222354E-006</v>
      </c>
      <c r="IY99" s="1" t="n">
        <f aca="false">(IW99-IX99)^2</f>
        <v>2.55278465040113E-012</v>
      </c>
      <c r="IZ99" s="1" t="n">
        <f aca="false">EXP($FQ99/$JG$4)*IW99</f>
        <v>0</v>
      </c>
      <c r="JA99" s="1" t="n">
        <f aca="false">EXP($FQ99/$JG$4)*(-1)^$FQ99*IW99</f>
        <v>0</v>
      </c>
      <c r="JB99" s="1" t="n">
        <f aca="false">(-1)^IV99*IW99</f>
        <v>0</v>
      </c>
      <c r="JE99" s="1" t="n">
        <f aca="false">$AM99</f>
        <v>88</v>
      </c>
      <c r="JF99" s="1" t="n">
        <f aca="false">GL99</f>
        <v>0</v>
      </c>
      <c r="JG99" s="1" t="n">
        <f aca="false">JG$6*(1+JG$5*(-1)^$FQ99)*EXP(-$FQ99/JG$4)</f>
        <v>5.87440752893754E-008</v>
      </c>
      <c r="JH99" s="1" t="n">
        <f aca="false">(JF99-JG99)^2</f>
        <v>3.45086638160381E-015</v>
      </c>
      <c r="JI99" s="1" t="n">
        <f aca="false">EXP($FQ99/$JG$4)*JF99</f>
        <v>0</v>
      </c>
      <c r="JJ99" s="1" t="n">
        <f aca="false">EXP($FQ99/$JG$4)*(-1)^$FQ99*JF99</f>
        <v>0</v>
      </c>
      <c r="JK99" s="1" t="n">
        <f aca="false">(-1)^JE99*JF99</f>
        <v>0</v>
      </c>
      <c r="JO99" s="1" t="n">
        <f aca="false">$AM99</f>
        <v>88</v>
      </c>
      <c r="JP99" s="1" t="n">
        <f aca="false">GM99</f>
        <v>0</v>
      </c>
      <c r="JQ99" s="1" t="n">
        <f aca="false">JQ$6*(1+JQ$5*(-1)^$FQ99)*EXP(-$FQ99/JQ$4)</f>
        <v>0.0126015412973307</v>
      </c>
      <c r="JR99" s="1" t="n">
        <f aca="false">(JP99-JQ99)^2</f>
        <v>0.000158798843068331</v>
      </c>
      <c r="JS99" s="1" t="n">
        <f aca="false">EXP($FQ99/$JG$4)*JP99</f>
        <v>0</v>
      </c>
      <c r="JT99" s="1" t="n">
        <f aca="false">EXP($FQ99/$JG$4)*(-1)^$FQ99*JP99</f>
        <v>0</v>
      </c>
      <c r="JU99" s="1" t="n">
        <f aca="false">(-1)^JO99*JP99</f>
        <v>0</v>
      </c>
    </row>
    <row r="100" customFormat="false" ht="16" hidden="false" customHeight="false" outlineLevel="0" collapsed="false">
      <c r="A100" s="1" t="n">
        <v>1</v>
      </c>
      <c r="B100" s="1" t="n">
        <v>1</v>
      </c>
      <c r="C100" s="1" t="n">
        <f aca="false">B100-A100</f>
        <v>0</v>
      </c>
      <c r="D100" s="1" t="n">
        <v>1</v>
      </c>
      <c r="E100" s="1" t="n">
        <v>3</v>
      </c>
      <c r="F100" s="1" t="n">
        <f aca="false">E100-D100</f>
        <v>2</v>
      </c>
      <c r="G100" s="1" t="n">
        <v>2</v>
      </c>
      <c r="H100" s="1" t="n">
        <v>2</v>
      </c>
      <c r="I100" s="1" t="n">
        <f aca="false">H100-G100</f>
        <v>0</v>
      </c>
      <c r="J100" s="1" t="n">
        <v>1</v>
      </c>
      <c r="K100" s="1" t="n">
        <v>1</v>
      </c>
      <c r="L100" s="1" t="n">
        <f aca="false">K100-J100</f>
        <v>0</v>
      </c>
      <c r="M100" s="1" t="n">
        <v>6</v>
      </c>
      <c r="N100" s="1" t="n">
        <v>6</v>
      </c>
      <c r="O100" s="1" t="n">
        <f aca="false">N100-M100</f>
        <v>0</v>
      </c>
      <c r="P100" s="1" t="n">
        <v>2</v>
      </c>
      <c r="Q100" s="1" t="n">
        <v>2</v>
      </c>
      <c r="R100" s="1" t="n">
        <f aca="false">Q100-P100</f>
        <v>0</v>
      </c>
      <c r="S100" s="1" t="n">
        <v>4</v>
      </c>
      <c r="T100" s="1" t="n">
        <v>6</v>
      </c>
      <c r="U100" s="1" t="n">
        <f aca="false">T100-S100</f>
        <v>2</v>
      </c>
      <c r="V100" s="1" t="n">
        <v>2</v>
      </c>
      <c r="W100" s="1" t="n">
        <v>4</v>
      </c>
      <c r="X100" s="1" t="n">
        <f aca="false">W100-V100</f>
        <v>2</v>
      </c>
      <c r="Y100" s="1" t="n">
        <v>4</v>
      </c>
      <c r="Z100" s="1" t="n">
        <v>8</v>
      </c>
      <c r="AA100" s="1" t="n">
        <f aca="false">Z100-Y100</f>
        <v>4</v>
      </c>
      <c r="AB100" s="1" t="n">
        <v>1</v>
      </c>
      <c r="AC100" s="1" t="n">
        <v>3</v>
      </c>
      <c r="AD100" s="1" t="n">
        <f aca="false">AC100-AB100</f>
        <v>2</v>
      </c>
      <c r="AE100" s="1" t="n">
        <v>12</v>
      </c>
      <c r="AF100" s="1" t="n">
        <v>20</v>
      </c>
      <c r="AG100" s="1" t="n">
        <f aca="false">AF100-AE100</f>
        <v>8</v>
      </c>
      <c r="AM100" s="1" t="n">
        <v>89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W100" s="1" t="n">
        <f aca="false">$AM100</f>
        <v>89</v>
      </c>
      <c r="BX100" s="1" t="n">
        <f aca="false">MAX(BX99-AN100/AN$9*100,0)</f>
        <v>0</v>
      </c>
      <c r="BY100" s="1" t="n">
        <f aca="false">MAX(BY99-AO100/AO$9*100,0)</f>
        <v>0</v>
      </c>
      <c r="BZ100" s="1" t="n">
        <f aca="false">MAX(BZ99-AQ100/AQ$9*100,0)</f>
        <v>0</v>
      </c>
      <c r="CA100" s="1" t="n">
        <f aca="false">MAX(CA99-AR100/AR$9*100,0)</f>
        <v>0</v>
      </c>
      <c r="CB100" s="1" t="n">
        <f aca="false">CB$7*EXP(-$AM100/CB$8)</f>
        <v>1.3257828713557E-048</v>
      </c>
      <c r="CC100" s="1" t="n">
        <f aca="false">(BZ100-CB100)^2</f>
        <v>1.75770022198016E-096</v>
      </c>
      <c r="CD100" s="1" t="n">
        <f aca="false">MAX(CD99-AT100/AT$9*100,0)</f>
        <v>0</v>
      </c>
      <c r="CE100" s="1" t="n">
        <f aca="false">MAX(CE99-AU100/AU$9*100,0)</f>
        <v>5.32907051820075E-015</v>
      </c>
      <c r="CF100" s="1" t="n">
        <f aca="false">CF$7*EXP(-$AM100/CF$8)</f>
        <v>2.47342981023427E-047</v>
      </c>
      <c r="CG100" s="1" t="n">
        <f aca="false">(CD100-CF100)^2</f>
        <v>6.11785502615554E-094</v>
      </c>
      <c r="CH100" s="1" t="n">
        <f aca="false">$AM100</f>
        <v>89</v>
      </c>
      <c r="CI100" s="1" t="n">
        <f aca="false">MAX(CI99-AW100/AW$9*100,0)</f>
        <v>0</v>
      </c>
      <c r="CJ100" s="1" t="n">
        <f aca="false">MAX(CJ99-AX100/AX$9*100,0)</f>
        <v>0</v>
      </c>
      <c r="CK100" s="1" t="n">
        <f aca="false">CK$7*EXP(-$AM100/CK$8)</f>
        <v>1.63811364723665E-031</v>
      </c>
      <c r="CL100" s="1" t="n">
        <f aca="false">(CI100-CK100)^2</f>
        <v>2.68341632126296E-062</v>
      </c>
      <c r="CM100" s="1" t="n">
        <f aca="false">MAX(CM99-AZ100/AZ$9*100,0)</f>
        <v>0</v>
      </c>
      <c r="CN100" s="1" t="n">
        <f aca="false">MAX(CN99-BA100/BA$9*100,0)</f>
        <v>5.32907051820075E-015</v>
      </c>
      <c r="CO100" s="1" t="n">
        <f aca="false">CO$7*EXP(-$AM100/CO$8)</f>
        <v>3.47583302828774E-017</v>
      </c>
      <c r="CP100" s="1" t="n">
        <f aca="false">(CM100-CO100)^2</f>
        <v>1.20814152405359E-033</v>
      </c>
      <c r="CQ100" s="1" t="n">
        <f aca="false">$AM100</f>
        <v>89</v>
      </c>
      <c r="CR100" s="1" t="n">
        <f aca="false">MAX(CR99-BC100/BC$9*100,0)</f>
        <v>0</v>
      </c>
      <c r="CS100" s="1" t="n">
        <f aca="false">MAX(CS99-BD100/BD$9*100,0)</f>
        <v>0</v>
      </c>
      <c r="CT100" s="1" t="n">
        <f aca="false">CT$7*EXP(-$AM100/CT$8)</f>
        <v>5.40141051598583E-029</v>
      </c>
      <c r="CU100" s="1" t="n">
        <f aca="false">(CR100-CT100)^2</f>
        <v>2.91752355622023E-057</v>
      </c>
      <c r="CV100" s="1" t="n">
        <f aca="false">MAX(CV99-BF100/BF$9*100,0)</f>
        <v>8.88178419700125E-015</v>
      </c>
      <c r="CW100" s="1" t="n">
        <f aca="false">MAX(CW99-BG100/BG$9*100,0)</f>
        <v>5.32907051820075E-015</v>
      </c>
      <c r="CX100" s="1" t="n">
        <f aca="false">CX$7*EXP(-$AM100/CX$8)</f>
        <v>1.43781413176709E-014</v>
      </c>
      <c r="CY100" s="1" t="n">
        <f aca="false">(CV100-CX100)^2</f>
        <v>3.02099415979359E-029</v>
      </c>
      <c r="CZ100" s="1" t="n">
        <f aca="false">$AM100</f>
        <v>89</v>
      </c>
      <c r="DA100" s="1" t="n">
        <f aca="false">MAX(DA99-BI100/BI$9*100,0)</f>
        <v>0</v>
      </c>
      <c r="DB100" s="1" t="n">
        <f aca="false">MAX(DB99-BJ100/BJ$9*100,0)</f>
        <v>9.88098491916389E-015</v>
      </c>
      <c r="DC100" s="1" t="n">
        <f aca="false">DC$7*EXP(-$AM100/DC$8)</f>
        <v>9.79103994800865E-027</v>
      </c>
      <c r="DD100" s="1" t="n">
        <f aca="false">(DA100-DC100)^2</f>
        <v>9.58644632635012E-053</v>
      </c>
      <c r="DE100" s="1" t="n">
        <f aca="false">MAX(DE99-BL100/BL$9*100,0)</f>
        <v>0</v>
      </c>
      <c r="DF100" s="1" t="n">
        <f aca="false">MAX(DF99-BM100/BM$9*100,0)</f>
        <v>0</v>
      </c>
      <c r="DG100" s="1" t="n">
        <f aca="false">DG$7*EXP(-$AM100/DG$8)</f>
        <v>2.61779012177022E-008</v>
      </c>
      <c r="DH100" s="1" t="n">
        <f aca="false">(DE100-DG100)^2</f>
        <v>6.85282512163774E-016</v>
      </c>
      <c r="DI100" s="1" t="n">
        <f aca="false">$AM100</f>
        <v>89</v>
      </c>
      <c r="DJ100" s="1" t="n">
        <f aca="false">MAX(DJ99-BO100/BO$9*100,0)</f>
        <v>0</v>
      </c>
      <c r="DK100" s="1" t="n">
        <f aca="false">MAX(DK99-BP100/BP$9*100,0)</f>
        <v>9.99200722162641E-015</v>
      </c>
      <c r="DL100" s="1" t="n">
        <f aca="false">DL$7*EXP(-$AM100/DL$8)</f>
        <v>2.90455544060789E-022</v>
      </c>
      <c r="DM100" s="1" t="n">
        <f aca="false">(DJ100-DL100)^2</f>
        <v>8.43644230756489E-044</v>
      </c>
      <c r="DN100" s="1" t="n">
        <f aca="false">MAX(DN99-BR100/BR$9*100,0)</f>
        <v>0</v>
      </c>
      <c r="DO100" s="1" t="n">
        <f aca="false">MAX(DO99-BS100/BS$9*100,0)</f>
        <v>0</v>
      </c>
      <c r="DP100" s="1" t="n">
        <f aca="false">DP$7*EXP(-$AM100/DP$8)</f>
        <v>1.3700158271596E-009</v>
      </c>
      <c r="DQ100" s="1" t="n">
        <f aca="false">(DN100-DP100)^2</f>
        <v>1.8769433666678E-018</v>
      </c>
      <c r="DS100" s="1" t="n">
        <f aca="false">$AM100</f>
        <v>89</v>
      </c>
      <c r="DT100" s="1" t="n">
        <f aca="false">CA100</f>
        <v>0</v>
      </c>
      <c r="DU100" s="1" t="n">
        <f aca="false">DU$7*EXP(-DS100/DU$8)</f>
        <v>2.31499242406996E-038</v>
      </c>
      <c r="DV100" s="1" t="n">
        <f aca="false">(DT100-DU100)^2</f>
        <v>5.35918992350131E-076</v>
      </c>
      <c r="DX100" s="1" t="n">
        <f aca="false">$AM100</f>
        <v>89</v>
      </c>
      <c r="DY100" s="1" t="n">
        <f aca="false">CM100</f>
        <v>0</v>
      </c>
      <c r="DZ100" s="1" t="n">
        <f aca="false">DZ$7*EXP(-DX100/DZ$8)</f>
        <v>3.04742475978299E-020</v>
      </c>
      <c r="EA100" s="1" t="n">
        <f aca="false">(DY100-DZ100)^2</f>
        <v>9.28679766653842E-040</v>
      </c>
      <c r="EC100" s="1" t="n">
        <f aca="false">$AM100</f>
        <v>89</v>
      </c>
      <c r="ED100" s="1" t="n">
        <f aca="false">CV100</f>
        <v>8.88178419700125E-015</v>
      </c>
      <c r="EE100" s="1" t="n">
        <f aca="false">EE$7*EXP(-EC100/EE$8)</f>
        <v>1.87756294780076E-015</v>
      </c>
      <c r="EF100" s="1" t="n">
        <f aca="false">(ED100-EE100)^2</f>
        <v>4.90591153077517E-029</v>
      </c>
      <c r="EH100" s="1" t="n">
        <f aca="false">$AM100</f>
        <v>89</v>
      </c>
      <c r="EI100" s="1" t="n">
        <f aca="false">DE100</f>
        <v>0</v>
      </c>
      <c r="EJ100" s="1" t="n">
        <f aca="false">EJ$7*EXP(-EH100/EJ$8)</f>
        <v>2.60692792209482E-008</v>
      </c>
      <c r="EK100" s="1" t="n">
        <f aca="false">(EI100-EJ100)^2</f>
        <v>6.79607319099762E-016</v>
      </c>
      <c r="EM100" s="1" t="n">
        <f aca="false">AM100</f>
        <v>89</v>
      </c>
      <c r="EN100" s="1" t="n">
        <f aca="false">DN100</f>
        <v>0</v>
      </c>
      <c r="EO100" s="1" t="n">
        <f aca="false">EO$7*EXP(-EM100/EO$8)</f>
        <v>3.08698823970329E-009</v>
      </c>
      <c r="EP100" s="1" t="n">
        <f aca="false">(EN100-EO100)^2</f>
        <v>9.52949639206642E-018</v>
      </c>
      <c r="ER100" s="1" t="n">
        <f aca="false">$AM100</f>
        <v>89</v>
      </c>
      <c r="ES100" s="1" t="n">
        <f aca="false">BZ100</f>
        <v>0</v>
      </c>
      <c r="ET100" s="1" t="n">
        <f aca="false">ET$7*EXP(-ER100/ET$8)</f>
        <v>1.76976946474897E-044</v>
      </c>
      <c r="EU100" s="1" t="n">
        <f aca="false">(ES100-ET100)^2</f>
        <v>3.13208395835786E-088</v>
      </c>
      <c r="EW100" s="1" t="n">
        <f aca="false">$AM100</f>
        <v>89</v>
      </c>
      <c r="EX100" s="1" t="n">
        <f aca="false">CI100</f>
        <v>0</v>
      </c>
      <c r="EY100" s="1" t="n">
        <f aca="false">EY$7*EXP(-EW100/EY$8)</f>
        <v>8.20750698219868E-041</v>
      </c>
      <c r="EZ100" s="1" t="n">
        <f aca="false">(EX100-EY100)^2</f>
        <v>6.73631708628401E-081</v>
      </c>
      <c r="FB100" s="1" t="n">
        <f aca="false">$AM100</f>
        <v>89</v>
      </c>
      <c r="FC100" s="1" t="n">
        <f aca="false">CR100</f>
        <v>0</v>
      </c>
      <c r="FD100" s="1" t="n">
        <f aca="false">FD$7*EXP(-FB100/FD$8)</f>
        <v>2.74658148815658E-035</v>
      </c>
      <c r="FE100" s="1" t="n">
        <f aca="false">(FC100-FD100)^2</f>
        <v>7.54370987108442E-070</v>
      </c>
      <c r="FG100" s="1" t="n">
        <f aca="false">$AM100</f>
        <v>89</v>
      </c>
      <c r="FH100" s="1" t="n">
        <f aca="false">DA100</f>
        <v>0</v>
      </c>
      <c r="FI100" s="1" t="n">
        <f aca="false">FI$7*EXP(-FG100/FI$8)</f>
        <v>2.11611202670129E-030</v>
      </c>
      <c r="FJ100" s="1" t="n">
        <f aca="false">(FH100-FI100)^2</f>
        <v>4.47793010954984E-060</v>
      </c>
      <c r="FL100" s="1" t="n">
        <f aca="false">EM100</f>
        <v>89</v>
      </c>
      <c r="FM100" s="1" t="n">
        <f aca="false">DJ100</f>
        <v>0</v>
      </c>
      <c r="FN100" s="1" t="n">
        <f aca="false">FN$7*EXP(-FL100/FN$8)</f>
        <v>2.89941019587215E-024</v>
      </c>
      <c r="FO100" s="1" t="n">
        <f aca="false">(FM100-FN100)^2</f>
        <v>8.40657948392738E-048</v>
      </c>
      <c r="FQ100" s="1" t="n">
        <f aca="false">AM100</f>
        <v>89</v>
      </c>
      <c r="FR100" s="1" t="n">
        <f aca="false">AN100/AN$9*100</f>
        <v>0</v>
      </c>
      <c r="FS100" s="1" t="n">
        <f aca="false">AO100/AO$9*100</f>
        <v>0</v>
      </c>
      <c r="FT100" s="1" t="n">
        <f aca="false">AQ100/AQ$9*100</f>
        <v>0</v>
      </c>
      <c r="FU100" s="1" t="n">
        <f aca="false">AR100/AR$9*100</f>
        <v>0</v>
      </c>
      <c r="FV100" s="1" t="n">
        <f aca="false">AT100/AT$9*100</f>
        <v>0</v>
      </c>
      <c r="FW100" s="1" t="n">
        <f aca="false">AU100/AU$9*100</f>
        <v>0</v>
      </c>
      <c r="FX100" s="1" t="n">
        <f aca="false">AW100/AW$9*100</f>
        <v>0</v>
      </c>
      <c r="FY100" s="1" t="n">
        <f aca="false">AX100/AX$9*100</f>
        <v>0</v>
      </c>
      <c r="FZ100" s="1" t="n">
        <f aca="false">AZ100/AZ$9*100</f>
        <v>0</v>
      </c>
      <c r="GA100" s="1" t="n">
        <f aca="false">BA100/BA$9*100</f>
        <v>0</v>
      </c>
      <c r="GB100" s="1" t="n">
        <f aca="false">BC100/BC$9*100</f>
        <v>0</v>
      </c>
      <c r="GC100" s="1" t="n">
        <f aca="false">BD100/BD$9*100</f>
        <v>0</v>
      </c>
      <c r="GD100" s="1" t="n">
        <f aca="false">BF100/BF$9*100</f>
        <v>0</v>
      </c>
      <c r="GE100" s="1" t="n">
        <f aca="false">BG100/BG$9*100</f>
        <v>0</v>
      </c>
      <c r="GF100" s="1" t="n">
        <f aca="false">BI100/BI$9*100</f>
        <v>0</v>
      </c>
      <c r="GG100" s="1" t="n">
        <f aca="false">BJ100/BJ$9*100</f>
        <v>0</v>
      </c>
      <c r="GH100" s="1" t="n">
        <f aca="false">BL100/BL$9*100</f>
        <v>0</v>
      </c>
      <c r="GI100" s="1" t="n">
        <f aca="false">BM100/BM$9*100</f>
        <v>0</v>
      </c>
      <c r="GJ100" s="1" t="n">
        <f aca="false">BO100/BO$9*100</f>
        <v>0</v>
      </c>
      <c r="GK100" s="1" t="n">
        <f aca="false">BP100/BP$9*100</f>
        <v>0</v>
      </c>
      <c r="GL100" s="1" t="n">
        <f aca="false">BR100/BR$9*100</f>
        <v>0</v>
      </c>
      <c r="GM100" s="1" t="n">
        <f aca="false">BS100/BS$9*100</f>
        <v>0</v>
      </c>
      <c r="GO100" s="1" t="n">
        <f aca="false">$AM100</f>
        <v>89</v>
      </c>
      <c r="GP100" s="1" t="n">
        <f aca="false">FT100</f>
        <v>0</v>
      </c>
      <c r="GQ100" s="1" t="n">
        <f aca="false">GQ$6*(1+GQ$5*(-1)^$FQ100)*EXP(-$FQ100/GQ$4)</f>
        <v>3.66921239199185E-028</v>
      </c>
      <c r="GR100" s="1" t="n">
        <f aca="false">(GP100-GQ100)^2</f>
        <v>1.34631195775466E-055</v>
      </c>
      <c r="GS100" s="1" t="n">
        <f aca="false">EXP($FQ100/$JG$4)*GP100</f>
        <v>0</v>
      </c>
      <c r="GT100" s="1" t="n">
        <f aca="false">EXP($FQ100/$JG$4)*(-1)^$FQ100*GP100</f>
        <v>-0</v>
      </c>
      <c r="GU100" s="1" t="n">
        <f aca="false">(-1)^GO100*GP100</f>
        <v>-0</v>
      </c>
      <c r="GW100" s="1" t="n">
        <f aca="false">$AM100</f>
        <v>89</v>
      </c>
      <c r="GX100" s="1" t="n">
        <f aca="false">FX100</f>
        <v>0</v>
      </c>
      <c r="GY100" s="1" t="n">
        <f aca="false">GY$6*(1+GY$5*(-1)^$FQ100)*EXP(-$FQ100/GY$4)</f>
        <v>3.66921239199185E-028</v>
      </c>
      <c r="GZ100" s="1" t="n">
        <f aca="false">(GX100-GY100)^2</f>
        <v>1.34631195775466E-055</v>
      </c>
      <c r="HA100" s="1" t="n">
        <f aca="false">EXP($FQ100/$JG$4)*GX100</f>
        <v>0</v>
      </c>
      <c r="HB100" s="1" t="n">
        <f aca="false">EXP($FQ100/$JG$4)*(-1)^$FQ100*GX100</f>
        <v>-0</v>
      </c>
      <c r="HC100" s="1" t="n">
        <f aca="false">(-1)^GW100*GX100</f>
        <v>-0</v>
      </c>
      <c r="HE100" s="1" t="n">
        <f aca="false">$AM100</f>
        <v>89</v>
      </c>
      <c r="HF100" s="1" t="n">
        <f aca="false">GB100</f>
        <v>0</v>
      </c>
      <c r="HG100" s="1" t="n">
        <f aca="false">HG$6*(1+HG$5*(-1)^$FQ100)*EXP(-$FQ100/HG$4)</f>
        <v>3.66921239199185E-028</v>
      </c>
      <c r="HH100" s="1" t="n">
        <f aca="false">(HF100-HG100)^2</f>
        <v>1.34631195775466E-055</v>
      </c>
      <c r="HI100" s="1" t="n">
        <f aca="false">EXP($FQ100/$JG$4)*HF100</f>
        <v>0</v>
      </c>
      <c r="HJ100" s="1" t="n">
        <f aca="false">EXP($FQ100/$JG$4)*(-1)^$FQ100*HF100</f>
        <v>-0</v>
      </c>
      <c r="HK100" s="1" t="n">
        <f aca="false">(-1)^HE100*HF100</f>
        <v>-0</v>
      </c>
      <c r="HM100" s="1" t="n">
        <f aca="false">$AM100</f>
        <v>89</v>
      </c>
      <c r="HN100" s="1" t="n">
        <f aca="false">GF100</f>
        <v>0</v>
      </c>
      <c r="HO100" s="1" t="n">
        <f aca="false">HO$6*(1+HO$5*(-1)^$FQ100)*EXP(-$FQ100/HO$4)</f>
        <v>2.59699704723454E-022</v>
      </c>
      <c r="HP100" s="1" t="n">
        <f aca="false">(HN100-HO100)^2</f>
        <v>6.74439366334492E-044</v>
      </c>
      <c r="HQ100" s="1" t="n">
        <f aca="false">EXP($FQ100/$JG$4)*HN100</f>
        <v>0</v>
      </c>
      <c r="HR100" s="1" t="n">
        <f aca="false">EXP($FQ100/$JG$4)*(-1)^$FQ100*HN100</f>
        <v>-0</v>
      </c>
      <c r="HS100" s="1" t="n">
        <f aca="false">(-1)^HM100*HN100</f>
        <v>-0</v>
      </c>
      <c r="HU100" s="1" t="n">
        <f aca="false">$AM100</f>
        <v>89</v>
      </c>
      <c r="HV100" s="1" t="n">
        <f aca="false">GJ100</f>
        <v>0</v>
      </c>
      <c r="HW100" s="1" t="n">
        <f aca="false">HW$6*(1+HW$5*(-1)^$FQ100)*EXP(-$FQ100/HW$4)</f>
        <v>2.46480792700817E-016</v>
      </c>
      <c r="HX100" s="1" t="n">
        <f aca="false">(HV100-HW100)^2</f>
        <v>6.07527811704231E-032</v>
      </c>
      <c r="HY100" s="1" t="n">
        <f aca="false">EXP($FQ100/$JG$4)*HV100</f>
        <v>0</v>
      </c>
      <c r="HZ100" s="1" t="n">
        <f aca="false">EXP($FQ100/$JG$4)*(-1)^$FQ100*HV100</f>
        <v>-0</v>
      </c>
      <c r="IA100" s="1" t="n">
        <f aca="false">(-1)^HU100*HV100</f>
        <v>-0</v>
      </c>
      <c r="ID100" s="1" t="n">
        <f aca="false">$AM100</f>
        <v>89</v>
      </c>
      <c r="IE100" s="1" t="n">
        <f aca="false">FZ100</f>
        <v>0</v>
      </c>
      <c r="IF100" s="1" t="n">
        <f aca="false">IF$6*(1+IF$5*(-1)^$FQ100)*EXP(-$FQ100/IF$4)</f>
        <v>3.70926719554538E-012</v>
      </c>
      <c r="IG100" s="1" t="n">
        <f aca="false">(IE100-IF100)^2</f>
        <v>1.37586631279491E-023</v>
      </c>
      <c r="IH100" s="1" t="n">
        <f aca="false">EXP($FQ100/$JG$4)*IE100</f>
        <v>0</v>
      </c>
      <c r="II100" s="1" t="n">
        <f aca="false">EXP($FQ100/$JG$4)*(-1)^$FQ100*IE100</f>
        <v>-0</v>
      </c>
      <c r="IJ100" s="1" t="n">
        <f aca="false">(-1)^ID100*IE100</f>
        <v>-0</v>
      </c>
      <c r="IK100" s="1" t="n">
        <v>0</v>
      </c>
      <c r="IM100" s="1" t="n">
        <f aca="false">$AM100</f>
        <v>89</v>
      </c>
      <c r="IN100" s="1" t="n">
        <f aca="false">GD100</f>
        <v>0</v>
      </c>
      <c r="IO100" s="1" t="n">
        <f aca="false">IO$6*(1+IO$5*(-1)^$FQ100)*EXP(-$FQ100/IO$4)</f>
        <v>1.98940639888133E-010</v>
      </c>
      <c r="IP100" s="1" t="n">
        <f aca="false">(IN100-IO100)^2</f>
        <v>3.95773781990998E-020</v>
      </c>
      <c r="IQ100" s="1" t="n">
        <f aca="false">EXP($FQ100/$JG$4)*IN100</f>
        <v>0</v>
      </c>
      <c r="IR100" s="1" t="n">
        <f aca="false">EXP($FQ100/$JG$4)*(-1)^$FQ100*IN100</f>
        <v>-0</v>
      </c>
      <c r="IS100" s="1" t="n">
        <f aca="false">(-1)^IM100*IN100</f>
        <v>-0</v>
      </c>
      <c r="IV100" s="1" t="n">
        <f aca="false">$AM100</f>
        <v>89</v>
      </c>
      <c r="IW100" s="1" t="n">
        <f aca="false">GH100</f>
        <v>0</v>
      </c>
      <c r="IX100" s="1" t="n">
        <f aca="false">IX$6*(1+IX$5*(-1)^$FQ100)*EXP(-$FQ100/IX$4)</f>
        <v>3.39919166146595E-007</v>
      </c>
      <c r="IY100" s="1" t="n">
        <f aca="false">(IW100-IX100)^2</f>
        <v>1.15545039513796E-013</v>
      </c>
      <c r="IZ100" s="1" t="n">
        <f aca="false">EXP($FQ100/$JG$4)*IW100</f>
        <v>0</v>
      </c>
      <c r="JA100" s="1" t="n">
        <f aca="false">EXP($FQ100/$JG$4)*(-1)^$FQ100*IW100</f>
        <v>-0</v>
      </c>
      <c r="JB100" s="1" t="n">
        <f aca="false">(-1)^IV100*IW100</f>
        <v>-0</v>
      </c>
      <c r="JE100" s="1" t="n">
        <f aca="false">$AM100</f>
        <v>89</v>
      </c>
      <c r="JF100" s="1" t="n">
        <f aca="false">GL100</f>
        <v>0</v>
      </c>
      <c r="JG100" s="1" t="n">
        <f aca="false">JG$6*(1+JG$5*(-1)^$FQ100)*EXP(-$FQ100/JG$4)</f>
        <v>7.10296693971155E-009</v>
      </c>
      <c r="JH100" s="1" t="n">
        <f aca="false">(JF100-JG100)^2</f>
        <v>5.04521393466353E-017</v>
      </c>
      <c r="JI100" s="1" t="n">
        <f aca="false">EXP($FQ100/$JG$4)*JF100</f>
        <v>0</v>
      </c>
      <c r="JJ100" s="1" t="n">
        <f aca="false">EXP($FQ100/$JG$4)*(-1)^$FQ100*JF100</f>
        <v>-0</v>
      </c>
      <c r="JK100" s="1" t="n">
        <f aca="false">(-1)^JE100*JF100</f>
        <v>-0</v>
      </c>
      <c r="JO100" s="1" t="n">
        <f aca="false">$AM100</f>
        <v>89</v>
      </c>
      <c r="JP100" s="1" t="n">
        <f aca="false">GM100</f>
        <v>0</v>
      </c>
      <c r="JQ100" s="1" t="n">
        <f aca="false">JQ$6*(1+JQ$5*(-1)^$FQ100)*EXP(-$FQ100/JQ$4)</f>
        <v>0.0022157502402347</v>
      </c>
      <c r="JR100" s="1" t="n">
        <f aca="false">(JP100-JQ100)^2</f>
        <v>4.90954912710013E-006</v>
      </c>
      <c r="JS100" s="1" t="n">
        <f aca="false">EXP($FQ100/$JG$4)*JP100</f>
        <v>0</v>
      </c>
      <c r="JT100" s="1" t="n">
        <f aca="false">EXP($FQ100/$JG$4)*(-1)^$FQ100*JP100</f>
        <v>-0</v>
      </c>
      <c r="JU100" s="1" t="n">
        <f aca="false">(-1)^JO100*JP100</f>
        <v>-0</v>
      </c>
    </row>
    <row r="101" customFormat="false" ht="16" hidden="false" customHeight="false" outlineLevel="0" collapsed="false">
      <c r="A101" s="1" t="n">
        <v>2</v>
      </c>
      <c r="B101" s="1" t="n">
        <v>2</v>
      </c>
      <c r="C101" s="1" t="n">
        <f aca="false">B101-A101</f>
        <v>0</v>
      </c>
      <c r="D101" s="1" t="n">
        <v>2</v>
      </c>
      <c r="E101" s="1" t="n">
        <v>2</v>
      </c>
      <c r="F101" s="1" t="n">
        <f aca="false">E101-D101</f>
        <v>0</v>
      </c>
      <c r="G101" s="1" t="n">
        <v>1</v>
      </c>
      <c r="H101" s="1" t="n">
        <v>1</v>
      </c>
      <c r="I101" s="1" t="n">
        <f aca="false">H101-G101</f>
        <v>0</v>
      </c>
      <c r="J101" s="1" t="n">
        <v>2</v>
      </c>
      <c r="K101" s="1" t="n">
        <v>2</v>
      </c>
      <c r="L101" s="1" t="n">
        <f aca="false">K101-J101</f>
        <v>0</v>
      </c>
      <c r="M101" s="1" t="n">
        <v>7</v>
      </c>
      <c r="N101" s="1" t="n">
        <v>7</v>
      </c>
      <c r="O101" s="1" t="n">
        <f aca="false">N101-M101</f>
        <v>0</v>
      </c>
      <c r="P101" s="1" t="n">
        <v>2</v>
      </c>
      <c r="Q101" s="1" t="n">
        <v>2</v>
      </c>
      <c r="R101" s="1" t="n">
        <f aca="false">Q101-P101</f>
        <v>0</v>
      </c>
      <c r="S101" s="1" t="n">
        <v>4</v>
      </c>
      <c r="T101" s="1" t="n">
        <v>9</v>
      </c>
      <c r="U101" s="1" t="n">
        <f aca="false">T101-S101</f>
        <v>5</v>
      </c>
      <c r="V101" s="1" t="n">
        <v>1</v>
      </c>
      <c r="W101" s="1" t="n">
        <v>2</v>
      </c>
      <c r="X101" s="1" t="n">
        <f aca="false">W101-V101</f>
        <v>1</v>
      </c>
      <c r="Y101" s="1" t="n">
        <v>1</v>
      </c>
      <c r="Z101" s="1" t="n">
        <v>2</v>
      </c>
      <c r="AA101" s="1" t="n">
        <f aca="false">Z101-Y101</f>
        <v>1</v>
      </c>
      <c r="AB101" s="1" t="n">
        <v>1</v>
      </c>
      <c r="AC101" s="1" t="n">
        <v>3</v>
      </c>
      <c r="AD101" s="1" t="n">
        <f aca="false">AC101-AB101</f>
        <v>2</v>
      </c>
      <c r="AE101" s="1" t="n">
        <v>6</v>
      </c>
      <c r="AF101" s="1" t="n">
        <v>16</v>
      </c>
      <c r="AG101" s="1" t="n">
        <f aca="false">AF101-AE101</f>
        <v>10</v>
      </c>
      <c r="AM101" s="1" t="n">
        <v>90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W101" s="1" t="n">
        <f aca="false">$AM101</f>
        <v>90</v>
      </c>
      <c r="BX101" s="1" t="n">
        <f aca="false">MAX(BX100-AN101/AN$9*100,0)</f>
        <v>0</v>
      </c>
      <c r="BY101" s="1" t="n">
        <f aca="false">MAX(BY100-AO101/AO$9*100,0)</f>
        <v>0</v>
      </c>
      <c r="BZ101" s="1" t="n">
        <f aca="false">MAX(BZ100-AQ101/AQ$9*100,0)</f>
        <v>0</v>
      </c>
      <c r="CA101" s="1" t="n">
        <f aca="false">MAX(CA100-AR101/AR$9*100,0)</f>
        <v>0</v>
      </c>
      <c r="CB101" s="1" t="n">
        <f aca="false">CB$7*EXP(-$AM101/CB$8)</f>
        <v>3.61787532074184E-049</v>
      </c>
      <c r="CC101" s="1" t="n">
        <f aca="false">(BZ101-CB101)^2</f>
        <v>1.30890218364329E-097</v>
      </c>
      <c r="CD101" s="1" t="n">
        <f aca="false">MAX(CD100-AT101/AT$9*100,0)</f>
        <v>0</v>
      </c>
      <c r="CE101" s="1" t="n">
        <f aca="false">MAX(CE100-AU101/AU$9*100,0)</f>
        <v>5.32907051820075E-015</v>
      </c>
      <c r="CF101" s="1" t="n">
        <f aca="false">CF$7*EXP(-$AM101/CF$8)</f>
        <v>6.97524939600336E-048</v>
      </c>
      <c r="CG101" s="1" t="n">
        <f aca="false">(CD101-CF101)^2</f>
        <v>4.86541041364452E-095</v>
      </c>
      <c r="CH101" s="1" t="n">
        <f aca="false">$AM101</f>
        <v>90</v>
      </c>
      <c r="CI101" s="1" t="n">
        <f aca="false">MAX(CI100-AW101/AW$9*100,0)</f>
        <v>0</v>
      </c>
      <c r="CJ101" s="1" t="n">
        <f aca="false">MAX(CJ100-AX101/AX$9*100,0)</f>
        <v>0</v>
      </c>
      <c r="CK101" s="1" t="n">
        <f aca="false">CK$7*EXP(-$AM101/CK$8)</f>
        <v>6.96870633648745E-032</v>
      </c>
      <c r="CL101" s="1" t="n">
        <f aca="false">(CI101-CK101)^2</f>
        <v>4.85628680042003E-063</v>
      </c>
      <c r="CM101" s="1" t="n">
        <f aca="false">MAX(CM100-AZ101/AZ$9*100,0)</f>
        <v>0</v>
      </c>
      <c r="CN101" s="1" t="n">
        <f aca="false">MAX(CN100-BA101/BA$9*100,0)</f>
        <v>5.32907051820075E-015</v>
      </c>
      <c r="CO101" s="1" t="n">
        <f aca="false">CO$7*EXP(-$AM101/CO$8)</f>
        <v>2.14913393464447E-017</v>
      </c>
      <c r="CP101" s="1" t="n">
        <f aca="false">(CM101-CO101)^2</f>
        <v>4.61877666904042E-034</v>
      </c>
      <c r="CQ101" s="1" t="n">
        <f aca="false">$AM101</f>
        <v>90</v>
      </c>
      <c r="CR101" s="1" t="n">
        <f aca="false">MAX(CR100-BC101/BC$9*100,0)</f>
        <v>0</v>
      </c>
      <c r="CS101" s="1" t="n">
        <f aca="false">MAX(CS100-BD101/BD$9*100,0)</f>
        <v>0</v>
      </c>
      <c r="CT101" s="1" t="n">
        <f aca="false">CT$7*EXP(-$AM101/CT$8)</f>
        <v>2.45778011759484E-029</v>
      </c>
      <c r="CU101" s="1" t="n">
        <f aca="false">(CR101-CT101)^2</f>
        <v>6.04068310644451E-058</v>
      </c>
      <c r="CV101" s="1" t="n">
        <f aca="false">MAX(CV100-BF101/BF$9*100,0)</f>
        <v>8.88178419700125E-015</v>
      </c>
      <c r="CW101" s="1" t="n">
        <f aca="false">MAX(CW100-BG101/BG$9*100,0)</f>
        <v>5.32907051820075E-015</v>
      </c>
      <c r="CX101" s="1" t="n">
        <f aca="false">CX$7*EXP(-$AM101/CX$8)</f>
        <v>9.51135120263713E-015</v>
      </c>
      <c r="CY101" s="1" t="n">
        <f aca="false">(CV101-CX101)^2</f>
        <v>3.96354614585326E-031</v>
      </c>
      <c r="CZ101" s="1" t="n">
        <f aca="false">$AM101</f>
        <v>90</v>
      </c>
      <c r="DA101" s="1" t="n">
        <f aca="false">MAX(DA100-BI101/BI$9*100,0)</f>
        <v>0</v>
      </c>
      <c r="DB101" s="1" t="n">
        <f aca="false">MAX(DB100-BJ101/BJ$9*100,0)</f>
        <v>9.88098491916389E-015</v>
      </c>
      <c r="DC101" s="1" t="n">
        <f aca="false">DC$7*EXP(-$AM101/DC$8)</f>
        <v>4.71873459388948E-027</v>
      </c>
      <c r="DD101" s="1" t="n">
        <f aca="false">(DA101-DC101)^2</f>
        <v>2.22664561675693E-053</v>
      </c>
      <c r="DE101" s="1" t="n">
        <f aca="false">MAX(DE100-BL101/BL$9*100,0)</f>
        <v>0</v>
      </c>
      <c r="DF101" s="1" t="n">
        <f aca="false">MAX(DF100-BM101/BM$9*100,0)</f>
        <v>0</v>
      </c>
      <c r="DG101" s="1" t="n">
        <f aca="false">DG$7*EXP(-$AM101/DG$8)</f>
        <v>2.03873699675123E-008</v>
      </c>
      <c r="DH101" s="1" t="n">
        <f aca="false">(DE101-DG101)^2</f>
        <v>4.15644854192223E-016</v>
      </c>
      <c r="DI101" s="1" t="n">
        <f aca="false">$AM101</f>
        <v>90</v>
      </c>
      <c r="DJ101" s="1" t="n">
        <f aca="false">MAX(DJ100-BO101/BO$9*100,0)</f>
        <v>0</v>
      </c>
      <c r="DK101" s="1" t="n">
        <f aca="false">MAX(DK100-BP101/BP$9*100,0)</f>
        <v>9.99200722162641E-015</v>
      </c>
      <c r="DL101" s="1" t="n">
        <f aca="false">DL$7*EXP(-$AM101/DL$8)</f>
        <v>1.5726835277371E-022</v>
      </c>
      <c r="DM101" s="1" t="n">
        <f aca="false">(DJ101-DL101)^2</f>
        <v>2.47333347841561E-044</v>
      </c>
      <c r="DN101" s="1" t="n">
        <f aca="false">MAX(DN100-BR101/BR$9*100,0)</f>
        <v>0</v>
      </c>
      <c r="DO101" s="1" t="n">
        <f aca="false">MAX(DO100-BS101/BS$9*100,0)</f>
        <v>0</v>
      </c>
      <c r="DP101" s="1" t="n">
        <f aca="false">DP$7*EXP(-$AM101/DP$8)</f>
        <v>1.03203870733584E-009</v>
      </c>
      <c r="DQ101" s="1" t="n">
        <f aca="false">(DN101-DP101)^2</f>
        <v>1.06510389343943E-018</v>
      </c>
      <c r="DS101" s="1" t="n">
        <f aca="false">$AM101</f>
        <v>90</v>
      </c>
      <c r="DT101" s="1" t="n">
        <f aca="false">CA101</f>
        <v>0</v>
      </c>
      <c r="DU101" s="1" t="n">
        <f aca="false">DU$7*EXP(-DS101/DU$8)</f>
        <v>8.25701938333091E-039</v>
      </c>
      <c r="DV101" s="1" t="n">
        <f aca="false">(DT101-DU101)^2</f>
        <v>6.81783690967024E-077</v>
      </c>
      <c r="DX101" s="1" t="n">
        <f aca="false">$AM101</f>
        <v>90</v>
      </c>
      <c r="DY101" s="1" t="n">
        <f aca="false">CM101</f>
        <v>0</v>
      </c>
      <c r="DZ101" s="1" t="n">
        <f aca="false">DZ$7*EXP(-DX101/DZ$8)</f>
        <v>1.73759007718798E-020</v>
      </c>
      <c r="EA101" s="1" t="n">
        <f aca="false">(DY101-DZ101)^2</f>
        <v>3.01921927634213E-040</v>
      </c>
      <c r="EC101" s="1" t="n">
        <f aca="false">$AM101</f>
        <v>90</v>
      </c>
      <c r="ED101" s="1" t="n">
        <f aca="false">CV101</f>
        <v>8.88178419700125E-015</v>
      </c>
      <c r="EE101" s="1" t="n">
        <f aca="false">EE$7*EXP(-EC101/EE$8)</f>
        <v>1.21323871627015E-015</v>
      </c>
      <c r="EF101" s="1" t="n">
        <f aca="false">(ED101-EE101)^2</f>
        <v>5.88065897900414E-029</v>
      </c>
      <c r="EH101" s="1" t="n">
        <f aca="false">$AM101</f>
        <v>90</v>
      </c>
      <c r="EI101" s="1" t="n">
        <f aca="false">DE101</f>
        <v>0</v>
      </c>
      <c r="EJ101" s="1" t="n">
        <f aca="false">EJ$7*EXP(-EH101/EJ$8)</f>
        <v>2.03027750713816E-008</v>
      </c>
      <c r="EK101" s="1" t="n">
        <f aca="false">(EI101-EJ101)^2</f>
        <v>4.12202675599114E-016</v>
      </c>
      <c r="EM101" s="1" t="n">
        <f aca="false">AM101</f>
        <v>90</v>
      </c>
      <c r="EN101" s="1" t="n">
        <f aca="false">DN101</f>
        <v>0</v>
      </c>
      <c r="EO101" s="1" t="n">
        <f aca="false">EO$7*EXP(-EM101/EO$8)</f>
        <v>2.34720048058112E-009</v>
      </c>
      <c r="EP101" s="1" t="n">
        <f aca="false">(EN101-EO101)^2</f>
        <v>5.50935009604024E-018</v>
      </c>
      <c r="ER101" s="1" t="n">
        <f aca="false">$AM101</f>
        <v>90</v>
      </c>
      <c r="ES101" s="1" t="n">
        <f aca="false">BZ101</f>
        <v>0</v>
      </c>
      <c r="ET101" s="1" t="n">
        <f aca="false">ET$7*EXP(-ER101/ET$8)</f>
        <v>5.38145183037738E-045</v>
      </c>
      <c r="EU101" s="1" t="n">
        <f aca="false">(ES101-ET101)^2</f>
        <v>2.89600238026721E-089</v>
      </c>
      <c r="EW101" s="1" t="n">
        <f aca="false">$AM101</f>
        <v>90</v>
      </c>
      <c r="EX101" s="1" t="n">
        <f aca="false">CI101</f>
        <v>0</v>
      </c>
      <c r="EY101" s="1" t="n">
        <f aca="false">EY$7*EXP(-EW101/EY$8)</f>
        <v>2.7350456374872E-041</v>
      </c>
      <c r="EZ101" s="1" t="n">
        <f aca="false">(EX101-EY101)^2</f>
        <v>7.48047463913777E-082</v>
      </c>
      <c r="FB101" s="1" t="n">
        <f aca="false">$AM101</f>
        <v>90</v>
      </c>
      <c r="FC101" s="1" t="n">
        <f aca="false">CR101</f>
        <v>0</v>
      </c>
      <c r="FD101" s="1" t="n">
        <f aca="false">FD$7*EXP(-FB101/FD$8)</f>
        <v>1.05968965907326E-035</v>
      </c>
      <c r="FE101" s="1" t="n">
        <f aca="false">(FC101-FD101)^2</f>
        <v>1.1229421735468E-070</v>
      </c>
      <c r="FG101" s="1" t="n">
        <f aca="false">$AM101</f>
        <v>90</v>
      </c>
      <c r="FH101" s="1" t="n">
        <f aca="false">DA101</f>
        <v>0</v>
      </c>
      <c r="FI101" s="1" t="n">
        <f aca="false">FI$7*EXP(-FG101/FI$8)</f>
        <v>9.26014092544106E-031</v>
      </c>
      <c r="FJ101" s="1" t="n">
        <f aca="false">(FH101-FI101)^2</f>
        <v>8.57502099590284E-061</v>
      </c>
      <c r="FL101" s="1" t="n">
        <f aca="false">EM101</f>
        <v>90</v>
      </c>
      <c r="FM101" s="1" t="n">
        <f aca="false">DJ101</f>
        <v>0</v>
      </c>
      <c r="FN101" s="1" t="n">
        <f aca="false">FN$7*EXP(-FL101/FN$8)</f>
        <v>1.48860682965841E-024</v>
      </c>
      <c r="FO101" s="1" t="n">
        <f aca="false">(FM101-FN101)^2</f>
        <v>2.21595029330566E-048</v>
      </c>
      <c r="FQ101" s="1" t="n">
        <f aca="false">AM101</f>
        <v>90</v>
      </c>
      <c r="FR101" s="1" t="n">
        <f aca="false">AN101/AN$9*100</f>
        <v>0</v>
      </c>
      <c r="FS101" s="1" t="n">
        <f aca="false">AO101/AO$9*100</f>
        <v>0</v>
      </c>
      <c r="FT101" s="1" t="n">
        <f aca="false">AQ101/AQ$9*100</f>
        <v>0</v>
      </c>
      <c r="FU101" s="1" t="n">
        <f aca="false">AR101/AR$9*100</f>
        <v>0</v>
      </c>
      <c r="FV101" s="1" t="n">
        <f aca="false">AT101/AT$9*100</f>
        <v>0</v>
      </c>
      <c r="FW101" s="1" t="n">
        <f aca="false">AU101/AU$9*100</f>
        <v>0</v>
      </c>
      <c r="FX101" s="1" t="n">
        <f aca="false">AW101/AW$9*100</f>
        <v>0</v>
      </c>
      <c r="FY101" s="1" t="n">
        <f aca="false">AX101/AX$9*100</f>
        <v>0</v>
      </c>
      <c r="FZ101" s="1" t="n">
        <f aca="false">AZ101/AZ$9*100</f>
        <v>0</v>
      </c>
      <c r="GA101" s="1" t="n">
        <f aca="false">BA101/BA$9*100</f>
        <v>0</v>
      </c>
      <c r="GB101" s="1" t="n">
        <f aca="false">BC101/BC$9*100</f>
        <v>0</v>
      </c>
      <c r="GC101" s="1" t="n">
        <f aca="false">BD101/BD$9*100</f>
        <v>0</v>
      </c>
      <c r="GD101" s="1" t="n">
        <f aca="false">BF101/BF$9*100</f>
        <v>0</v>
      </c>
      <c r="GE101" s="1" t="n">
        <f aca="false">BG101/BG$9*100</f>
        <v>0</v>
      </c>
      <c r="GF101" s="1" t="n">
        <f aca="false">BI101/BI$9*100</f>
        <v>0</v>
      </c>
      <c r="GG101" s="1" t="n">
        <f aca="false">BJ101/BJ$9*100</f>
        <v>0</v>
      </c>
      <c r="GH101" s="1" t="n">
        <f aca="false">BL101/BL$9*100</f>
        <v>0</v>
      </c>
      <c r="GI101" s="1" t="n">
        <f aca="false">BM101/BM$9*100</f>
        <v>0</v>
      </c>
      <c r="GJ101" s="1" t="n">
        <f aca="false">BO101/BO$9*100</f>
        <v>0</v>
      </c>
      <c r="GK101" s="1" t="n">
        <f aca="false">BP101/BP$9*100</f>
        <v>0</v>
      </c>
      <c r="GL101" s="1" t="n">
        <f aca="false">BR101/BR$9*100</f>
        <v>0</v>
      </c>
      <c r="GM101" s="1" t="n">
        <f aca="false">BS101/BS$9*100</f>
        <v>0</v>
      </c>
      <c r="GO101" s="1" t="n">
        <f aca="false">$AM101</f>
        <v>90</v>
      </c>
      <c r="GP101" s="1" t="n">
        <f aca="false">FT101</f>
        <v>0</v>
      </c>
      <c r="GQ101" s="1" t="n">
        <f aca="false">GQ$6*(1+GQ$5*(-1)^$FQ101)*EXP(-$FQ101/GQ$4)</f>
        <v>5.0254849039791E-028</v>
      </c>
      <c r="GR101" s="1" t="n">
        <f aca="false">(GP101-GQ101)^2</f>
        <v>2.52554985201218E-055</v>
      </c>
      <c r="GS101" s="1" t="n">
        <f aca="false">EXP($FQ101/$JG$4)*GP101</f>
        <v>0</v>
      </c>
      <c r="GT101" s="1" t="n">
        <f aca="false">EXP($FQ101/$JG$4)*(-1)^$FQ101*GP101</f>
        <v>0</v>
      </c>
      <c r="GU101" s="1" t="n">
        <f aca="false">(-1)^GO101*GP101</f>
        <v>0</v>
      </c>
      <c r="GW101" s="1" t="n">
        <f aca="false">$AM101</f>
        <v>90</v>
      </c>
      <c r="GX101" s="1" t="n">
        <f aca="false">FX101</f>
        <v>0</v>
      </c>
      <c r="GY101" s="1" t="n">
        <f aca="false">GY$6*(1+GY$5*(-1)^$FQ101)*EXP(-$FQ101/GY$4)</f>
        <v>5.0254849039791E-028</v>
      </c>
      <c r="GZ101" s="1" t="n">
        <f aca="false">(GX101-GY101)^2</f>
        <v>2.52554985201218E-055</v>
      </c>
      <c r="HA101" s="1" t="n">
        <f aca="false">EXP($FQ101/$JG$4)*GX101</f>
        <v>0</v>
      </c>
      <c r="HB101" s="1" t="n">
        <f aca="false">EXP($FQ101/$JG$4)*(-1)^$FQ101*GX101</f>
        <v>0</v>
      </c>
      <c r="HC101" s="1" t="n">
        <f aca="false">(-1)^GW101*GX101</f>
        <v>0</v>
      </c>
      <c r="HE101" s="1" t="n">
        <f aca="false">$AM101</f>
        <v>90</v>
      </c>
      <c r="HF101" s="1" t="n">
        <f aca="false">GB101</f>
        <v>0</v>
      </c>
      <c r="HG101" s="1" t="n">
        <f aca="false">HG$6*(1+HG$5*(-1)^$FQ101)*EXP(-$FQ101/HG$4)</f>
        <v>5.0254849039791E-028</v>
      </c>
      <c r="HH101" s="1" t="n">
        <f aca="false">(HF101-HG101)^2</f>
        <v>2.52554985201218E-055</v>
      </c>
      <c r="HI101" s="1" t="n">
        <f aca="false">EXP($FQ101/$JG$4)*HF101</f>
        <v>0</v>
      </c>
      <c r="HJ101" s="1" t="n">
        <f aca="false">EXP($FQ101/$JG$4)*(-1)^$FQ101*HF101</f>
        <v>0</v>
      </c>
      <c r="HK101" s="1" t="n">
        <f aca="false">(-1)^HE101*HF101</f>
        <v>0</v>
      </c>
      <c r="HM101" s="1" t="n">
        <f aca="false">$AM101</f>
        <v>90</v>
      </c>
      <c r="HN101" s="1" t="n">
        <f aca="false">GF101</f>
        <v>0</v>
      </c>
      <c r="HO101" s="1" t="n">
        <f aca="false">HO$6*(1+HO$5*(-1)^$FQ101)*EXP(-$FQ101/HO$4)</f>
        <v>6.50064166581849E-022</v>
      </c>
      <c r="HP101" s="1" t="n">
        <f aca="false">(HN101-HO101)^2</f>
        <v>4.22583420673754E-043</v>
      </c>
      <c r="HQ101" s="1" t="n">
        <f aca="false">EXP($FQ101/$JG$4)*HN101</f>
        <v>0</v>
      </c>
      <c r="HR101" s="1" t="n">
        <f aca="false">EXP($FQ101/$JG$4)*(-1)^$FQ101*HN101</f>
        <v>0</v>
      </c>
      <c r="HS101" s="1" t="n">
        <f aca="false">(-1)^HM101*HN101</f>
        <v>0</v>
      </c>
      <c r="HU101" s="1" t="n">
        <f aca="false">$AM101</f>
        <v>90</v>
      </c>
      <c r="HV101" s="1" t="n">
        <f aca="false">GJ101</f>
        <v>0</v>
      </c>
      <c r="HW101" s="1" t="n">
        <f aca="false">HW$6*(1+HW$5*(-1)^$FQ101)*EXP(-$FQ101/HW$4)</f>
        <v>4.75049250028779E-016</v>
      </c>
      <c r="HX101" s="1" t="n">
        <f aca="false">(HV101-HW101)^2</f>
        <v>2.25671789952905E-031</v>
      </c>
      <c r="HY101" s="1" t="n">
        <f aca="false">EXP($FQ101/$JG$4)*HV101</f>
        <v>0</v>
      </c>
      <c r="HZ101" s="1" t="n">
        <f aca="false">EXP($FQ101/$JG$4)*(-1)^$FQ101*HV101</f>
        <v>0</v>
      </c>
      <c r="IA101" s="1" t="n">
        <f aca="false">(-1)^HU101*HV101</f>
        <v>0</v>
      </c>
      <c r="ID101" s="1" t="n">
        <f aca="false">$AM101</f>
        <v>90</v>
      </c>
      <c r="IE101" s="1" t="n">
        <f aca="false">FZ101</f>
        <v>0</v>
      </c>
      <c r="IF101" s="1" t="n">
        <f aca="false">IF$6*(1+IF$5*(-1)^$FQ101)*EXP(-$FQ101/IF$4)</f>
        <v>5.15927063537956E-012</v>
      </c>
      <c r="IG101" s="1" t="n">
        <f aca="false">(IE101-IF101)^2</f>
        <v>2.66180734890898E-023</v>
      </c>
      <c r="IH101" s="1" t="n">
        <f aca="false">EXP($FQ101/$JG$4)*IE101</f>
        <v>0</v>
      </c>
      <c r="II101" s="1" t="n">
        <f aca="false">EXP($FQ101/$JG$4)*(-1)^$FQ101*IE101</f>
        <v>0</v>
      </c>
      <c r="IJ101" s="1" t="n">
        <f aca="false">(-1)^ID101*IE101</f>
        <v>0</v>
      </c>
      <c r="IK101" s="1" t="n">
        <v>0</v>
      </c>
      <c r="IM101" s="1" t="n">
        <f aca="false">$AM101</f>
        <v>90</v>
      </c>
      <c r="IN101" s="1" t="n">
        <f aca="false">GD101</f>
        <v>0</v>
      </c>
      <c r="IO101" s="1" t="n">
        <f aca="false">IO$6*(1+IO$5*(-1)^$FQ101)*EXP(-$FQ101/IO$4)</f>
        <v>3.25101812313881E-010</v>
      </c>
      <c r="IP101" s="1" t="n">
        <f aca="false">(IN101-IO101)^2</f>
        <v>1.0569118836977E-019</v>
      </c>
      <c r="IQ101" s="1" t="n">
        <f aca="false">EXP($FQ101/$JG$4)*IN101</f>
        <v>0</v>
      </c>
      <c r="IR101" s="1" t="n">
        <f aca="false">EXP($FQ101/$JG$4)*(-1)^$FQ101*IN101</f>
        <v>0</v>
      </c>
      <c r="IS101" s="1" t="n">
        <f aca="false">(-1)^IM101*IN101</f>
        <v>0</v>
      </c>
      <c r="IV101" s="1" t="n">
        <f aca="false">$AM101</f>
        <v>90</v>
      </c>
      <c r="IW101" s="1" t="n">
        <f aca="false">GH101</f>
        <v>0</v>
      </c>
      <c r="IX101" s="1" t="n">
        <f aca="false">IX$6*(1+IX$5*(-1)^$FQ101)*EXP(-$FQ101/IX$4)</f>
        <v>1.08760388618256E-006</v>
      </c>
      <c r="IY101" s="1" t="n">
        <f aca="false">(IW101-IX101)^2</f>
        <v>1.18288221323941E-012</v>
      </c>
      <c r="IZ101" s="1" t="n">
        <f aca="false">EXP($FQ101/$JG$4)*IW101</f>
        <v>0</v>
      </c>
      <c r="JA101" s="1" t="n">
        <f aca="false">EXP($FQ101/$JG$4)*(-1)^$FQ101*IW101</f>
        <v>0</v>
      </c>
      <c r="JB101" s="1" t="n">
        <f aca="false">(-1)^IV101*IW101</f>
        <v>0</v>
      </c>
      <c r="JE101" s="1" t="n">
        <f aca="false">$AM101</f>
        <v>90</v>
      </c>
      <c r="JF101" s="1" t="n">
        <f aca="false">GL101</f>
        <v>0</v>
      </c>
      <c r="JG101" s="1" t="n">
        <f aca="false">JG$6*(1+JG$5*(-1)^$FQ101)*EXP(-$FQ101/JG$4)</f>
        <v>3.68148237064128E-008</v>
      </c>
      <c r="JH101" s="1" t="n">
        <f aca="false">(JF101-JG101)^2</f>
        <v>1.35533124453425E-015</v>
      </c>
      <c r="JI101" s="1" t="n">
        <f aca="false">EXP($FQ101/$JG$4)*JF101</f>
        <v>0</v>
      </c>
      <c r="JJ101" s="1" t="n">
        <f aca="false">EXP($FQ101/$JG$4)*(-1)^$FQ101*JF101</f>
        <v>0</v>
      </c>
      <c r="JK101" s="1" t="n">
        <f aca="false">(-1)^JE101*JF101</f>
        <v>0</v>
      </c>
      <c r="JO101" s="1" t="n">
        <f aca="false">$AM101</f>
        <v>90</v>
      </c>
      <c r="JP101" s="1" t="n">
        <f aca="false">GM101</f>
        <v>0</v>
      </c>
      <c r="JQ101" s="1" t="n">
        <f aca="false">JQ$6*(1+JQ$5*(-1)^$FQ101)*EXP(-$FQ101/JQ$4)</f>
        <v>0.0107383251479215</v>
      </c>
      <c r="JR101" s="1" t="n">
        <f aca="false">(JP101-JQ101)^2</f>
        <v>0.000115311626982483</v>
      </c>
      <c r="JS101" s="1" t="n">
        <f aca="false">EXP($FQ101/$JG$4)*JP101</f>
        <v>0</v>
      </c>
      <c r="JT101" s="1" t="n">
        <f aca="false">EXP($FQ101/$JG$4)*(-1)^$FQ101*JP101</f>
        <v>0</v>
      </c>
      <c r="JU101" s="1" t="n">
        <f aca="false">(-1)^JO101*JP101</f>
        <v>0</v>
      </c>
    </row>
    <row r="102" customFormat="false" ht="16" hidden="false" customHeight="false" outlineLevel="0" collapsed="false">
      <c r="A102" s="1" t="n">
        <v>1</v>
      </c>
      <c r="B102" s="1" t="n">
        <v>1</v>
      </c>
      <c r="C102" s="1" t="n">
        <f aca="false">B102-A102</f>
        <v>0</v>
      </c>
      <c r="D102" s="1" t="n">
        <v>1</v>
      </c>
      <c r="E102" s="1" t="n">
        <v>1</v>
      </c>
      <c r="F102" s="1" t="n">
        <f aca="false">E102-D102</f>
        <v>0</v>
      </c>
      <c r="G102" s="1" t="n">
        <v>1</v>
      </c>
      <c r="H102" s="1" t="n">
        <v>1</v>
      </c>
      <c r="I102" s="1" t="n">
        <f aca="false">H102-G102</f>
        <v>0</v>
      </c>
      <c r="J102" s="1" t="n">
        <v>2</v>
      </c>
      <c r="K102" s="1" t="n">
        <v>2</v>
      </c>
      <c r="L102" s="1" t="n">
        <f aca="false">K102-J102</f>
        <v>0</v>
      </c>
      <c r="M102" s="1" t="n">
        <v>5</v>
      </c>
      <c r="N102" s="1" t="n">
        <v>7</v>
      </c>
      <c r="O102" s="1" t="n">
        <f aca="false">N102-M102</f>
        <v>2</v>
      </c>
      <c r="P102" s="1" t="n">
        <v>2</v>
      </c>
      <c r="Q102" s="1" t="n">
        <v>2</v>
      </c>
      <c r="R102" s="1" t="n">
        <f aca="false">Q102-P102</f>
        <v>0</v>
      </c>
      <c r="S102" s="1" t="n">
        <v>3</v>
      </c>
      <c r="T102" s="1" t="n">
        <v>4</v>
      </c>
      <c r="U102" s="1" t="n">
        <f aca="false">T102-S102</f>
        <v>1</v>
      </c>
      <c r="V102" s="1" t="n">
        <v>1</v>
      </c>
      <c r="W102" s="1" t="n">
        <v>2</v>
      </c>
      <c r="X102" s="1" t="n">
        <f aca="false">W102-V102</f>
        <v>1</v>
      </c>
      <c r="Y102" s="1" t="n">
        <v>18</v>
      </c>
      <c r="Z102" s="1" t="n">
        <v>24</v>
      </c>
      <c r="AA102" s="1" t="n">
        <f aca="false">Z102-Y102</f>
        <v>6</v>
      </c>
      <c r="AB102" s="1" t="n">
        <v>2</v>
      </c>
      <c r="AC102" s="1" t="n">
        <v>2</v>
      </c>
      <c r="AD102" s="1" t="n">
        <f aca="false">AC102-AB102</f>
        <v>0</v>
      </c>
      <c r="AE102" s="1" t="n">
        <v>4</v>
      </c>
      <c r="AF102" s="1" t="n">
        <v>10</v>
      </c>
      <c r="AG102" s="1" t="n">
        <f aca="false">AF102-AE102</f>
        <v>6</v>
      </c>
      <c r="AM102" s="1" t="n">
        <v>91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W102" s="1" t="n">
        <f aca="false">$AM102</f>
        <v>91</v>
      </c>
      <c r="BX102" s="1" t="n">
        <f aca="false">MAX(BX101-AN102/AN$9*100,0)</f>
        <v>0</v>
      </c>
      <c r="BY102" s="1" t="n">
        <f aca="false">MAX(BY101-AO102/AO$9*100,0)</f>
        <v>0</v>
      </c>
      <c r="BZ102" s="1" t="n">
        <f aca="false">MAX(BZ101-AQ102/AQ$9*100,0)</f>
        <v>0</v>
      </c>
      <c r="CA102" s="1" t="n">
        <f aca="false">MAX(CA101-AR102/AR$9*100,0)</f>
        <v>0</v>
      </c>
      <c r="CB102" s="1" t="n">
        <f aca="false">CB$7*EXP(-$AM102/CB$8)</f>
        <v>9.87267381350964E-050</v>
      </c>
      <c r="CC102" s="1" t="n">
        <f aca="false">(BZ102-CB102)^2</f>
        <v>9.7469688227959E-099</v>
      </c>
      <c r="CD102" s="1" t="n">
        <f aca="false">MAX(CD101-AT102/AT$9*100,0)</f>
        <v>0</v>
      </c>
      <c r="CE102" s="1" t="n">
        <f aca="false">MAX(CE101-AU102/AU$9*100,0)</f>
        <v>5.32907051820075E-015</v>
      </c>
      <c r="CF102" s="1" t="n">
        <f aca="false">CF$7*EXP(-$AM102/CF$8)</f>
        <v>1.96707033832656E-048</v>
      </c>
      <c r="CG102" s="1" t="n">
        <f aca="false">(CD102-CF102)^2</f>
        <v>3.86936571592417E-096</v>
      </c>
      <c r="CH102" s="1" t="n">
        <f aca="false">$AM102</f>
        <v>91</v>
      </c>
      <c r="CI102" s="1" t="n">
        <f aca="false">MAX(CI101-AW102/AW$9*100,0)</f>
        <v>0</v>
      </c>
      <c r="CJ102" s="1" t="n">
        <f aca="false">MAX(CJ101-AX102/AX$9*100,0)</f>
        <v>0</v>
      </c>
      <c r="CK102" s="1" t="n">
        <f aca="false">CK$7*EXP(-$AM102/CK$8)</f>
        <v>2.96456037016249E-032</v>
      </c>
      <c r="CL102" s="1" t="n">
        <f aca="false">(CI102-CK102)^2</f>
        <v>8.78861818833796E-064</v>
      </c>
      <c r="CM102" s="1" t="n">
        <f aca="false">MAX(CM101-AZ102/AZ$9*100,0)</f>
        <v>0</v>
      </c>
      <c r="CN102" s="1" t="n">
        <f aca="false">MAX(CN101-BA102/BA$9*100,0)</f>
        <v>5.32907051820075E-015</v>
      </c>
      <c r="CO102" s="1" t="n">
        <f aca="false">CO$7*EXP(-$AM102/CO$8)</f>
        <v>1.32882581857382E-017</v>
      </c>
      <c r="CP102" s="1" t="n">
        <f aca="false">(CM102-CO102)^2</f>
        <v>1.76577805610838E-034</v>
      </c>
      <c r="CQ102" s="1" t="n">
        <f aca="false">$AM102</f>
        <v>91</v>
      </c>
      <c r="CR102" s="1" t="n">
        <f aca="false">MAX(CR101-BC102/BC$9*100,0)</f>
        <v>0</v>
      </c>
      <c r="CS102" s="1" t="n">
        <f aca="false">MAX(CS101-BD102/BD$9*100,0)</f>
        <v>0</v>
      </c>
      <c r="CT102" s="1" t="n">
        <f aca="false">CT$7*EXP(-$AM102/CT$8)</f>
        <v>1.11835289848213E-029</v>
      </c>
      <c r="CU102" s="1" t="n">
        <f aca="false">(CR102-CT102)^2</f>
        <v>1.25071320554338E-058</v>
      </c>
      <c r="CV102" s="1" t="n">
        <f aca="false">MAX(CV101-BF102/BF$9*100,0)</f>
        <v>8.88178419700125E-015</v>
      </c>
      <c r="CW102" s="1" t="n">
        <f aca="false">MAX(CW101-BG102/BG$9*100,0)</f>
        <v>5.32907051820075E-015</v>
      </c>
      <c r="CX102" s="1" t="n">
        <f aca="false">CX$7*EXP(-$AM102/CX$8)</f>
        <v>6.29189821557277E-015</v>
      </c>
      <c r="CY102" s="1" t="n">
        <f aca="false">(CV102-CX102)^2</f>
        <v>6.70750939679978E-030</v>
      </c>
      <c r="CZ102" s="1" t="n">
        <f aca="false">$AM102</f>
        <v>91</v>
      </c>
      <c r="DA102" s="1" t="n">
        <f aca="false">MAX(DA101-BI102/BI$9*100,0)</f>
        <v>0</v>
      </c>
      <c r="DB102" s="1" t="n">
        <f aca="false">MAX(DB101-BJ102/BJ$9*100,0)</f>
        <v>9.88098491916389E-015</v>
      </c>
      <c r="DC102" s="1" t="n">
        <f aca="false">DC$7*EXP(-$AM102/DC$8)</f>
        <v>2.27416661414987E-027</v>
      </c>
      <c r="DD102" s="1" t="n">
        <f aca="false">(DA102-DC102)^2</f>
        <v>5.17183378891388E-054</v>
      </c>
      <c r="DE102" s="1" t="n">
        <f aca="false">MAX(DE101-BL102/BL$9*100,0)</f>
        <v>0</v>
      </c>
      <c r="DF102" s="1" t="n">
        <f aca="false">MAX(DF101-BM102/BM$9*100,0)</f>
        <v>0</v>
      </c>
      <c r="DG102" s="1" t="n">
        <f aca="false">DG$7*EXP(-$AM102/DG$8)</f>
        <v>1.5877699695465E-008</v>
      </c>
      <c r="DH102" s="1" t="n">
        <f aca="false">(DE102-DG102)^2</f>
        <v>2.52101347619369E-016</v>
      </c>
      <c r="DI102" s="1" t="n">
        <f aca="false">$AM102</f>
        <v>91</v>
      </c>
      <c r="DJ102" s="1" t="n">
        <f aca="false">MAX(DJ101-BO102/BO$9*100,0)</f>
        <v>0</v>
      </c>
      <c r="DK102" s="1" t="n">
        <f aca="false">MAX(DK101-BP102/BP$9*100,0)</f>
        <v>9.99200722162641E-015</v>
      </c>
      <c r="DL102" s="1" t="n">
        <f aca="false">DL$7*EXP(-$AM102/DL$8)</f>
        <v>8.51535985106884E-023</v>
      </c>
      <c r="DM102" s="1" t="n">
        <f aca="false">(DJ102-DL102)^2</f>
        <v>7.25113533931951E-045</v>
      </c>
      <c r="DN102" s="1" t="n">
        <f aca="false">MAX(DN101-BR102/BR$9*100,0)</f>
        <v>0</v>
      </c>
      <c r="DO102" s="1" t="n">
        <f aca="false">MAX(DO101-BS102/BS$9*100,0)</f>
        <v>0</v>
      </c>
      <c r="DP102" s="1" t="n">
        <f aca="false">DP$7*EXP(-$AM102/DP$8)</f>
        <v>7.77439115902535E-010</v>
      </c>
      <c r="DQ102" s="1" t="n">
        <f aca="false">(DN102-DP102)^2</f>
        <v>6.04411578935315E-019</v>
      </c>
      <c r="DS102" s="1" t="n">
        <f aca="false">$AM102</f>
        <v>91</v>
      </c>
      <c r="DT102" s="1" t="n">
        <f aca="false">CA102</f>
        <v>0</v>
      </c>
      <c r="DU102" s="1" t="n">
        <f aca="false">DU$7*EXP(-DS102/DU$8)</f>
        <v>2.94507957727299E-039</v>
      </c>
      <c r="DV102" s="1" t="n">
        <f aca="false">(DT102-DU102)^2</f>
        <v>8.67349371647045E-078</v>
      </c>
      <c r="DX102" s="1" t="n">
        <f aca="false">$AM102</f>
        <v>91</v>
      </c>
      <c r="DY102" s="1" t="n">
        <f aca="false">CM102</f>
        <v>0</v>
      </c>
      <c r="DZ102" s="1" t="n">
        <f aca="false">DZ$7*EXP(-DX102/DZ$8)</f>
        <v>9.90744485700477E-021</v>
      </c>
      <c r="EA102" s="1" t="n">
        <f aca="false">(DY102-DZ102)^2</f>
        <v>9.81574635945903E-041</v>
      </c>
      <c r="EC102" s="1" t="n">
        <f aca="false">$AM102</f>
        <v>91</v>
      </c>
      <c r="ED102" s="1" t="n">
        <f aca="false">CV102</f>
        <v>8.88178419700125E-015</v>
      </c>
      <c r="EE102" s="1" t="n">
        <f aca="false">EE$7*EXP(-EC102/EE$8)</f>
        <v>7.83967421375125E-016</v>
      </c>
      <c r="EF102" s="1" t="n">
        <f aca="false">(ED102-EE102)^2</f>
        <v>6.55746365316119E-029</v>
      </c>
      <c r="EH102" s="1" t="n">
        <f aca="false">$AM102</f>
        <v>91</v>
      </c>
      <c r="EI102" s="1" t="n">
        <f aca="false">DE102</f>
        <v>0</v>
      </c>
      <c r="EJ102" s="1" t="n">
        <f aca="false">EJ$7*EXP(-EH102/EJ$8)</f>
        <v>1.58118171241146E-008</v>
      </c>
      <c r="EK102" s="1" t="n">
        <f aca="false">(EI102-EJ102)^2</f>
        <v>2.50013560766444E-016</v>
      </c>
      <c r="EM102" s="1" t="n">
        <f aca="false">AM102</f>
        <v>91</v>
      </c>
      <c r="EN102" s="1" t="n">
        <f aca="false">DN102</f>
        <v>0</v>
      </c>
      <c r="EO102" s="1" t="n">
        <f aca="false">EO$7*EXP(-EM102/EO$8)</f>
        <v>1.78470070769357E-009</v>
      </c>
      <c r="EP102" s="1" t="n">
        <f aca="false">(EN102-EO102)^2</f>
        <v>3.18515661604193E-018</v>
      </c>
      <c r="ER102" s="1" t="n">
        <f aca="false">$AM102</f>
        <v>91</v>
      </c>
      <c r="ES102" s="1" t="n">
        <f aca="false">BZ102</f>
        <v>0</v>
      </c>
      <c r="ET102" s="1" t="n">
        <f aca="false">ET$7*EXP(-ER102/ET$8)</f>
        <v>1.63637266771239E-045</v>
      </c>
      <c r="EU102" s="1" t="n">
        <f aca="false">(ES102-ET102)^2</f>
        <v>2.67771550763616E-090</v>
      </c>
      <c r="EW102" s="1" t="n">
        <f aca="false">$AM102</f>
        <v>91</v>
      </c>
      <c r="EX102" s="1" t="n">
        <f aca="false">CI102</f>
        <v>0</v>
      </c>
      <c r="EY102" s="1" t="n">
        <f aca="false">EY$7*EXP(-EW102/EY$8)</f>
        <v>9.11418614125105E-042</v>
      </c>
      <c r="EZ102" s="1" t="n">
        <f aca="false">(EX102-EY102)^2</f>
        <v>8.30683890173727E-083</v>
      </c>
      <c r="FB102" s="1" t="n">
        <f aca="false">$AM102</f>
        <v>91</v>
      </c>
      <c r="FC102" s="1" t="n">
        <f aca="false">CR102</f>
        <v>0</v>
      </c>
      <c r="FD102" s="1" t="n">
        <f aca="false">FD$7*EXP(-FB102/FD$8)</f>
        <v>4.08850849096955E-036</v>
      </c>
      <c r="FE102" s="1" t="n">
        <f aca="false">(FC102-FD102)^2</f>
        <v>1.67159016807301E-071</v>
      </c>
      <c r="FG102" s="1" t="n">
        <f aca="false">$AM102</f>
        <v>91</v>
      </c>
      <c r="FH102" s="1" t="n">
        <f aca="false">DA102</f>
        <v>0</v>
      </c>
      <c r="FI102" s="1" t="n">
        <f aca="false">FI$7*EXP(-FG102/FI$8)</f>
        <v>4.0522528522604E-031</v>
      </c>
      <c r="FJ102" s="1" t="n">
        <f aca="false">(FH102-FI102)^2</f>
        <v>1.64207531786526E-061</v>
      </c>
      <c r="FL102" s="1" t="n">
        <f aca="false">EM102</f>
        <v>91</v>
      </c>
      <c r="FM102" s="1" t="n">
        <f aca="false">DJ102</f>
        <v>0</v>
      </c>
      <c r="FN102" s="1" t="n">
        <f aca="false">FN$7*EXP(-FL102/FN$8)</f>
        <v>7.64276229855462E-025</v>
      </c>
      <c r="FO102" s="1" t="n">
        <f aca="false">(FM102-FN102)^2</f>
        <v>5.84118155522079E-049</v>
      </c>
      <c r="FQ102" s="1" t="n">
        <f aca="false">AM102</f>
        <v>91</v>
      </c>
      <c r="FR102" s="1" t="n">
        <f aca="false">AN102/AN$9*100</f>
        <v>0</v>
      </c>
      <c r="FS102" s="1" t="n">
        <f aca="false">AO102/AO$9*100</f>
        <v>0</v>
      </c>
      <c r="FT102" s="1" t="n">
        <f aca="false">AQ102/AQ$9*100</f>
        <v>0</v>
      </c>
      <c r="FU102" s="1" t="n">
        <f aca="false">AR102/AR$9*100</f>
        <v>0</v>
      </c>
      <c r="FV102" s="1" t="n">
        <f aca="false">AT102/AT$9*100</f>
        <v>0</v>
      </c>
      <c r="FW102" s="1" t="n">
        <f aca="false">AU102/AU$9*100</f>
        <v>0</v>
      </c>
      <c r="FX102" s="1" t="n">
        <f aca="false">AW102/AW$9*100</f>
        <v>0</v>
      </c>
      <c r="FY102" s="1" t="n">
        <f aca="false">AX102/AX$9*100</f>
        <v>0</v>
      </c>
      <c r="FZ102" s="1" t="n">
        <f aca="false">AZ102/AZ$9*100</f>
        <v>0</v>
      </c>
      <c r="GA102" s="1" t="n">
        <f aca="false">BA102/BA$9*100</f>
        <v>0</v>
      </c>
      <c r="GB102" s="1" t="n">
        <f aca="false">BC102/BC$9*100</f>
        <v>0</v>
      </c>
      <c r="GC102" s="1" t="n">
        <f aca="false">BD102/BD$9*100</f>
        <v>0</v>
      </c>
      <c r="GD102" s="1" t="n">
        <f aca="false">BF102/BF$9*100</f>
        <v>0</v>
      </c>
      <c r="GE102" s="1" t="n">
        <f aca="false">BG102/BG$9*100</f>
        <v>0</v>
      </c>
      <c r="GF102" s="1" t="n">
        <f aca="false">BI102/BI$9*100</f>
        <v>0</v>
      </c>
      <c r="GG102" s="1" t="n">
        <f aca="false">BJ102/BJ$9*100</f>
        <v>0</v>
      </c>
      <c r="GH102" s="1" t="n">
        <f aca="false">BL102/BL$9*100</f>
        <v>0</v>
      </c>
      <c r="GI102" s="1" t="n">
        <f aca="false">BM102/BM$9*100</f>
        <v>0</v>
      </c>
      <c r="GJ102" s="1" t="n">
        <f aca="false">BO102/BO$9*100</f>
        <v>0</v>
      </c>
      <c r="GK102" s="1" t="n">
        <f aca="false">BP102/BP$9*100</f>
        <v>0</v>
      </c>
      <c r="GL102" s="1" t="n">
        <f aca="false">BR102/BR$9*100</f>
        <v>0</v>
      </c>
      <c r="GM102" s="1" t="n">
        <f aca="false">BS102/BS$9*100</f>
        <v>0</v>
      </c>
      <c r="GO102" s="1" t="n">
        <f aca="false">$AM102</f>
        <v>91</v>
      </c>
      <c r="GP102" s="1" t="n">
        <f aca="false">FT102</f>
        <v>0</v>
      </c>
      <c r="GQ102" s="1" t="n">
        <f aca="false">GQ$6*(1+GQ$5*(-1)^$FQ102)*EXP(-$FQ102/GQ$4)</f>
        <v>8.0640072452001E-029</v>
      </c>
      <c r="GR102" s="1" t="n">
        <f aca="false">(GP102-GQ102)^2</f>
        <v>6.50282128506397E-057</v>
      </c>
      <c r="GS102" s="1" t="n">
        <f aca="false">EXP($FQ102/$JG$4)*GP102</f>
        <v>0</v>
      </c>
      <c r="GT102" s="1" t="n">
        <f aca="false">EXP($FQ102/$JG$4)*(-1)^$FQ102*GP102</f>
        <v>-0</v>
      </c>
      <c r="GU102" s="1" t="n">
        <f aca="false">(-1)^GO102*GP102</f>
        <v>-0</v>
      </c>
      <c r="GW102" s="1" t="n">
        <f aca="false">$AM102</f>
        <v>91</v>
      </c>
      <c r="GX102" s="1" t="n">
        <f aca="false">FX102</f>
        <v>0</v>
      </c>
      <c r="GY102" s="1" t="n">
        <f aca="false">GY$6*(1+GY$5*(-1)^$FQ102)*EXP(-$FQ102/GY$4)</f>
        <v>8.0640072452001E-029</v>
      </c>
      <c r="GZ102" s="1" t="n">
        <f aca="false">(GX102-GY102)^2</f>
        <v>6.50282128506397E-057</v>
      </c>
      <c r="HA102" s="1" t="n">
        <f aca="false">EXP($FQ102/$JG$4)*GX102</f>
        <v>0</v>
      </c>
      <c r="HB102" s="1" t="n">
        <f aca="false">EXP($FQ102/$JG$4)*(-1)^$FQ102*GX102</f>
        <v>-0</v>
      </c>
      <c r="HC102" s="1" t="n">
        <f aca="false">(-1)^GW102*GX102</f>
        <v>-0</v>
      </c>
      <c r="HE102" s="1" t="n">
        <f aca="false">$AM102</f>
        <v>91</v>
      </c>
      <c r="HF102" s="1" t="n">
        <f aca="false">GB102</f>
        <v>0</v>
      </c>
      <c r="HG102" s="1" t="n">
        <f aca="false">HG$6*(1+HG$5*(-1)^$FQ102)*EXP(-$FQ102/HG$4)</f>
        <v>8.0640072452001E-029</v>
      </c>
      <c r="HH102" s="1" t="n">
        <f aca="false">(HF102-HG102)^2</f>
        <v>6.50282128506397E-057</v>
      </c>
      <c r="HI102" s="1" t="n">
        <f aca="false">EXP($FQ102/$JG$4)*HF102</f>
        <v>0</v>
      </c>
      <c r="HJ102" s="1" t="n">
        <f aca="false">EXP($FQ102/$JG$4)*(-1)^$FQ102*HF102</f>
        <v>-0</v>
      </c>
      <c r="HK102" s="1" t="n">
        <f aca="false">(-1)^HE102*HF102</f>
        <v>-0</v>
      </c>
      <c r="HM102" s="1" t="n">
        <f aca="false">$AM102</f>
        <v>91</v>
      </c>
      <c r="HN102" s="1" t="n">
        <f aca="false">GF102</f>
        <v>0</v>
      </c>
      <c r="HO102" s="1" t="n">
        <f aca="false">HO$6*(1+HO$5*(-1)^$FQ102)*EXP(-$FQ102/HO$4)</f>
        <v>7.84076258607397E-023</v>
      </c>
      <c r="HP102" s="1" t="n">
        <f aca="false">(HN102-HO102)^2</f>
        <v>6.14775579311774E-045</v>
      </c>
      <c r="HQ102" s="1" t="n">
        <f aca="false">EXP($FQ102/$JG$4)*HN102</f>
        <v>0</v>
      </c>
      <c r="HR102" s="1" t="n">
        <f aca="false">EXP($FQ102/$JG$4)*(-1)^$FQ102*HN102</f>
        <v>-0</v>
      </c>
      <c r="HS102" s="1" t="n">
        <f aca="false">(-1)^HM102*HN102</f>
        <v>-0</v>
      </c>
      <c r="HU102" s="1" t="n">
        <f aca="false">$AM102</f>
        <v>91</v>
      </c>
      <c r="HV102" s="1" t="n">
        <f aca="false">GJ102</f>
        <v>0</v>
      </c>
      <c r="HW102" s="1" t="n">
        <f aca="false">HW$6*(1+HW$5*(-1)^$FQ102)*EXP(-$FQ102/HW$4)</f>
        <v>1.01730617843868E-016</v>
      </c>
      <c r="HX102" s="1" t="n">
        <f aca="false">(HV102-HW102)^2</f>
        <v>1.03491186068951E-032</v>
      </c>
      <c r="HY102" s="1" t="n">
        <f aca="false">EXP($FQ102/$JG$4)*HV102</f>
        <v>0</v>
      </c>
      <c r="HZ102" s="1" t="n">
        <f aca="false">EXP($FQ102/$JG$4)*(-1)^$FQ102*HV102</f>
        <v>-0</v>
      </c>
      <c r="IA102" s="1" t="n">
        <f aca="false">(-1)^HU102*HV102</f>
        <v>-0</v>
      </c>
      <c r="ID102" s="1" t="n">
        <f aca="false">$AM102</f>
        <v>91</v>
      </c>
      <c r="IE102" s="1" t="n">
        <f aca="false">FZ102</f>
        <v>0</v>
      </c>
      <c r="IF102" s="1" t="n">
        <f aca="false">IF$6*(1+IF$5*(-1)^$FQ102)*EXP(-$FQ102/IF$4)</f>
        <v>1.90440127725902E-012</v>
      </c>
      <c r="IG102" s="1" t="n">
        <f aca="false">(IE102-IF102)^2</f>
        <v>3.62674422482579E-024</v>
      </c>
      <c r="IH102" s="1" t="n">
        <f aca="false">EXP($FQ102/$JG$4)*IE102</f>
        <v>0</v>
      </c>
      <c r="II102" s="1" t="n">
        <f aca="false">EXP($FQ102/$JG$4)*(-1)^$FQ102*IE102</f>
        <v>-0</v>
      </c>
      <c r="IJ102" s="1" t="n">
        <f aca="false">(-1)^ID102*IE102</f>
        <v>-0</v>
      </c>
      <c r="IK102" s="1" t="n">
        <v>0</v>
      </c>
      <c r="IM102" s="1" t="n">
        <f aca="false">$AM102</f>
        <v>91</v>
      </c>
      <c r="IN102" s="1" t="n">
        <f aca="false">GD102</f>
        <v>0</v>
      </c>
      <c r="IO102" s="1" t="n">
        <f aca="false">IO$6*(1+IO$5*(-1)^$FQ102)*EXP(-$FQ102/IO$4)</f>
        <v>1.12345384548648E-010</v>
      </c>
      <c r="IP102" s="1" t="n">
        <f aca="false">(IN102-IO102)^2</f>
        <v>1.26214854293836E-020</v>
      </c>
      <c r="IQ102" s="1" t="n">
        <f aca="false">EXP($FQ102/$JG$4)*IN102</f>
        <v>0</v>
      </c>
      <c r="IR102" s="1" t="n">
        <f aca="false">EXP($FQ102/$JG$4)*(-1)^$FQ102*IN102</f>
        <v>-0</v>
      </c>
      <c r="IS102" s="1" t="n">
        <f aca="false">(-1)^IM102*IN102</f>
        <v>-0</v>
      </c>
      <c r="IV102" s="1" t="n">
        <f aca="false">$AM102</f>
        <v>91</v>
      </c>
      <c r="IW102" s="1" t="n">
        <f aca="false">GH102</f>
        <v>0</v>
      </c>
      <c r="IX102" s="1" t="n">
        <f aca="false">IX$6*(1+IX$5*(-1)^$FQ102)*EXP(-$FQ102/IX$4)</f>
        <v>2.31387190823733E-007</v>
      </c>
      <c r="IY102" s="1" t="n">
        <f aca="false">(IW102-IX102)^2</f>
        <v>5.35400320772986E-014</v>
      </c>
      <c r="IZ102" s="1" t="n">
        <f aca="false">EXP($FQ102/$JG$4)*IW102</f>
        <v>0</v>
      </c>
      <c r="JA102" s="1" t="n">
        <f aca="false">EXP($FQ102/$JG$4)*(-1)^$FQ102*IW102</f>
        <v>-0</v>
      </c>
      <c r="JB102" s="1" t="n">
        <f aca="false">(-1)^IV102*IW102</f>
        <v>-0</v>
      </c>
      <c r="JE102" s="1" t="n">
        <f aca="false">$AM102</f>
        <v>91</v>
      </c>
      <c r="JF102" s="1" t="n">
        <f aca="false">GL102</f>
        <v>0</v>
      </c>
      <c r="JG102" s="1" t="n">
        <f aca="false">JG$6*(1+JG$5*(-1)^$FQ102)*EXP(-$FQ102/JG$4)</f>
        <v>4.45141870716032E-009</v>
      </c>
      <c r="JH102" s="1" t="n">
        <f aca="false">(JF102-JG102)^2</f>
        <v>1.98151285064569E-017</v>
      </c>
      <c r="JI102" s="1" t="n">
        <f aca="false">EXP($FQ102/$JG$4)*JF102</f>
        <v>0</v>
      </c>
      <c r="JJ102" s="1" t="n">
        <f aca="false">EXP($FQ102/$JG$4)*(-1)^$FQ102*JF102</f>
        <v>-0</v>
      </c>
      <c r="JK102" s="1" t="n">
        <f aca="false">(-1)^JE102*JF102</f>
        <v>-0</v>
      </c>
      <c r="JO102" s="1" t="n">
        <f aca="false">$AM102</f>
        <v>91</v>
      </c>
      <c r="JP102" s="1" t="n">
        <f aca="false">GM102</f>
        <v>0</v>
      </c>
      <c r="JQ102" s="1" t="n">
        <f aca="false">JQ$6*(1+JQ$5*(-1)^$FQ102)*EXP(-$FQ102/JQ$4)</f>
        <v>0.00188813780511639</v>
      </c>
      <c r="JR102" s="1" t="n">
        <f aca="false">(JP102-JQ102)^2</f>
        <v>3.56506437110974E-006</v>
      </c>
      <c r="JS102" s="1" t="n">
        <f aca="false">EXP($FQ102/$JG$4)*JP102</f>
        <v>0</v>
      </c>
      <c r="JT102" s="1" t="n">
        <f aca="false">EXP($FQ102/$JG$4)*(-1)^$FQ102*JP102</f>
        <v>-0</v>
      </c>
      <c r="JU102" s="1" t="n">
        <f aca="false">(-1)^JO102*JP102</f>
        <v>-0</v>
      </c>
    </row>
    <row r="103" customFormat="false" ht="16" hidden="false" customHeight="false" outlineLevel="0" collapsed="false">
      <c r="A103" s="1" t="n">
        <v>2</v>
      </c>
      <c r="B103" s="1" t="n">
        <v>2</v>
      </c>
      <c r="C103" s="1" t="n">
        <f aca="false">B103-A103</f>
        <v>0</v>
      </c>
      <c r="D103" s="1" t="n">
        <v>1</v>
      </c>
      <c r="E103" s="1" t="n">
        <v>1</v>
      </c>
      <c r="F103" s="1" t="n">
        <f aca="false">E103-D103</f>
        <v>0</v>
      </c>
      <c r="G103" s="1" t="n">
        <v>3</v>
      </c>
      <c r="H103" s="1" t="n">
        <v>3</v>
      </c>
      <c r="I103" s="1" t="n">
        <f aca="false">H103-G103</f>
        <v>0</v>
      </c>
      <c r="J103" s="1" t="n">
        <v>3</v>
      </c>
      <c r="K103" s="1" t="n">
        <v>3</v>
      </c>
      <c r="L103" s="1" t="n">
        <f aca="false">K103-J103</f>
        <v>0</v>
      </c>
      <c r="M103" s="1" t="n">
        <v>2</v>
      </c>
      <c r="N103" s="1" t="n">
        <v>2</v>
      </c>
      <c r="O103" s="1" t="n">
        <f aca="false">N103-M103</f>
        <v>0</v>
      </c>
      <c r="P103" s="1" t="n">
        <v>1</v>
      </c>
      <c r="Q103" s="1" t="n">
        <v>3</v>
      </c>
      <c r="R103" s="1" t="n">
        <f aca="false">Q103-P103</f>
        <v>2</v>
      </c>
      <c r="S103" s="1" t="n">
        <v>3</v>
      </c>
      <c r="T103" s="1" t="n">
        <v>8</v>
      </c>
      <c r="U103" s="1" t="n">
        <f aca="false">T103-S103</f>
        <v>5</v>
      </c>
      <c r="V103" s="1" t="n">
        <v>1</v>
      </c>
      <c r="W103" s="1" t="n">
        <v>2</v>
      </c>
      <c r="X103" s="1" t="n">
        <f aca="false">W103-V103</f>
        <v>1</v>
      </c>
      <c r="Y103" s="1" t="n">
        <v>2</v>
      </c>
      <c r="Z103" s="1" t="n">
        <v>8</v>
      </c>
      <c r="AA103" s="1" t="n">
        <f aca="false">Z103-Y103</f>
        <v>6</v>
      </c>
      <c r="AB103" s="1" t="n">
        <v>3</v>
      </c>
      <c r="AC103" s="1" t="n">
        <v>6</v>
      </c>
      <c r="AD103" s="1" t="n">
        <f aca="false">AC103-AB103</f>
        <v>3</v>
      </c>
      <c r="AE103" s="1" t="n">
        <v>4</v>
      </c>
      <c r="AF103" s="1" t="n">
        <v>14</v>
      </c>
      <c r="AG103" s="1" t="n">
        <f aca="false">AF103-AE103</f>
        <v>10</v>
      </c>
      <c r="AM103" s="1" t="n">
        <v>92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W103" s="1" t="n">
        <f aca="false">$AM103</f>
        <v>92</v>
      </c>
      <c r="BX103" s="1" t="n">
        <f aca="false">MAX(BX102-AN103/AN$9*100,0)</f>
        <v>0</v>
      </c>
      <c r="BY103" s="1" t="n">
        <f aca="false">MAX(BY102-AO103/AO$9*100,0)</f>
        <v>0</v>
      </c>
      <c r="BZ103" s="1" t="n">
        <f aca="false">MAX(BZ102-AQ103/AQ$9*100,0)</f>
        <v>0</v>
      </c>
      <c r="CA103" s="1" t="n">
        <f aca="false">MAX(CA102-AR103/AR$9*100,0)</f>
        <v>0</v>
      </c>
      <c r="CB103" s="1" t="n">
        <f aca="false">CB$7*EXP(-$AM103/CB$8)</f>
        <v>2.69411407488668E-050</v>
      </c>
      <c r="CC103" s="1" t="n">
        <f aca="false">(BZ103-CB103)^2</f>
        <v>7.25825064850251E-100</v>
      </c>
      <c r="CD103" s="1" t="n">
        <f aca="false">MAX(CD102-AT103/AT$9*100,0)</f>
        <v>0</v>
      </c>
      <c r="CE103" s="1" t="n">
        <f aca="false">MAX(CE102-AU103/AU$9*100,0)</f>
        <v>5.32907051820075E-015</v>
      </c>
      <c r="CF103" s="1" t="n">
        <f aca="false">CF$7*EXP(-$AM103/CF$8)</f>
        <v>5.54727938206941E-049</v>
      </c>
      <c r="CG103" s="1" t="n">
        <f aca="false">(CD103-CF103)^2</f>
        <v>3.07723085427324E-097</v>
      </c>
      <c r="CH103" s="1" t="n">
        <f aca="false">$AM103</f>
        <v>92</v>
      </c>
      <c r="CI103" s="1" t="n">
        <f aca="false">MAX(CI102-AW103/AW$9*100,0)</f>
        <v>0</v>
      </c>
      <c r="CJ103" s="1" t="n">
        <f aca="false">MAX(CJ102-AX103/AX$9*100,0)</f>
        <v>0</v>
      </c>
      <c r="CK103" s="1" t="n">
        <f aca="false">CK$7*EXP(-$AM103/CK$8)</f>
        <v>1.2611549065171E-032</v>
      </c>
      <c r="CL103" s="1" t="n">
        <f aca="false">(CI103-CK103)^2</f>
        <v>1.59051169823216E-064</v>
      </c>
      <c r="CM103" s="1" t="n">
        <f aca="false">MAX(CM102-AZ103/AZ$9*100,0)</f>
        <v>0</v>
      </c>
      <c r="CN103" s="1" t="n">
        <f aca="false">MAX(CN102-BA103/BA$9*100,0)</f>
        <v>5.32907051820075E-015</v>
      </c>
      <c r="CO103" s="1" t="n">
        <f aca="false">CO$7*EXP(-$AM103/CO$8)</f>
        <v>8.21623086231952E-018</v>
      </c>
      <c r="CP103" s="1" t="n">
        <f aca="false">(CM103-CO103)^2</f>
        <v>6.75064495829318E-035</v>
      </c>
      <c r="CQ103" s="1" t="n">
        <f aca="false">$AM103</f>
        <v>92</v>
      </c>
      <c r="CR103" s="1" t="n">
        <f aca="false">MAX(CR102-BC103/BC$9*100,0)</f>
        <v>0</v>
      </c>
      <c r="CS103" s="1" t="n">
        <f aca="false">MAX(CS102-BD103/BD$9*100,0)</f>
        <v>0</v>
      </c>
      <c r="CT103" s="1" t="n">
        <f aca="false">CT$7*EXP(-$AM103/CT$8)</f>
        <v>5.08879210385707E-030</v>
      </c>
      <c r="CU103" s="1" t="n">
        <f aca="false">(CR103-CT103)^2</f>
        <v>2.58958050762781E-059</v>
      </c>
      <c r="CV103" s="1" t="n">
        <f aca="false">MAX(CV102-BF103/BF$9*100,0)</f>
        <v>8.88178419700125E-015</v>
      </c>
      <c r="CW103" s="1" t="n">
        <f aca="false">MAX(CW102-BG103/BG$9*100,0)</f>
        <v>5.32907051820075E-015</v>
      </c>
      <c r="CX103" s="1" t="n">
        <f aca="false">CX$7*EXP(-$AM103/CX$8)</f>
        <v>4.16218288145552E-015</v>
      </c>
      <c r="CY103" s="1" t="n">
        <f aca="false">(CV103-CX103)^2</f>
        <v>2.2274636577701E-029</v>
      </c>
      <c r="CZ103" s="1" t="n">
        <f aca="false">$AM103</f>
        <v>92</v>
      </c>
      <c r="DA103" s="1" t="n">
        <f aca="false">MAX(DA102-BI103/BI$9*100,0)</f>
        <v>0</v>
      </c>
      <c r="DB103" s="1" t="n">
        <f aca="false">MAX(DB102-BJ103/BJ$9*100,0)</f>
        <v>9.88098491916389E-015</v>
      </c>
      <c r="DC103" s="1" t="n">
        <f aca="false">DC$7*EXP(-$AM103/DC$8)</f>
        <v>1.09602133495943E-027</v>
      </c>
      <c r="DD103" s="1" t="n">
        <f aca="false">(DA103-DC103)^2</f>
        <v>1.20126276668625E-054</v>
      </c>
      <c r="DE103" s="1" t="n">
        <f aca="false">MAX(DE102-BL103/BL$9*100,0)</f>
        <v>0</v>
      </c>
      <c r="DF103" s="1" t="n">
        <f aca="false">MAX(DF102-BM103/BM$9*100,0)</f>
        <v>0</v>
      </c>
      <c r="DG103" s="1" t="n">
        <f aca="false">DG$7*EXP(-$AM103/DG$8)</f>
        <v>1.23655649562008E-008</v>
      </c>
      <c r="DH103" s="1" t="n">
        <f aca="false">(DE103-DG103)^2</f>
        <v>1.52907196686021E-016</v>
      </c>
      <c r="DI103" s="1" t="n">
        <f aca="false">$AM103</f>
        <v>92</v>
      </c>
      <c r="DJ103" s="1" t="n">
        <f aca="false">MAX(DJ102-BO103/BO$9*100,0)</f>
        <v>0</v>
      </c>
      <c r="DK103" s="1" t="n">
        <f aca="false">MAX(DK102-BP103/BP$9*100,0)</f>
        <v>9.99200722162641E-015</v>
      </c>
      <c r="DL103" s="1" t="n">
        <f aca="false">DL$7*EXP(-$AM103/DL$8)</f>
        <v>4.61067672639331E-023</v>
      </c>
      <c r="DM103" s="1" t="n">
        <f aca="false">(DJ103-DL103)^2</f>
        <v>2.12583398753049E-045</v>
      </c>
      <c r="DN103" s="1" t="n">
        <f aca="false">MAX(DN102-BR103/BR$9*100,0)</f>
        <v>0</v>
      </c>
      <c r="DO103" s="1" t="n">
        <f aca="false">MAX(DO102-BS103/BS$9*100,0)</f>
        <v>0</v>
      </c>
      <c r="DP103" s="1" t="n">
        <f aca="false">DP$7*EXP(-$AM103/DP$8)</f>
        <v>5.85648168657912E-010</v>
      </c>
      <c r="DQ103" s="1" t="n">
        <f aca="false">(DN103-DP103)^2</f>
        <v>3.42983777452366E-019</v>
      </c>
      <c r="DS103" s="1" t="n">
        <f aca="false">$AM103</f>
        <v>92</v>
      </c>
      <c r="DT103" s="1" t="n">
        <f aca="false">CA103</f>
        <v>0</v>
      </c>
      <c r="DU103" s="1" t="n">
        <f aca="false">DU$7*EXP(-DS103/DU$8)</f>
        <v>1.05043882226805E-039</v>
      </c>
      <c r="DV103" s="1" t="n">
        <f aca="false">(DT103-DU103)^2</f>
        <v>1.10342171932789E-078</v>
      </c>
      <c r="DX103" s="1" t="n">
        <f aca="false">$AM103</f>
        <v>92</v>
      </c>
      <c r="DY103" s="1" t="n">
        <f aca="false">CM103</f>
        <v>0</v>
      </c>
      <c r="DZ103" s="1" t="n">
        <f aca="false">DZ$7*EXP(-DX103/DZ$8)</f>
        <v>5.64905755869899E-021</v>
      </c>
      <c r="EA103" s="1" t="n">
        <f aca="false">(DY103-DZ103)^2</f>
        <v>3.19118513014942E-041</v>
      </c>
      <c r="EC103" s="1" t="n">
        <f aca="false">$AM103</f>
        <v>92</v>
      </c>
      <c r="ED103" s="1" t="n">
        <f aca="false">CV103</f>
        <v>8.88178419700125E-015</v>
      </c>
      <c r="EE103" s="1" t="n">
        <f aca="false">EE$7*EXP(-EC103/EE$8)</f>
        <v>5.06582018472869E-016</v>
      </c>
      <c r="EF103" s="1" t="n">
        <f aca="false">(ED103-EE103)^2</f>
        <v>7.01440115312266E-029</v>
      </c>
      <c r="EH103" s="1" t="n">
        <f aca="false">$AM103</f>
        <v>92</v>
      </c>
      <c r="EI103" s="1" t="n">
        <f aca="false">DE103</f>
        <v>0</v>
      </c>
      <c r="EJ103" s="1" t="n">
        <f aca="false">EJ$7*EXP(-EH103/EJ$8)</f>
        <v>1.23142555580423E-008</v>
      </c>
      <c r="EK103" s="1" t="n">
        <f aca="false">(EI103-EJ103)^2</f>
        <v>1.51640889948776E-016</v>
      </c>
      <c r="EM103" s="1" t="n">
        <f aca="false">AM103</f>
        <v>92</v>
      </c>
      <c r="EN103" s="1" t="n">
        <f aca="false">DN103</f>
        <v>0</v>
      </c>
      <c r="EO103" s="1" t="n">
        <f aca="false">EO$7*EXP(-EM103/EO$8)</f>
        <v>1.35700237043807E-009</v>
      </c>
      <c r="EP103" s="1" t="n">
        <f aca="false">(EN103-EO103)^2</f>
        <v>1.84145543337454E-018</v>
      </c>
      <c r="ER103" s="1" t="n">
        <f aca="false">$AM103</f>
        <v>92</v>
      </c>
      <c r="ES103" s="1" t="n">
        <f aca="false">BZ103</f>
        <v>0</v>
      </c>
      <c r="ET103" s="1" t="n">
        <f aca="false">ET$7*EXP(-ER103/ET$8)</f>
        <v>4.97582361050026E-046</v>
      </c>
      <c r="EU103" s="1" t="n">
        <f aca="false">(ES103-ET103)^2</f>
        <v>2.47588206028118E-091</v>
      </c>
      <c r="EW103" s="1" t="n">
        <f aca="false">$AM103</f>
        <v>92</v>
      </c>
      <c r="EX103" s="1" t="n">
        <f aca="false">CI103</f>
        <v>0</v>
      </c>
      <c r="EY103" s="1" t="n">
        <f aca="false">EY$7*EXP(-EW103/EY$8)</f>
        <v>3.03718475036827E-042</v>
      </c>
      <c r="EZ103" s="1" t="n">
        <f aca="false">(EX103-EY103)^2</f>
        <v>9.22449120786957E-084</v>
      </c>
      <c r="FB103" s="1" t="n">
        <f aca="false">$AM103</f>
        <v>92</v>
      </c>
      <c r="FC103" s="1" t="n">
        <f aca="false">CR103</f>
        <v>0</v>
      </c>
      <c r="FD103" s="1" t="n">
        <f aca="false">FD$7*EXP(-FB103/FD$8)</f>
        <v>1.57743368896782E-036</v>
      </c>
      <c r="FE103" s="1" t="n">
        <f aca="false">(FC103-FD103)^2</f>
        <v>2.48829704309062E-072</v>
      </c>
      <c r="FG103" s="1" t="n">
        <f aca="false">$AM103</f>
        <v>92</v>
      </c>
      <c r="FH103" s="1" t="n">
        <f aca="false">DA103</f>
        <v>0</v>
      </c>
      <c r="FI103" s="1" t="n">
        <f aca="false">FI$7*EXP(-FG103/FI$8)</f>
        <v>1.77327249238059E-031</v>
      </c>
      <c r="FJ103" s="1" t="n">
        <f aca="false">(FH103-FI103)^2</f>
        <v>3.14449533223367E-062</v>
      </c>
      <c r="FL103" s="1" t="n">
        <f aca="false">EM103</f>
        <v>92</v>
      </c>
      <c r="FM103" s="1" t="n">
        <f aca="false">DJ103</f>
        <v>0</v>
      </c>
      <c r="FN103" s="1" t="n">
        <f aca="false">FN$7*EXP(-FL103/FN$8)</f>
        <v>3.92392500077481E-025</v>
      </c>
      <c r="FO103" s="1" t="n">
        <f aca="false">(FM103-FN103)^2</f>
        <v>1.53971874117056E-049</v>
      </c>
      <c r="FQ103" s="1" t="n">
        <f aca="false">AM103</f>
        <v>92</v>
      </c>
      <c r="FR103" s="1" t="n">
        <f aca="false">AN103/AN$9*100</f>
        <v>0</v>
      </c>
      <c r="FS103" s="1" t="n">
        <f aca="false">AO103/AO$9*100</f>
        <v>0</v>
      </c>
      <c r="FT103" s="1" t="n">
        <f aca="false">AQ103/AQ$9*100</f>
        <v>0</v>
      </c>
      <c r="FU103" s="1" t="n">
        <f aca="false">AR103/AR$9*100</f>
        <v>0</v>
      </c>
      <c r="FV103" s="1" t="n">
        <f aca="false">AT103/AT$9*100</f>
        <v>0</v>
      </c>
      <c r="FW103" s="1" t="n">
        <f aca="false">AU103/AU$9*100</f>
        <v>0</v>
      </c>
      <c r="FX103" s="1" t="n">
        <f aca="false">AW103/AW$9*100</f>
        <v>0</v>
      </c>
      <c r="FY103" s="1" t="n">
        <f aca="false">AX103/AX$9*100</f>
        <v>0</v>
      </c>
      <c r="FZ103" s="1" t="n">
        <f aca="false">AZ103/AZ$9*100</f>
        <v>0</v>
      </c>
      <c r="GA103" s="1" t="n">
        <f aca="false">BA103/BA$9*100</f>
        <v>0</v>
      </c>
      <c r="GB103" s="1" t="n">
        <f aca="false">BC103/BC$9*100</f>
        <v>0</v>
      </c>
      <c r="GC103" s="1" t="n">
        <f aca="false">BD103/BD$9*100</f>
        <v>0</v>
      </c>
      <c r="GD103" s="1" t="n">
        <f aca="false">BF103/BF$9*100</f>
        <v>0</v>
      </c>
      <c r="GE103" s="1" t="n">
        <f aca="false">BG103/BG$9*100</f>
        <v>0</v>
      </c>
      <c r="GF103" s="1" t="n">
        <f aca="false">BI103/BI$9*100</f>
        <v>0</v>
      </c>
      <c r="GG103" s="1" t="n">
        <f aca="false">BJ103/BJ$9*100</f>
        <v>0</v>
      </c>
      <c r="GH103" s="1" t="n">
        <f aca="false">BL103/BL$9*100</f>
        <v>0</v>
      </c>
      <c r="GI103" s="1" t="n">
        <f aca="false">BM103/BM$9*100</f>
        <v>0</v>
      </c>
      <c r="GJ103" s="1" t="n">
        <f aca="false">BO103/BO$9*100</f>
        <v>0</v>
      </c>
      <c r="GK103" s="1" t="n">
        <f aca="false">BP103/BP$9*100</f>
        <v>0</v>
      </c>
      <c r="GL103" s="1" t="n">
        <f aca="false">BR103/BR$9*100</f>
        <v>0</v>
      </c>
      <c r="GM103" s="1" t="n">
        <f aca="false">BS103/BS$9*100</f>
        <v>0</v>
      </c>
      <c r="GO103" s="1" t="n">
        <f aca="false">$AM103</f>
        <v>92</v>
      </c>
      <c r="GP103" s="1" t="n">
        <f aca="false">FT103</f>
        <v>0</v>
      </c>
      <c r="GQ103" s="1" t="n">
        <f aca="false">GQ$6*(1+GQ$5*(-1)^$FQ103)*EXP(-$FQ103/GQ$4)</f>
        <v>1.10447535729409E-028</v>
      </c>
      <c r="GR103" s="1" t="n">
        <f aca="false">(GP103-GQ103)^2</f>
        <v>1.21986581486991E-056</v>
      </c>
      <c r="GS103" s="1" t="n">
        <f aca="false">EXP($FQ103/$JG$4)*GP103</f>
        <v>0</v>
      </c>
      <c r="GT103" s="1" t="n">
        <f aca="false">EXP($FQ103/$JG$4)*(-1)^$FQ103*GP103</f>
        <v>0</v>
      </c>
      <c r="GU103" s="1" t="n">
        <f aca="false">(-1)^GO103*GP103</f>
        <v>0</v>
      </c>
      <c r="GW103" s="1" t="n">
        <f aca="false">$AM103</f>
        <v>92</v>
      </c>
      <c r="GX103" s="1" t="n">
        <f aca="false">FX103</f>
        <v>0</v>
      </c>
      <c r="GY103" s="1" t="n">
        <f aca="false">GY$6*(1+GY$5*(-1)^$FQ103)*EXP(-$FQ103/GY$4)</f>
        <v>1.10447535729409E-028</v>
      </c>
      <c r="GZ103" s="1" t="n">
        <f aca="false">(GX103-GY103)^2</f>
        <v>1.21986581486991E-056</v>
      </c>
      <c r="HA103" s="1" t="n">
        <f aca="false">EXP($FQ103/$JG$4)*GX103</f>
        <v>0</v>
      </c>
      <c r="HB103" s="1" t="n">
        <f aca="false">EXP($FQ103/$JG$4)*(-1)^$FQ103*GX103</f>
        <v>0</v>
      </c>
      <c r="HC103" s="1" t="n">
        <f aca="false">(-1)^GW103*GX103</f>
        <v>0</v>
      </c>
      <c r="HE103" s="1" t="n">
        <f aca="false">$AM103</f>
        <v>92</v>
      </c>
      <c r="HF103" s="1" t="n">
        <f aca="false">GB103</f>
        <v>0</v>
      </c>
      <c r="HG103" s="1" t="n">
        <f aca="false">HG$6*(1+HG$5*(-1)^$FQ103)*EXP(-$FQ103/HG$4)</f>
        <v>1.10447535729409E-028</v>
      </c>
      <c r="HH103" s="1" t="n">
        <f aca="false">(HF103-HG103)^2</f>
        <v>1.21986581486991E-056</v>
      </c>
      <c r="HI103" s="1" t="n">
        <f aca="false">EXP($FQ103/$JG$4)*HF103</f>
        <v>0</v>
      </c>
      <c r="HJ103" s="1" t="n">
        <f aca="false">EXP($FQ103/$JG$4)*(-1)^$FQ103*HF103</f>
        <v>0</v>
      </c>
      <c r="HK103" s="1" t="n">
        <f aca="false">(-1)^HE103*HF103</f>
        <v>0</v>
      </c>
      <c r="HM103" s="1" t="n">
        <f aca="false">$AM103</f>
        <v>92</v>
      </c>
      <c r="HN103" s="1" t="n">
        <f aca="false">GF103</f>
        <v>0</v>
      </c>
      <c r="HO103" s="1" t="n">
        <f aca="false">HO$6*(1+HO$5*(-1)^$FQ103)*EXP(-$FQ103/HO$4)</f>
        <v>1.96265097848684E-022</v>
      </c>
      <c r="HP103" s="1" t="n">
        <f aca="false">(HN103-HO103)^2</f>
        <v>3.85199886335535E-044</v>
      </c>
      <c r="HQ103" s="1" t="n">
        <f aca="false">EXP($FQ103/$JG$4)*HN103</f>
        <v>0</v>
      </c>
      <c r="HR103" s="1" t="n">
        <f aca="false">EXP($FQ103/$JG$4)*(-1)^$FQ103*HN103</f>
        <v>0</v>
      </c>
      <c r="HS103" s="1" t="n">
        <f aca="false">(-1)^HM103*HN103</f>
        <v>0</v>
      </c>
      <c r="HU103" s="1" t="n">
        <f aca="false">$AM103</f>
        <v>92</v>
      </c>
      <c r="HV103" s="1" t="n">
        <f aca="false">GJ103</f>
        <v>0</v>
      </c>
      <c r="HW103" s="1" t="n">
        <f aca="false">HW$6*(1+HW$5*(-1)^$FQ103)*EXP(-$FQ103/HW$4)</f>
        <v>1.96068233886095E-016</v>
      </c>
      <c r="HX103" s="1" t="n">
        <f aca="false">(HV103-HW103)^2</f>
        <v>3.84427523392125E-032</v>
      </c>
      <c r="HY103" s="1" t="n">
        <f aca="false">EXP($FQ103/$JG$4)*HV103</f>
        <v>0</v>
      </c>
      <c r="HZ103" s="1" t="n">
        <f aca="false">EXP($FQ103/$JG$4)*(-1)^$FQ103*HV103</f>
        <v>0</v>
      </c>
      <c r="IA103" s="1" t="n">
        <f aca="false">(-1)^HU103*HV103</f>
        <v>0</v>
      </c>
      <c r="ID103" s="1" t="n">
        <f aca="false">$AM103</f>
        <v>92</v>
      </c>
      <c r="IE103" s="1" t="n">
        <f aca="false">FZ103</f>
        <v>0</v>
      </c>
      <c r="IF103" s="1" t="n">
        <f aca="false">IF$6*(1+IF$5*(-1)^$FQ103)*EXP(-$FQ103/IF$4)</f>
        <v>2.64885786592602E-012</v>
      </c>
      <c r="IG103" s="1" t="n">
        <f aca="false">(IE103-IF103)^2</f>
        <v>7.01644799387815E-024</v>
      </c>
      <c r="IH103" s="1" t="n">
        <f aca="false">EXP($FQ103/$JG$4)*IE103</f>
        <v>0</v>
      </c>
      <c r="II103" s="1" t="n">
        <f aca="false">EXP($FQ103/$JG$4)*(-1)^$FQ103*IE103</f>
        <v>0</v>
      </c>
      <c r="IJ103" s="1" t="n">
        <f aca="false">(-1)^ID103*IE103</f>
        <v>0</v>
      </c>
      <c r="IK103" s="1" t="n">
        <v>0</v>
      </c>
      <c r="IM103" s="1" t="n">
        <f aca="false">$AM103</f>
        <v>92</v>
      </c>
      <c r="IN103" s="1" t="n">
        <f aca="false">GD103</f>
        <v>0</v>
      </c>
      <c r="IO103" s="1" t="n">
        <f aca="false">IO$6*(1+IO$5*(-1)^$FQ103)*EXP(-$FQ103/IO$4)</f>
        <v>1.83590884911214E-010</v>
      </c>
      <c r="IP103" s="1" t="n">
        <f aca="false">(IN103-IO103)^2</f>
        <v>3.37056130224826E-020</v>
      </c>
      <c r="IQ103" s="1" t="n">
        <f aca="false">EXP($FQ103/$JG$4)*IN103</f>
        <v>0</v>
      </c>
      <c r="IR103" s="1" t="n">
        <f aca="false">EXP($FQ103/$JG$4)*(-1)^$FQ103*IN103</f>
        <v>0</v>
      </c>
      <c r="IS103" s="1" t="n">
        <f aca="false">(-1)^IM103*IN103</f>
        <v>0</v>
      </c>
      <c r="IV103" s="1" t="n">
        <f aca="false">$AM103</f>
        <v>92</v>
      </c>
      <c r="IW103" s="1" t="n">
        <f aca="false">GH103</f>
        <v>0</v>
      </c>
      <c r="IX103" s="1" t="n">
        <f aca="false">IX$6*(1+IX$5*(-1)^$FQ103)*EXP(-$FQ103/IX$4)</f>
        <v>7.40345449789161E-007</v>
      </c>
      <c r="IY103" s="1" t="n">
        <f aca="false">(IW103-IX103)^2</f>
        <v>5.48111385023515E-013</v>
      </c>
      <c r="IZ103" s="1" t="n">
        <f aca="false">EXP($FQ103/$JG$4)*IW103</f>
        <v>0</v>
      </c>
      <c r="JA103" s="1" t="n">
        <f aca="false">EXP($FQ103/$JG$4)*(-1)^$FQ103*IW103</f>
        <v>0</v>
      </c>
      <c r="JB103" s="1" t="n">
        <f aca="false">(-1)^IV103*IW103</f>
        <v>0</v>
      </c>
      <c r="JE103" s="1" t="n">
        <f aca="false">$AM103</f>
        <v>92</v>
      </c>
      <c r="JF103" s="1" t="n">
        <f aca="false">GL103</f>
        <v>0</v>
      </c>
      <c r="JG103" s="1" t="n">
        <f aca="false">JG$6*(1+JG$5*(-1)^$FQ103)*EXP(-$FQ103/JG$4)</f>
        <v>2.30717946934706E-008</v>
      </c>
      <c r="JH103" s="1" t="n">
        <f aca="false">(JF103-JG103)^2</f>
        <v>5.32307710377658E-016</v>
      </c>
      <c r="JI103" s="1" t="n">
        <f aca="false">EXP($FQ103/$JG$4)*JF103</f>
        <v>0</v>
      </c>
      <c r="JJ103" s="1" t="n">
        <f aca="false">EXP($FQ103/$JG$4)*(-1)^$FQ103*JF103</f>
        <v>0</v>
      </c>
      <c r="JK103" s="1" t="n">
        <f aca="false">(-1)^JE103*JF103</f>
        <v>0</v>
      </c>
      <c r="JO103" s="1" t="n">
        <f aca="false">$AM103</f>
        <v>92</v>
      </c>
      <c r="JP103" s="1" t="n">
        <f aca="false">GM103</f>
        <v>0</v>
      </c>
      <c r="JQ103" s="1" t="n">
        <f aca="false">JQ$6*(1+JQ$5*(-1)^$FQ103)*EXP(-$FQ103/JQ$4)</f>
        <v>0.00915059707870101</v>
      </c>
      <c r="JR103" s="1" t="n">
        <f aca="false">(JP103-JQ103)^2</f>
        <v>8.37334268967314E-005</v>
      </c>
      <c r="JS103" s="1" t="n">
        <f aca="false">EXP($FQ103/$JG$4)*JP103</f>
        <v>0</v>
      </c>
      <c r="JT103" s="1" t="n">
        <f aca="false">EXP($FQ103/$JG$4)*(-1)^$FQ103*JP103</f>
        <v>0</v>
      </c>
      <c r="JU103" s="1" t="n">
        <f aca="false">(-1)^JO103*JP103</f>
        <v>0</v>
      </c>
    </row>
    <row r="104" customFormat="false" ht="16" hidden="false" customHeight="false" outlineLevel="0" collapsed="false">
      <c r="A104" s="1" t="n">
        <v>2</v>
      </c>
      <c r="B104" s="1" t="n">
        <v>2</v>
      </c>
      <c r="C104" s="1" t="n">
        <f aca="false">B104-A104</f>
        <v>0</v>
      </c>
      <c r="D104" s="1" t="n">
        <v>2</v>
      </c>
      <c r="E104" s="1" t="n">
        <v>2</v>
      </c>
      <c r="F104" s="1" t="n">
        <f aca="false">E104-D104</f>
        <v>0</v>
      </c>
      <c r="G104" s="1" t="n">
        <v>1</v>
      </c>
      <c r="H104" s="1" t="n">
        <v>1</v>
      </c>
      <c r="I104" s="1" t="n">
        <f aca="false">H104-G104</f>
        <v>0</v>
      </c>
      <c r="J104" s="1" t="n">
        <v>3</v>
      </c>
      <c r="K104" s="1" t="n">
        <v>3</v>
      </c>
      <c r="L104" s="1" t="n">
        <f aca="false">K104-J104</f>
        <v>0</v>
      </c>
      <c r="M104" s="1" t="n">
        <v>2</v>
      </c>
      <c r="N104" s="1" t="n">
        <v>2</v>
      </c>
      <c r="O104" s="1" t="n">
        <f aca="false">N104-M104</f>
        <v>0</v>
      </c>
      <c r="P104" s="1" t="n">
        <v>2</v>
      </c>
      <c r="Q104" s="1" t="n">
        <v>2</v>
      </c>
      <c r="R104" s="1" t="n">
        <f aca="false">Q104-P104</f>
        <v>0</v>
      </c>
      <c r="S104" s="1" t="n">
        <v>8</v>
      </c>
      <c r="T104" s="1" t="n">
        <v>28</v>
      </c>
      <c r="U104" s="1" t="n">
        <f aca="false">T104-S104</f>
        <v>20</v>
      </c>
      <c r="V104" s="1" t="n">
        <v>2</v>
      </c>
      <c r="W104" s="1" t="n">
        <v>4</v>
      </c>
      <c r="X104" s="1" t="n">
        <f aca="false">W104-V104</f>
        <v>2</v>
      </c>
      <c r="Y104" s="1" t="n">
        <v>6</v>
      </c>
      <c r="Z104" s="1" t="n">
        <v>14</v>
      </c>
      <c r="AA104" s="1" t="n">
        <f aca="false">Z104-Y104</f>
        <v>8</v>
      </c>
      <c r="AB104" s="1" t="n">
        <v>6</v>
      </c>
      <c r="AC104" s="1" t="n">
        <v>8</v>
      </c>
      <c r="AD104" s="1" t="n">
        <f aca="false">AC104-AB104</f>
        <v>2</v>
      </c>
      <c r="AE104" s="1" t="n">
        <v>2</v>
      </c>
      <c r="AF104" s="1" t="n">
        <v>8</v>
      </c>
      <c r="AG104" s="1" t="n">
        <f aca="false">AF104-AE104</f>
        <v>6</v>
      </c>
      <c r="AM104" s="1" t="n">
        <v>93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W104" s="1" t="n">
        <f aca="false">$AM104</f>
        <v>93</v>
      </c>
      <c r="BX104" s="1" t="n">
        <f aca="false">MAX(BX103-AN104/AN$9*100,0)</f>
        <v>0</v>
      </c>
      <c r="BY104" s="1" t="n">
        <f aca="false">MAX(BY103-AO104/AO$9*100,0)</f>
        <v>0</v>
      </c>
      <c r="BZ104" s="1" t="n">
        <f aca="false">MAX(BZ103-AQ104/AQ$9*100,0)</f>
        <v>0</v>
      </c>
      <c r="CA104" s="1" t="n">
        <f aca="false">MAX(CA103-AR104/AR$9*100,0)</f>
        <v>0</v>
      </c>
      <c r="CB104" s="1" t="n">
        <f aca="false">CB$7*EXP(-$AM104/CB$8)</f>
        <v>7.35185906635587E-051</v>
      </c>
      <c r="CC104" s="1" t="n">
        <f aca="false">(BZ104-CB104)^2</f>
        <v>5.4049831731559E-101</v>
      </c>
      <c r="CD104" s="1" t="n">
        <f aca="false">MAX(CD103-AT104/AT$9*100,0)</f>
        <v>0</v>
      </c>
      <c r="CE104" s="1" t="n">
        <f aca="false">MAX(CE103-AU104/AU$9*100,0)</f>
        <v>5.32907051820075E-015</v>
      </c>
      <c r="CF104" s="1" t="n">
        <f aca="false">CF$7*EXP(-$AM104/CF$8)</f>
        <v>1.56437255664743E-049</v>
      </c>
      <c r="CG104" s="1" t="n">
        <f aca="false">(CD104-CF104)^2</f>
        <v>2.44726149599162E-098</v>
      </c>
      <c r="CH104" s="1" t="n">
        <f aca="false">$AM104</f>
        <v>93</v>
      </c>
      <c r="CI104" s="1" t="n">
        <f aca="false">MAX(CI103-AW104/AW$9*100,0)</f>
        <v>0</v>
      </c>
      <c r="CJ104" s="1" t="n">
        <f aca="false">MAX(CJ103-AX104/AX$9*100,0)</f>
        <v>0</v>
      </c>
      <c r="CK104" s="1" t="n">
        <f aca="false">CK$7*EXP(-$AM104/CK$8)</f>
        <v>5.36508453071234E-033</v>
      </c>
      <c r="CL104" s="1" t="n">
        <f aca="false">(CI104-CK104)^2</f>
        <v>2.87841320216889E-065</v>
      </c>
      <c r="CM104" s="1" t="n">
        <f aca="false">MAX(CM103-AZ104/AZ$9*100,0)</f>
        <v>0</v>
      </c>
      <c r="CN104" s="1" t="n">
        <f aca="false">MAX(CN103-BA104/BA$9*100,0)</f>
        <v>5.32907051820075E-015</v>
      </c>
      <c r="CO104" s="1" t="n">
        <f aca="false">CO$7*EXP(-$AM104/CO$8)</f>
        <v>5.08015788370091E-018</v>
      </c>
      <c r="CP104" s="1" t="n">
        <f aca="false">(CM104-CO104)^2</f>
        <v>2.58080041233285E-035</v>
      </c>
      <c r="CQ104" s="1" t="n">
        <f aca="false">$AM104</f>
        <v>93</v>
      </c>
      <c r="CR104" s="1" t="n">
        <f aca="false">MAX(CR103-BC104/BC$9*100,0)</f>
        <v>0</v>
      </c>
      <c r="CS104" s="1" t="n">
        <f aca="false">MAX(CS103-BD104/BD$9*100,0)</f>
        <v>0</v>
      </c>
      <c r="CT104" s="1" t="n">
        <f aca="false">CT$7*EXP(-$AM104/CT$8)</f>
        <v>2.31553073376257E-030</v>
      </c>
      <c r="CU104" s="1" t="n">
        <f aca="false">(CR104-CT104)^2</f>
        <v>5.36168257899903E-060</v>
      </c>
      <c r="CV104" s="1" t="n">
        <f aca="false">MAX(CV103-BF104/BF$9*100,0)</f>
        <v>8.88178419700125E-015</v>
      </c>
      <c r="CW104" s="1" t="n">
        <f aca="false">MAX(CW103-BG104/BG$9*100,0)</f>
        <v>5.32907051820075E-015</v>
      </c>
      <c r="CX104" s="1" t="n">
        <f aca="false">CX$7*EXP(-$AM104/CX$8)</f>
        <v>2.75334497557577E-015</v>
      </c>
      <c r="CY104" s="1" t="n">
        <f aca="false">(CV104-CX104)^2</f>
        <v>3.75577672907062E-029</v>
      </c>
      <c r="CZ104" s="1" t="n">
        <f aca="false">$AM104</f>
        <v>93</v>
      </c>
      <c r="DA104" s="1" t="n">
        <f aca="false">MAX(DA103-BI104/BI$9*100,0)</f>
        <v>0</v>
      </c>
      <c r="DB104" s="1" t="n">
        <f aca="false">MAX(DB103-BJ104/BJ$9*100,0)</f>
        <v>9.88098491916389E-015</v>
      </c>
      <c r="DC104" s="1" t="n">
        <f aca="false">DC$7*EXP(-$AM104/DC$8)</f>
        <v>5.28221089524392E-028</v>
      </c>
      <c r="DD104" s="1" t="n">
        <f aca="false">(DA104-DC104)^2</f>
        <v>2.79017519418336E-055</v>
      </c>
      <c r="DE104" s="1" t="n">
        <f aca="false">MAX(DE103-BL104/BL$9*100,0)</f>
        <v>0</v>
      </c>
      <c r="DF104" s="1" t="n">
        <f aca="false">MAX(DF103-BM104/BM$9*100,0)</f>
        <v>0</v>
      </c>
      <c r="DG104" s="1" t="n">
        <f aca="false">DG$7*EXP(-$AM104/DG$8)</f>
        <v>9.63031167100949E-009</v>
      </c>
      <c r="DH104" s="1" t="n">
        <f aca="false">(DE104-DG104)^2</f>
        <v>9.27429028807816E-017</v>
      </c>
      <c r="DI104" s="1" t="n">
        <f aca="false">$AM104</f>
        <v>93</v>
      </c>
      <c r="DJ104" s="1" t="n">
        <f aca="false">MAX(DJ103-BO104/BO$9*100,0)</f>
        <v>0</v>
      </c>
      <c r="DK104" s="1" t="n">
        <f aca="false">MAX(DK103-BP104/BP$9*100,0)</f>
        <v>9.99200722162641E-015</v>
      </c>
      <c r="DL104" s="1" t="n">
        <f aca="false">DL$7*EXP(-$AM104/DL$8)</f>
        <v>2.49646993751374E-023</v>
      </c>
      <c r="DM104" s="1" t="n">
        <f aca="false">(DJ104-DL104)^2</f>
        <v>6.23236214890986E-046</v>
      </c>
      <c r="DN104" s="1" t="n">
        <f aca="false">MAX(DN103-BR104/BR$9*100,0)</f>
        <v>0</v>
      </c>
      <c r="DO104" s="1" t="n">
        <f aca="false">MAX(DO103-BS104/BS$9*100,0)</f>
        <v>0</v>
      </c>
      <c r="DP104" s="1" t="n">
        <f aca="false">DP$7*EXP(-$AM104/DP$8)</f>
        <v>4.41171238283004E-010</v>
      </c>
      <c r="DQ104" s="1" t="n">
        <f aca="false">(DN104-DP104)^2</f>
        <v>1.94632061488159E-019</v>
      </c>
      <c r="DS104" s="1" t="n">
        <f aca="false">$AM104</f>
        <v>93</v>
      </c>
      <c r="DT104" s="1" t="n">
        <f aca="false">CA104</f>
        <v>0</v>
      </c>
      <c r="DU104" s="1" t="n">
        <f aca="false">DU$7*EXP(-DS104/DU$8)</f>
        <v>3.74666181465157E-040</v>
      </c>
      <c r="DV104" s="1" t="n">
        <f aca="false">(DT104-DU104)^2</f>
        <v>1.40374747533682E-079</v>
      </c>
      <c r="DX104" s="1" t="n">
        <f aca="false">$AM104</f>
        <v>93</v>
      </c>
      <c r="DY104" s="1" t="n">
        <f aca="false">CM104</f>
        <v>0</v>
      </c>
      <c r="DZ104" s="1" t="n">
        <f aca="false">DZ$7*EXP(-DX104/DZ$8)</f>
        <v>3.22099711500606E-021</v>
      </c>
      <c r="EA104" s="1" t="n">
        <f aca="false">(DY104-DZ104)^2</f>
        <v>1.03748224148774E-041</v>
      </c>
      <c r="EC104" s="1" t="n">
        <f aca="false">$AM104</f>
        <v>93</v>
      </c>
      <c r="ED104" s="1" t="n">
        <f aca="false">CV104</f>
        <v>8.88178419700125E-015</v>
      </c>
      <c r="EE104" s="1" t="n">
        <f aca="false">EE$7*EXP(-EC104/EE$8)</f>
        <v>3.27341844116314E-016</v>
      </c>
      <c r="EF104" s="1" t="n">
        <f aca="false">(ED104-EE104)^2</f>
        <v>7.31784839688316E-029</v>
      </c>
      <c r="EH104" s="1" t="n">
        <f aca="false">$AM104</f>
        <v>93</v>
      </c>
      <c r="EI104" s="1" t="n">
        <f aca="false">DE104</f>
        <v>0</v>
      </c>
      <c r="EJ104" s="1" t="n">
        <f aca="false">EJ$7*EXP(-EH104/EJ$8)</f>
        <v>9.59035187154472E-009</v>
      </c>
      <c r="EK104" s="1" t="n">
        <f aca="false">(EI104-EJ104)^2</f>
        <v>9.19748490200413E-017</v>
      </c>
      <c r="EM104" s="1" t="n">
        <f aca="false">AM104</f>
        <v>93</v>
      </c>
      <c r="EN104" s="1" t="n">
        <f aca="false">DN104</f>
        <v>0</v>
      </c>
      <c r="EO104" s="1" t="n">
        <f aca="false">EO$7*EXP(-EM104/EO$8)</f>
        <v>1.03180069657411E-009</v>
      </c>
      <c r="EP104" s="1" t="n">
        <f aca="false">(EN104-EO104)^2</f>
        <v>1.06461267745082E-018</v>
      </c>
      <c r="ER104" s="1" t="n">
        <f aca="false">$AM104</f>
        <v>93</v>
      </c>
      <c r="ES104" s="1" t="n">
        <f aca="false">BZ104</f>
        <v>0</v>
      </c>
      <c r="ET104" s="1" t="n">
        <f aca="false">ET$7*EXP(-ER104/ET$8)</f>
        <v>1.51303068618373E-046</v>
      </c>
      <c r="EU104" s="1" t="n">
        <f aca="false">(ES104-ET104)^2</f>
        <v>2.28926185733361E-092</v>
      </c>
      <c r="EW104" s="1" t="n">
        <f aca="false">$AM104</f>
        <v>93</v>
      </c>
      <c r="EX104" s="1" t="n">
        <f aca="false">CI104</f>
        <v>0</v>
      </c>
      <c r="EY104" s="1" t="n">
        <f aca="false">EY$7*EXP(-EW104/EY$8)</f>
        <v>1.01210256899618E-042</v>
      </c>
      <c r="EZ104" s="1" t="n">
        <f aca="false">(EX104-EY104)^2</f>
        <v>1.02435161016867E-084</v>
      </c>
      <c r="FB104" s="1" t="n">
        <f aca="false">$AM104</f>
        <v>93</v>
      </c>
      <c r="FC104" s="1" t="n">
        <f aca="false">CR104</f>
        <v>0</v>
      </c>
      <c r="FD104" s="1" t="n">
        <f aca="false">FD$7*EXP(-FB104/FD$8)</f>
        <v>6.08607527313854E-037</v>
      </c>
      <c r="FE104" s="1" t="n">
        <f aca="false">(FC104-FD104)^2</f>
        <v>3.70403122303084E-073</v>
      </c>
      <c r="FG104" s="1" t="n">
        <f aca="false">$AM104</f>
        <v>93</v>
      </c>
      <c r="FH104" s="1" t="n">
        <f aca="false">DA104</f>
        <v>0</v>
      </c>
      <c r="FI104" s="1" t="n">
        <f aca="false">FI$7*EXP(-FG104/FI$8)</f>
        <v>7.75986950192325E-032</v>
      </c>
      <c r="FJ104" s="1" t="n">
        <f aca="false">(FH104-FI104)^2</f>
        <v>6.02155746868786E-063</v>
      </c>
      <c r="FL104" s="1" t="n">
        <f aca="false">EM104</f>
        <v>93</v>
      </c>
      <c r="FM104" s="1" t="n">
        <f aca="false">DJ104</f>
        <v>0</v>
      </c>
      <c r="FN104" s="1" t="n">
        <f aca="false">FN$7*EXP(-FL104/FN$8)</f>
        <v>2.01461026919777E-025</v>
      </c>
      <c r="FO104" s="1" t="n">
        <f aca="false">(FM104-FN104)^2</f>
        <v>4.05865453675711E-050</v>
      </c>
      <c r="FQ104" s="1" t="n">
        <f aca="false">AM104</f>
        <v>93</v>
      </c>
      <c r="FR104" s="1" t="n">
        <f aca="false">AN104/AN$9*100</f>
        <v>0</v>
      </c>
      <c r="FS104" s="1" t="n">
        <f aca="false">AO104/AO$9*100</f>
        <v>0</v>
      </c>
      <c r="FT104" s="1" t="n">
        <f aca="false">AQ104/AQ$9*100</f>
        <v>0</v>
      </c>
      <c r="FU104" s="1" t="n">
        <f aca="false">AR104/AR$9*100</f>
        <v>0</v>
      </c>
      <c r="FV104" s="1" t="n">
        <f aca="false">AT104/AT$9*100</f>
        <v>0</v>
      </c>
      <c r="FW104" s="1" t="n">
        <f aca="false">AU104/AU$9*100</f>
        <v>0</v>
      </c>
      <c r="FX104" s="1" t="n">
        <f aca="false">AW104/AW$9*100</f>
        <v>0</v>
      </c>
      <c r="FY104" s="1" t="n">
        <f aca="false">AX104/AX$9*100</f>
        <v>0</v>
      </c>
      <c r="FZ104" s="1" t="n">
        <f aca="false">AZ104/AZ$9*100</f>
        <v>0</v>
      </c>
      <c r="GA104" s="1" t="n">
        <f aca="false">BA104/BA$9*100</f>
        <v>0</v>
      </c>
      <c r="GB104" s="1" t="n">
        <f aca="false">BC104/BC$9*100</f>
        <v>0</v>
      </c>
      <c r="GC104" s="1" t="n">
        <f aca="false">BD104/BD$9*100</f>
        <v>0</v>
      </c>
      <c r="GD104" s="1" t="n">
        <f aca="false">BF104/BF$9*100</f>
        <v>0</v>
      </c>
      <c r="GE104" s="1" t="n">
        <f aca="false">BG104/BG$9*100</f>
        <v>0</v>
      </c>
      <c r="GF104" s="1" t="n">
        <f aca="false">BI104/BI$9*100</f>
        <v>0</v>
      </c>
      <c r="GG104" s="1" t="n">
        <f aca="false">BJ104/BJ$9*100</f>
        <v>0</v>
      </c>
      <c r="GH104" s="1" t="n">
        <f aca="false">BL104/BL$9*100</f>
        <v>0</v>
      </c>
      <c r="GI104" s="1" t="n">
        <f aca="false">BM104/BM$9*100</f>
        <v>0</v>
      </c>
      <c r="GJ104" s="1" t="n">
        <f aca="false">BO104/BO$9*100</f>
        <v>0</v>
      </c>
      <c r="GK104" s="1" t="n">
        <f aca="false">BP104/BP$9*100</f>
        <v>0</v>
      </c>
      <c r="GL104" s="1" t="n">
        <f aca="false">BR104/BR$9*100</f>
        <v>0</v>
      </c>
      <c r="GM104" s="1" t="n">
        <f aca="false">BS104/BS$9*100</f>
        <v>0</v>
      </c>
      <c r="GO104" s="1" t="n">
        <f aca="false">$AM104</f>
        <v>93</v>
      </c>
      <c r="GP104" s="1" t="n">
        <f aca="false">FT104</f>
        <v>0</v>
      </c>
      <c r="GQ104" s="1" t="n">
        <f aca="false">GQ$6*(1+GQ$5*(-1)^$FQ104)*EXP(-$FQ104/GQ$4)</f>
        <v>1.77226624963345E-029</v>
      </c>
      <c r="GR104" s="1" t="n">
        <f aca="false">(GP104-GQ104)^2</f>
        <v>3.14092765958981E-058</v>
      </c>
      <c r="GS104" s="1" t="n">
        <f aca="false">EXP($FQ104/$JG$4)*GP104</f>
        <v>0</v>
      </c>
      <c r="GT104" s="1" t="n">
        <f aca="false">EXP($FQ104/$JG$4)*(-1)^$FQ104*GP104</f>
        <v>-0</v>
      </c>
      <c r="GU104" s="1" t="n">
        <f aca="false">(-1)^GO104*GP104</f>
        <v>-0</v>
      </c>
      <c r="GW104" s="1" t="n">
        <f aca="false">$AM104</f>
        <v>93</v>
      </c>
      <c r="GX104" s="1" t="n">
        <f aca="false">FX104</f>
        <v>0</v>
      </c>
      <c r="GY104" s="1" t="n">
        <f aca="false">GY$6*(1+GY$5*(-1)^$FQ104)*EXP(-$FQ104/GY$4)</f>
        <v>1.77226624963345E-029</v>
      </c>
      <c r="GZ104" s="1" t="n">
        <f aca="false">(GX104-GY104)^2</f>
        <v>3.14092765958981E-058</v>
      </c>
      <c r="HA104" s="1" t="n">
        <f aca="false">EXP($FQ104/$JG$4)*GX104</f>
        <v>0</v>
      </c>
      <c r="HB104" s="1" t="n">
        <f aca="false">EXP($FQ104/$JG$4)*(-1)^$FQ104*GX104</f>
        <v>-0</v>
      </c>
      <c r="HC104" s="1" t="n">
        <f aca="false">(-1)^GW104*GX104</f>
        <v>-0</v>
      </c>
      <c r="HE104" s="1" t="n">
        <f aca="false">$AM104</f>
        <v>93</v>
      </c>
      <c r="HF104" s="1" t="n">
        <f aca="false">GB104</f>
        <v>0</v>
      </c>
      <c r="HG104" s="1" t="n">
        <f aca="false">HG$6*(1+HG$5*(-1)^$FQ104)*EXP(-$FQ104/HG$4)</f>
        <v>1.77226624963345E-029</v>
      </c>
      <c r="HH104" s="1" t="n">
        <f aca="false">(HF104-HG104)^2</f>
        <v>3.14092765958981E-058</v>
      </c>
      <c r="HI104" s="1" t="n">
        <f aca="false">EXP($FQ104/$JG$4)*HF104</f>
        <v>0</v>
      </c>
      <c r="HJ104" s="1" t="n">
        <f aca="false">EXP($FQ104/$JG$4)*(-1)^$FQ104*HF104</f>
        <v>-0</v>
      </c>
      <c r="HK104" s="1" t="n">
        <f aca="false">(-1)^HE104*HF104</f>
        <v>-0</v>
      </c>
      <c r="HM104" s="1" t="n">
        <f aca="false">$AM104</f>
        <v>93</v>
      </c>
      <c r="HN104" s="1" t="n">
        <f aca="false">GF104</f>
        <v>0</v>
      </c>
      <c r="HO104" s="1" t="n">
        <f aca="false">HO$6*(1+HO$5*(-1)^$FQ104)*EXP(-$FQ104/HO$4)</f>
        <v>2.36725559609868E-023</v>
      </c>
      <c r="HP104" s="1" t="n">
        <f aca="false">(HN104-HO104)^2</f>
        <v>5.60389905726052E-046</v>
      </c>
      <c r="HQ104" s="1" t="n">
        <f aca="false">EXP($FQ104/$JG$4)*HN104</f>
        <v>0</v>
      </c>
      <c r="HR104" s="1" t="n">
        <f aca="false">EXP($FQ104/$JG$4)*(-1)^$FQ104*HN104</f>
        <v>-0</v>
      </c>
      <c r="HS104" s="1" t="n">
        <f aca="false">(-1)^HM104*HN104</f>
        <v>-0</v>
      </c>
      <c r="HU104" s="1" t="n">
        <f aca="false">$AM104</f>
        <v>93</v>
      </c>
      <c r="HV104" s="1" t="n">
        <f aca="false">GJ104</f>
        <v>0</v>
      </c>
      <c r="HW104" s="1" t="n">
        <f aca="false">HW$6*(1+HW$5*(-1)^$FQ104)*EXP(-$FQ104/HW$4)</f>
        <v>4.1987525654614E-017</v>
      </c>
      <c r="HX104" s="1" t="n">
        <f aca="false">(HV104-HW104)^2</f>
        <v>1.76295231059687E-033</v>
      </c>
      <c r="HY104" s="1" t="n">
        <f aca="false">EXP($FQ104/$JG$4)*HV104</f>
        <v>0</v>
      </c>
      <c r="HZ104" s="1" t="n">
        <f aca="false">EXP($FQ104/$JG$4)*(-1)^$FQ104*HV104</f>
        <v>-0</v>
      </c>
      <c r="IA104" s="1" t="n">
        <f aca="false">(-1)^HU104*HV104</f>
        <v>-0</v>
      </c>
      <c r="ID104" s="1" t="n">
        <f aca="false">$AM104</f>
        <v>93</v>
      </c>
      <c r="IE104" s="1" t="n">
        <f aca="false">FZ104</f>
        <v>0</v>
      </c>
      <c r="IF104" s="1" t="n">
        <f aca="false">IF$6*(1+IF$5*(-1)^$FQ104)*EXP(-$FQ104/IF$4)</f>
        <v>9.77752217252313E-013</v>
      </c>
      <c r="IG104" s="1" t="n">
        <f aca="false">(IE104-IF104)^2</f>
        <v>9.55999398341814E-025</v>
      </c>
      <c r="IH104" s="1" t="n">
        <f aca="false">EXP($FQ104/$JG$4)*IE104</f>
        <v>0</v>
      </c>
      <c r="II104" s="1" t="n">
        <f aca="false">EXP($FQ104/$JG$4)*(-1)^$FQ104*IE104</f>
        <v>-0</v>
      </c>
      <c r="IJ104" s="1" t="n">
        <f aca="false">(-1)^ID104*IE104</f>
        <v>-0</v>
      </c>
      <c r="IK104" s="1" t="n">
        <v>0</v>
      </c>
      <c r="IM104" s="1" t="n">
        <f aca="false">$AM104</f>
        <v>93</v>
      </c>
      <c r="IN104" s="1" t="n">
        <f aca="false">GD104</f>
        <v>0</v>
      </c>
      <c r="IO104" s="1" t="n">
        <f aca="false">IO$6*(1+IO$5*(-1)^$FQ104)*EXP(-$FQ104/IO$4)</f>
        <v>6.34434745785521E-011</v>
      </c>
      <c r="IP104" s="1" t="n">
        <f aca="false">(IN104-IO104)^2</f>
        <v>4.02507446659939E-021</v>
      </c>
      <c r="IQ104" s="1" t="n">
        <f aca="false">EXP($FQ104/$JG$4)*IN104</f>
        <v>0</v>
      </c>
      <c r="IR104" s="1" t="n">
        <f aca="false">EXP($FQ104/$JG$4)*(-1)^$FQ104*IN104</f>
        <v>-0</v>
      </c>
      <c r="IS104" s="1" t="n">
        <f aca="false">(-1)^IM104*IN104</f>
        <v>-0</v>
      </c>
      <c r="IV104" s="1" t="n">
        <f aca="false">$AM104</f>
        <v>93</v>
      </c>
      <c r="IW104" s="1" t="n">
        <f aca="false">GH104</f>
        <v>0</v>
      </c>
      <c r="IX104" s="1" t="n">
        <f aca="false">IX$6*(1+IX$5*(-1)^$FQ104)*EXP(-$FQ104/IX$4)</f>
        <v>1.57508129606935E-007</v>
      </c>
      <c r="IY104" s="1" t="n">
        <f aca="false">(IW104-IX104)^2</f>
        <v>2.4808810892275E-014</v>
      </c>
      <c r="IZ104" s="1" t="n">
        <f aca="false">EXP($FQ104/$JG$4)*IW104</f>
        <v>0</v>
      </c>
      <c r="JA104" s="1" t="n">
        <f aca="false">EXP($FQ104/$JG$4)*(-1)^$FQ104*IW104</f>
        <v>-0</v>
      </c>
      <c r="JB104" s="1" t="n">
        <f aca="false">(-1)^IV104*IW104</f>
        <v>-0</v>
      </c>
      <c r="JE104" s="1" t="n">
        <f aca="false">$AM104</f>
        <v>93</v>
      </c>
      <c r="JF104" s="1" t="n">
        <f aca="false">GL104</f>
        <v>0</v>
      </c>
      <c r="JG104" s="1" t="n">
        <f aca="false">JG$6*(1+JG$5*(-1)^$FQ104)*EXP(-$FQ104/JG$4)</f>
        <v>2.78969741442461E-009</v>
      </c>
      <c r="JH104" s="1" t="n">
        <f aca="false">(JF104-JG104)^2</f>
        <v>7.78241166404736E-018</v>
      </c>
      <c r="JI104" s="1" t="n">
        <f aca="false">EXP($FQ104/$JG$4)*JF104</f>
        <v>0</v>
      </c>
      <c r="JJ104" s="1" t="n">
        <f aca="false">EXP($FQ104/$JG$4)*(-1)^$FQ104*JF104</f>
        <v>-0</v>
      </c>
      <c r="JK104" s="1" t="n">
        <f aca="false">(-1)^JE104*JF104</f>
        <v>-0</v>
      </c>
      <c r="JO104" s="1" t="n">
        <f aca="false">$AM104</f>
        <v>93</v>
      </c>
      <c r="JP104" s="1" t="n">
        <f aca="false">GM104</f>
        <v>0</v>
      </c>
      <c r="JQ104" s="1" t="n">
        <f aca="false">JQ$6*(1+JQ$5*(-1)^$FQ104)*EXP(-$FQ104/JQ$4)</f>
        <v>0.00160896490334223</v>
      </c>
      <c r="JR104" s="1" t="n">
        <f aca="false">(JP104-JQ104)^2</f>
        <v>2.58876806018707E-006</v>
      </c>
      <c r="JS104" s="1" t="n">
        <f aca="false">EXP($FQ104/$JG$4)*JP104</f>
        <v>0</v>
      </c>
      <c r="JT104" s="1" t="n">
        <f aca="false">EXP($FQ104/$JG$4)*(-1)^$FQ104*JP104</f>
        <v>-0</v>
      </c>
      <c r="JU104" s="1" t="n">
        <f aca="false">(-1)^JO104*JP104</f>
        <v>-0</v>
      </c>
    </row>
    <row r="105" customFormat="false" ht="16" hidden="false" customHeight="false" outlineLevel="0" collapsed="false">
      <c r="A105" s="1" t="n">
        <v>2</v>
      </c>
      <c r="B105" s="1" t="n">
        <v>2</v>
      </c>
      <c r="C105" s="1" t="n">
        <f aca="false">B105-A105</f>
        <v>0</v>
      </c>
      <c r="D105" s="1" t="n">
        <v>1</v>
      </c>
      <c r="E105" s="1" t="n">
        <v>1</v>
      </c>
      <c r="F105" s="1" t="n">
        <f aca="false">E105-D105</f>
        <v>0</v>
      </c>
      <c r="G105" s="1" t="n">
        <v>1</v>
      </c>
      <c r="H105" s="1" t="n">
        <v>1</v>
      </c>
      <c r="I105" s="1" t="n">
        <f aca="false">H105-G105</f>
        <v>0</v>
      </c>
      <c r="J105" s="1" t="n">
        <v>2</v>
      </c>
      <c r="K105" s="1" t="n">
        <v>2</v>
      </c>
      <c r="L105" s="1" t="n">
        <f aca="false">K105-J105</f>
        <v>0</v>
      </c>
      <c r="M105" s="1" t="n">
        <v>2</v>
      </c>
      <c r="N105" s="1" t="n">
        <v>2</v>
      </c>
      <c r="O105" s="1" t="n">
        <f aca="false">N105-M105</f>
        <v>0</v>
      </c>
      <c r="P105" s="1" t="n">
        <v>2</v>
      </c>
      <c r="Q105" s="1" t="n">
        <v>2</v>
      </c>
      <c r="R105" s="1" t="n">
        <f aca="false">Q105-P105</f>
        <v>0</v>
      </c>
      <c r="S105" s="1" t="n">
        <v>2</v>
      </c>
      <c r="T105" s="1" t="n">
        <v>5</v>
      </c>
      <c r="U105" s="1" t="n">
        <f aca="false">T105-S105</f>
        <v>3</v>
      </c>
      <c r="V105" s="1" t="n">
        <v>1</v>
      </c>
      <c r="W105" s="1" t="n">
        <v>2</v>
      </c>
      <c r="X105" s="1" t="n">
        <f aca="false">W105-V105</f>
        <v>1</v>
      </c>
      <c r="Y105" s="1" t="n">
        <v>12</v>
      </c>
      <c r="Z105" s="1" t="n">
        <v>20</v>
      </c>
      <c r="AA105" s="1" t="n">
        <f aca="false">Z105-Y105</f>
        <v>8</v>
      </c>
      <c r="AB105" s="1" t="n">
        <v>1</v>
      </c>
      <c r="AC105" s="1" t="n">
        <v>3</v>
      </c>
      <c r="AD105" s="1" t="n">
        <f aca="false">AC105-AB105</f>
        <v>2</v>
      </c>
      <c r="AE105" s="1" t="n">
        <v>4</v>
      </c>
      <c r="AF105" s="1" t="n">
        <v>12</v>
      </c>
      <c r="AG105" s="1" t="n">
        <f aca="false">AF105-AE105</f>
        <v>8</v>
      </c>
      <c r="AM105" s="1" t="n">
        <v>94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W105" s="1" t="n">
        <f aca="false">$AM105</f>
        <v>94</v>
      </c>
      <c r="BX105" s="1" t="n">
        <f aca="false">MAX(BX104-AN105/AN$9*100,0)</f>
        <v>0</v>
      </c>
      <c r="BY105" s="1" t="n">
        <f aca="false">MAX(BY104-AO105/AO$9*100,0)</f>
        <v>0</v>
      </c>
      <c r="BZ105" s="1" t="n">
        <f aca="false">MAX(BZ104-AQ105/AQ$9*100,0)</f>
        <v>0</v>
      </c>
      <c r="CA105" s="1" t="n">
        <f aca="false">MAX(CA104-AR105/AR$9*100,0)</f>
        <v>0</v>
      </c>
      <c r="CB105" s="1" t="n">
        <f aca="false">CB$7*EXP(-$AM105/CB$8)</f>
        <v>2.00621912172863E-051</v>
      </c>
      <c r="CC105" s="1" t="n">
        <f aca="false">(BZ105-CB105)^2</f>
        <v>4.0249151643896E-102</v>
      </c>
      <c r="CD105" s="1" t="n">
        <f aca="false">MAX(CD104-AT105/AT$9*100,0)</f>
        <v>0</v>
      </c>
      <c r="CE105" s="1" t="n">
        <f aca="false">MAX(CE104-AU105/AU$9*100,0)</f>
        <v>5.32907051820075E-015</v>
      </c>
      <c r="CF105" s="1" t="n">
        <f aca="false">CF$7*EXP(-$AM105/CF$8)</f>
        <v>4.41164276654598E-050</v>
      </c>
      <c r="CG105" s="1" t="n">
        <f aca="false">(CD105-CF105)^2</f>
        <v>1.94625918996175E-099</v>
      </c>
      <c r="CH105" s="1" t="n">
        <f aca="false">$AM105</f>
        <v>94</v>
      </c>
      <c r="CI105" s="1" t="n">
        <f aca="false">MAX(CI104-AW105/AW$9*100,0)</f>
        <v>0</v>
      </c>
      <c r="CJ105" s="1" t="n">
        <f aca="false">MAX(CJ104-AX105/AX$9*100,0)</f>
        <v>0</v>
      </c>
      <c r="CK105" s="1" t="n">
        <f aca="false">CK$7*EXP(-$AM105/CK$8)</f>
        <v>2.28236292567589E-033</v>
      </c>
      <c r="CL105" s="1" t="n">
        <f aca="false">(CI105-CK105)^2</f>
        <v>5.20918052449981E-066</v>
      </c>
      <c r="CM105" s="1" t="n">
        <f aca="false">MAX(CM104-AZ105/AZ$9*100,0)</f>
        <v>0</v>
      </c>
      <c r="CN105" s="1" t="n">
        <f aca="false">MAX(CN104-BA105/BA$9*100,0)</f>
        <v>5.32907051820075E-015</v>
      </c>
      <c r="CO105" s="1" t="n">
        <f aca="false">CO$7*EXP(-$AM105/CO$8)</f>
        <v>3.14110016573252E-018</v>
      </c>
      <c r="CP105" s="1" t="n">
        <f aca="false">(CM105-CO105)^2</f>
        <v>9.86651025116487E-036</v>
      </c>
      <c r="CQ105" s="1" t="n">
        <f aca="false">$AM105</f>
        <v>94</v>
      </c>
      <c r="CR105" s="1" t="n">
        <f aca="false">MAX(CR104-BC105/BC$9*100,0)</f>
        <v>0</v>
      </c>
      <c r="CS105" s="1" t="n">
        <f aca="false">MAX(CS104-BD105/BD$9*100,0)</f>
        <v>0</v>
      </c>
      <c r="CT105" s="1" t="n">
        <f aca="false">CT$7*EXP(-$AM105/CT$8)</f>
        <v>1.05362578576067E-030</v>
      </c>
      <c r="CU105" s="1" t="n">
        <f aca="false">(CR105-CT105)^2</f>
        <v>1.11012729641979E-060</v>
      </c>
      <c r="CV105" s="1" t="n">
        <f aca="false">MAX(CV104-BF105/BF$9*100,0)</f>
        <v>8.88178419700125E-015</v>
      </c>
      <c r="CW105" s="1" t="n">
        <f aca="false">MAX(CW104-BG105/BG$9*100,0)</f>
        <v>5.32907051820075E-015</v>
      </c>
      <c r="CX105" s="1" t="n">
        <f aca="false">CX$7*EXP(-$AM105/CX$8)</f>
        <v>1.82137805340195E-015</v>
      </c>
      <c r="CY105" s="1" t="n">
        <f aca="false">(CV105-CX105)^2</f>
        <v>4.98493349125748E-029</v>
      </c>
      <c r="CZ105" s="1" t="n">
        <f aca="false">$AM105</f>
        <v>94</v>
      </c>
      <c r="DA105" s="1" t="n">
        <f aca="false">MAX(DA104-BI105/BI$9*100,0)</f>
        <v>0</v>
      </c>
      <c r="DB105" s="1" t="n">
        <f aca="false">MAX(DB104-BJ105/BJ$9*100,0)</f>
        <v>9.88098491916389E-015</v>
      </c>
      <c r="DC105" s="1" t="n">
        <f aca="false">DC$7*EXP(-$AM105/DC$8)</f>
        <v>2.54573073095027E-028</v>
      </c>
      <c r="DD105" s="1" t="n">
        <f aca="false">(DA105-DC105)^2</f>
        <v>6.4807449545046E-056</v>
      </c>
      <c r="DE105" s="1" t="n">
        <f aca="false">MAX(DE104-BL105/BL$9*100,0)</f>
        <v>0</v>
      </c>
      <c r="DF105" s="1" t="n">
        <f aca="false">MAX(DF104-BM105/BM$9*100,0)</f>
        <v>0</v>
      </c>
      <c r="DG105" s="1" t="n">
        <f aca="false">DG$7*EXP(-$AM105/DG$8)</f>
        <v>7.50009427060388E-009</v>
      </c>
      <c r="DH105" s="1" t="n">
        <f aca="false">(DE105-DG105)^2</f>
        <v>5.62514140679451E-017</v>
      </c>
      <c r="DI105" s="1" t="n">
        <f aca="false">$AM105</f>
        <v>94</v>
      </c>
      <c r="DJ105" s="1" t="n">
        <f aca="false">MAX(DJ104-BO105/BO$9*100,0)</f>
        <v>0</v>
      </c>
      <c r="DK105" s="1" t="n">
        <f aca="false">MAX(DK104-BP105/BP$9*100,0)</f>
        <v>9.99200722162641E-015</v>
      </c>
      <c r="DL105" s="1" t="n">
        <f aca="false">DL$7*EXP(-$AM105/DL$8)</f>
        <v>1.35172394829448E-023</v>
      </c>
      <c r="DM105" s="1" t="n">
        <f aca="false">(DJ105-DL105)^2</f>
        <v>1.82715763239282E-046</v>
      </c>
      <c r="DN105" s="1" t="n">
        <f aca="false">MAX(DN104-BR105/BR$9*100,0)</f>
        <v>0</v>
      </c>
      <c r="DO105" s="1" t="n">
        <f aca="false">MAX(DO104-BS105/BS$9*100,0)</f>
        <v>0</v>
      </c>
      <c r="DP105" s="1" t="n">
        <f aca="false">DP$7*EXP(-$AM105/DP$8)</f>
        <v>3.32336156594127E-010</v>
      </c>
      <c r="DQ105" s="1" t="n">
        <f aca="false">(DN105-DP105)^2</f>
        <v>1.10447320979756E-019</v>
      </c>
      <c r="DS105" s="1" t="n">
        <f aca="false">$AM105</f>
        <v>94</v>
      </c>
      <c r="DT105" s="1" t="n">
        <f aca="false">CA105</f>
        <v>0</v>
      </c>
      <c r="DU105" s="1" t="n">
        <f aca="false">DU$7*EXP(-DS105/DU$8)</f>
        <v>1.33634386465832E-040</v>
      </c>
      <c r="DV105" s="1" t="n">
        <f aca="false">(DT105-DU105)^2</f>
        <v>1.78581492460993E-080</v>
      </c>
      <c r="DX105" s="1" t="n">
        <f aca="false">$AM105</f>
        <v>94</v>
      </c>
      <c r="DY105" s="1" t="n">
        <f aca="false">CM105</f>
        <v>0</v>
      </c>
      <c r="DZ105" s="1" t="n">
        <f aca="false">DZ$7*EXP(-DX105/DZ$8)</f>
        <v>1.83655809966057E-021</v>
      </c>
      <c r="EA105" s="1" t="n">
        <f aca="false">(DY105-DZ105)^2</f>
        <v>3.37294565342884E-042</v>
      </c>
      <c r="EC105" s="1" t="n">
        <f aca="false">$AM105</f>
        <v>94</v>
      </c>
      <c r="ED105" s="1" t="n">
        <f aca="false">CV105</f>
        <v>8.88178419700125E-015</v>
      </c>
      <c r="EE105" s="1" t="n">
        <f aca="false">EE$7*EXP(-EC105/EE$8)</f>
        <v>2.11520896917127E-016</v>
      </c>
      <c r="EF105" s="1" t="n">
        <f aca="false">(ED105-EE105)^2</f>
        <v>7.51734656927857E-029</v>
      </c>
      <c r="EH105" s="1" t="n">
        <f aca="false">$AM105</f>
        <v>94</v>
      </c>
      <c r="EI105" s="1" t="n">
        <f aca="false">DE105</f>
        <v>0</v>
      </c>
      <c r="EJ105" s="1" t="n">
        <f aca="false">EJ$7*EXP(-EH105/EJ$8)</f>
        <v>7.46897354748934E-009</v>
      </c>
      <c r="EK105" s="1" t="n">
        <f aca="false">(EI105-EJ105)^2</f>
        <v>5.57855658530955E-017</v>
      </c>
      <c r="EM105" s="1" t="n">
        <f aca="false">AM105</f>
        <v>94</v>
      </c>
      <c r="EN105" s="1" t="n">
        <f aca="false">DN105</f>
        <v>0</v>
      </c>
      <c r="EO105" s="1" t="n">
        <f aca="false">EO$7*EXP(-EM105/EO$8)</f>
        <v>7.84532658632826E-010</v>
      </c>
      <c r="EP105" s="1" t="n">
        <f aca="false">(EN105-EO105)^2</f>
        <v>6.1549149246149E-019</v>
      </c>
      <c r="ER105" s="1" t="n">
        <f aca="false">$AM105</f>
        <v>94</v>
      </c>
      <c r="ES105" s="1" t="n">
        <f aca="false">BZ105</f>
        <v>0</v>
      </c>
      <c r="ET105" s="1" t="n">
        <f aca="false">ET$7*EXP(-ER105/ET$8)</f>
        <v>4.60076971479193E-047</v>
      </c>
      <c r="EU105" s="1" t="n">
        <f aca="false">(ES105-ET105)^2</f>
        <v>2.11670819685466E-093</v>
      </c>
      <c r="EW105" s="1" t="n">
        <f aca="false">$AM105</f>
        <v>94</v>
      </c>
      <c r="EX105" s="1" t="n">
        <f aca="false">CI105</f>
        <v>0</v>
      </c>
      <c r="EY105" s="1" t="n">
        <f aca="false">EY$7*EXP(-EW105/EY$8)</f>
        <v>3.3727010187459E-043</v>
      </c>
      <c r="EZ105" s="1" t="n">
        <f aca="false">(EX105-EY105)^2</f>
        <v>1.13751121618496E-085</v>
      </c>
      <c r="FB105" s="1" t="n">
        <f aca="false">$AM105</f>
        <v>94</v>
      </c>
      <c r="FC105" s="1" t="n">
        <f aca="false">CR105</f>
        <v>0</v>
      </c>
      <c r="FD105" s="1" t="n">
        <f aca="false">FD$7*EXP(-FB105/FD$8)</f>
        <v>2.34813751534274E-037</v>
      </c>
      <c r="FE105" s="1" t="n">
        <f aca="false">(FC105-FD105)^2</f>
        <v>5.51374979095998E-074</v>
      </c>
      <c r="FG105" s="1" t="n">
        <f aca="false">$AM105</f>
        <v>94</v>
      </c>
      <c r="FH105" s="1" t="n">
        <f aca="false">DA105</f>
        <v>0</v>
      </c>
      <c r="FI105" s="1" t="n">
        <f aca="false">FI$7*EXP(-FG105/FI$8)</f>
        <v>3.3957316174256E-032</v>
      </c>
      <c r="FJ105" s="1" t="n">
        <f aca="false">(FH105-FI105)^2</f>
        <v>1.15309932175839E-063</v>
      </c>
      <c r="FL105" s="1" t="n">
        <f aca="false">EM105</f>
        <v>94</v>
      </c>
      <c r="FM105" s="1" t="n">
        <f aca="false">DJ105</f>
        <v>0</v>
      </c>
      <c r="FN105" s="1" t="n">
        <f aca="false">FN$7*EXP(-FL105/FN$8)</f>
        <v>1.034335400385E-025</v>
      </c>
      <c r="FO105" s="1" t="n">
        <f aca="false">(FM105-FN105)^2</f>
        <v>1.0698497204896E-050</v>
      </c>
      <c r="FQ105" s="1" t="n">
        <f aca="false">AM105</f>
        <v>94</v>
      </c>
      <c r="FR105" s="1" t="n">
        <f aca="false">AN105/AN$9*100</f>
        <v>0</v>
      </c>
      <c r="FS105" s="1" t="n">
        <f aca="false">AO105/AO$9*100</f>
        <v>0</v>
      </c>
      <c r="FT105" s="1" t="n">
        <f aca="false">AQ105/AQ$9*100</f>
        <v>0</v>
      </c>
      <c r="FU105" s="1" t="n">
        <f aca="false">AR105/AR$9*100</f>
        <v>0</v>
      </c>
      <c r="FV105" s="1" t="n">
        <f aca="false">AT105/AT$9*100</f>
        <v>0</v>
      </c>
      <c r="FW105" s="1" t="n">
        <f aca="false">AU105/AU$9*100</f>
        <v>0</v>
      </c>
      <c r="FX105" s="1" t="n">
        <f aca="false">AW105/AW$9*100</f>
        <v>0</v>
      </c>
      <c r="FY105" s="1" t="n">
        <f aca="false">AX105/AX$9*100</f>
        <v>0</v>
      </c>
      <c r="FZ105" s="1" t="n">
        <f aca="false">AZ105/AZ$9*100</f>
        <v>0</v>
      </c>
      <c r="GA105" s="1" t="n">
        <f aca="false">BA105/BA$9*100</f>
        <v>0</v>
      </c>
      <c r="GB105" s="1" t="n">
        <f aca="false">BC105/BC$9*100</f>
        <v>0</v>
      </c>
      <c r="GC105" s="1" t="n">
        <f aca="false">BD105/BD$9*100</f>
        <v>0</v>
      </c>
      <c r="GD105" s="1" t="n">
        <f aca="false">BF105/BF$9*100</f>
        <v>0</v>
      </c>
      <c r="GE105" s="1" t="n">
        <f aca="false">BG105/BG$9*100</f>
        <v>0</v>
      </c>
      <c r="GF105" s="1" t="n">
        <f aca="false">BI105/BI$9*100</f>
        <v>0</v>
      </c>
      <c r="GG105" s="1" t="n">
        <f aca="false">BJ105/BJ$9*100</f>
        <v>0</v>
      </c>
      <c r="GH105" s="1" t="n">
        <f aca="false">BL105/BL$9*100</f>
        <v>0</v>
      </c>
      <c r="GI105" s="1" t="n">
        <f aca="false">BM105/BM$9*100</f>
        <v>0</v>
      </c>
      <c r="GJ105" s="1" t="n">
        <f aca="false">BO105/BO$9*100</f>
        <v>0</v>
      </c>
      <c r="GK105" s="1" t="n">
        <f aca="false">BP105/BP$9*100</f>
        <v>0</v>
      </c>
      <c r="GL105" s="1" t="n">
        <f aca="false">BR105/BR$9*100</f>
        <v>0</v>
      </c>
      <c r="GM105" s="1" t="n">
        <f aca="false">BS105/BS$9*100</f>
        <v>0</v>
      </c>
      <c r="GO105" s="1" t="n">
        <f aca="false">$AM105</f>
        <v>94</v>
      </c>
      <c r="GP105" s="1" t="n">
        <f aca="false">FT105</f>
        <v>0</v>
      </c>
      <c r="GQ105" s="1" t="n">
        <f aca="false">GQ$6*(1+GQ$5*(-1)^$FQ105)*EXP(-$FQ105/GQ$4)</f>
        <v>2.4273594253642E-029</v>
      </c>
      <c r="GR105" s="1" t="n">
        <f aca="false">(GP105-GQ105)^2</f>
        <v>5.89207377990442E-058</v>
      </c>
      <c r="GS105" s="1" t="n">
        <f aca="false">EXP($FQ105/$JG$4)*GP105</f>
        <v>0</v>
      </c>
      <c r="GT105" s="1" t="n">
        <f aca="false">EXP($FQ105/$JG$4)*(-1)^$FQ105*GP105</f>
        <v>0</v>
      </c>
      <c r="GU105" s="1" t="n">
        <f aca="false">(-1)^GO105*GP105</f>
        <v>0</v>
      </c>
      <c r="GW105" s="1" t="n">
        <f aca="false">$AM105</f>
        <v>94</v>
      </c>
      <c r="GX105" s="1" t="n">
        <f aca="false">FX105</f>
        <v>0</v>
      </c>
      <c r="GY105" s="1" t="n">
        <f aca="false">GY$6*(1+GY$5*(-1)^$FQ105)*EXP(-$FQ105/GY$4)</f>
        <v>2.4273594253642E-029</v>
      </c>
      <c r="GZ105" s="1" t="n">
        <f aca="false">(GX105-GY105)^2</f>
        <v>5.89207377990442E-058</v>
      </c>
      <c r="HA105" s="1" t="n">
        <f aca="false">EXP($FQ105/$JG$4)*GX105</f>
        <v>0</v>
      </c>
      <c r="HB105" s="1" t="n">
        <f aca="false">EXP($FQ105/$JG$4)*(-1)^$FQ105*GX105</f>
        <v>0</v>
      </c>
      <c r="HC105" s="1" t="n">
        <f aca="false">(-1)^GW105*GX105</f>
        <v>0</v>
      </c>
      <c r="HE105" s="1" t="n">
        <f aca="false">$AM105</f>
        <v>94</v>
      </c>
      <c r="HF105" s="1" t="n">
        <f aca="false">GB105</f>
        <v>0</v>
      </c>
      <c r="HG105" s="1" t="n">
        <f aca="false">HG$6*(1+HG$5*(-1)^$FQ105)*EXP(-$FQ105/HG$4)</f>
        <v>2.4273594253642E-029</v>
      </c>
      <c r="HH105" s="1" t="n">
        <f aca="false">(HF105-HG105)^2</f>
        <v>5.89207377990442E-058</v>
      </c>
      <c r="HI105" s="1" t="n">
        <f aca="false">EXP($FQ105/$JG$4)*HF105</f>
        <v>0</v>
      </c>
      <c r="HJ105" s="1" t="n">
        <f aca="false">EXP($FQ105/$JG$4)*(-1)^$FQ105*HF105</f>
        <v>0</v>
      </c>
      <c r="HK105" s="1" t="n">
        <f aca="false">(-1)^HE105*HF105</f>
        <v>0</v>
      </c>
      <c r="HM105" s="1" t="n">
        <f aca="false">$AM105</f>
        <v>94</v>
      </c>
      <c r="HN105" s="1" t="n">
        <f aca="false">GF105</f>
        <v>0</v>
      </c>
      <c r="HO105" s="1" t="n">
        <f aca="false">HO$6*(1+HO$5*(-1)^$FQ105)*EXP(-$FQ105/HO$4)</f>
        <v>5.92556713841011E-023</v>
      </c>
      <c r="HP105" s="1" t="n">
        <f aca="false">(HN105-HO105)^2</f>
        <v>3.51123459118058E-045</v>
      </c>
      <c r="HQ105" s="1" t="n">
        <f aca="false">EXP($FQ105/$JG$4)*HN105</f>
        <v>0</v>
      </c>
      <c r="HR105" s="1" t="n">
        <f aca="false">EXP($FQ105/$JG$4)*(-1)^$FQ105*HN105</f>
        <v>0</v>
      </c>
      <c r="HS105" s="1" t="n">
        <f aca="false">(-1)^HM105*HN105</f>
        <v>0</v>
      </c>
      <c r="HU105" s="1" t="n">
        <f aca="false">$AM105</f>
        <v>94</v>
      </c>
      <c r="HV105" s="1" t="n">
        <f aca="false">GJ105</f>
        <v>0</v>
      </c>
      <c r="HW105" s="1" t="n">
        <f aca="false">HW$6*(1+HW$5*(-1)^$FQ105)*EXP(-$FQ105/HW$4)</f>
        <v>8.09237196709257E-017</v>
      </c>
      <c r="HX105" s="1" t="n">
        <f aca="false">(HV105-HW105)^2</f>
        <v>6.54864840537857E-033</v>
      </c>
      <c r="HY105" s="1" t="n">
        <f aca="false">EXP($FQ105/$JG$4)*HV105</f>
        <v>0</v>
      </c>
      <c r="HZ105" s="1" t="n">
        <f aca="false">EXP($FQ105/$JG$4)*(-1)^$FQ105*HV105</f>
        <v>0</v>
      </c>
      <c r="IA105" s="1" t="n">
        <f aca="false">(-1)^HU105*HV105</f>
        <v>0</v>
      </c>
      <c r="ID105" s="1" t="n">
        <f aca="false">$AM105</f>
        <v>94</v>
      </c>
      <c r="IE105" s="1" t="n">
        <f aca="false">FZ105</f>
        <v>0</v>
      </c>
      <c r="IF105" s="1" t="n">
        <f aca="false">IF$6*(1+IF$5*(-1)^$FQ105)*EXP(-$FQ105/IF$4)</f>
        <v>1.35996897425056E-012</v>
      </c>
      <c r="IG105" s="1" t="n">
        <f aca="false">(IE105-IF105)^2</f>
        <v>1.84951561092412E-024</v>
      </c>
      <c r="IH105" s="1" t="n">
        <f aca="false">EXP($FQ105/$JG$4)*IE105</f>
        <v>0</v>
      </c>
      <c r="II105" s="1" t="n">
        <f aca="false">EXP($FQ105/$JG$4)*(-1)^$FQ105*IE105</f>
        <v>0</v>
      </c>
      <c r="IJ105" s="1" t="n">
        <f aca="false">(-1)^ID105*IE105</f>
        <v>0</v>
      </c>
      <c r="IK105" s="1" t="n">
        <v>0</v>
      </c>
      <c r="IM105" s="1" t="n">
        <f aca="false">$AM105</f>
        <v>94</v>
      </c>
      <c r="IN105" s="1" t="n">
        <f aca="false">GD105</f>
        <v>0</v>
      </c>
      <c r="IO105" s="1" t="n">
        <f aca="false">IO$6*(1+IO$5*(-1)^$FQ105)*EXP(-$FQ105/IO$4)</f>
        <v>1.03677099744803E-010</v>
      </c>
      <c r="IP105" s="1" t="n">
        <f aca="false">(IN105-IO105)^2</f>
        <v>1.07489410114938E-020</v>
      </c>
      <c r="IQ105" s="1" t="n">
        <f aca="false">EXP($FQ105/$JG$4)*IN105</f>
        <v>0</v>
      </c>
      <c r="IR105" s="1" t="n">
        <f aca="false">EXP($FQ105/$JG$4)*(-1)^$FQ105*IN105</f>
        <v>0</v>
      </c>
      <c r="IS105" s="1" t="n">
        <f aca="false">(-1)^IM105*IN105</f>
        <v>0</v>
      </c>
      <c r="IV105" s="1" t="n">
        <f aca="false">$AM105</f>
        <v>94</v>
      </c>
      <c r="IW105" s="1" t="n">
        <f aca="false">GH105</f>
        <v>0</v>
      </c>
      <c r="IX105" s="1" t="n">
        <f aca="false">IX$6*(1+IX$5*(-1)^$FQ105)*EXP(-$FQ105/IX$4)</f>
        <v>5.03962326713786E-007</v>
      </c>
      <c r="IY105" s="1" t="n">
        <f aca="false">(IW105-IX105)^2</f>
        <v>2.53978026746773E-013</v>
      </c>
      <c r="IZ105" s="1" t="n">
        <f aca="false">EXP($FQ105/$JG$4)*IW105</f>
        <v>0</v>
      </c>
      <c r="JA105" s="1" t="n">
        <f aca="false">EXP($FQ105/$JG$4)*(-1)^$FQ105*IW105</f>
        <v>0</v>
      </c>
      <c r="JB105" s="1" t="n">
        <f aca="false">(-1)^IV105*IW105</f>
        <v>0</v>
      </c>
      <c r="JE105" s="1" t="n">
        <f aca="false">$AM105</f>
        <v>94</v>
      </c>
      <c r="JF105" s="1" t="n">
        <f aca="false">GL105</f>
        <v>0</v>
      </c>
      <c r="JG105" s="1" t="n">
        <f aca="false">JG$6*(1+JG$5*(-1)^$FQ105)*EXP(-$FQ105/JG$4)</f>
        <v>1.44590590633452E-008</v>
      </c>
      <c r="JH105" s="1" t="n">
        <f aca="false">(JF105-JG105)^2</f>
        <v>2.09064388997305E-016</v>
      </c>
      <c r="JI105" s="1" t="n">
        <f aca="false">EXP($FQ105/$JG$4)*JF105</f>
        <v>0</v>
      </c>
      <c r="JJ105" s="1" t="n">
        <f aca="false">EXP($FQ105/$JG$4)*(-1)^$FQ105*JF105</f>
        <v>0</v>
      </c>
      <c r="JK105" s="1" t="n">
        <f aca="false">(-1)^JE105*JF105</f>
        <v>0</v>
      </c>
      <c r="JO105" s="1" t="n">
        <f aca="false">$AM105</f>
        <v>94</v>
      </c>
      <c r="JP105" s="1" t="n">
        <f aca="false">GM105</f>
        <v>0</v>
      </c>
      <c r="JQ105" s="1" t="n">
        <f aca="false">JQ$6*(1+JQ$5*(-1)^$FQ105)*EXP(-$FQ105/JQ$4)</f>
        <v>0.00779762446594743</v>
      </c>
      <c r="JR105" s="1" t="n">
        <f aca="false">(JP105-JQ105)^2</f>
        <v>6.0802947311942E-005</v>
      </c>
      <c r="JS105" s="1" t="n">
        <f aca="false">EXP($FQ105/$JG$4)*JP105</f>
        <v>0</v>
      </c>
      <c r="JT105" s="1" t="n">
        <f aca="false">EXP($FQ105/$JG$4)*(-1)^$FQ105*JP105</f>
        <v>0</v>
      </c>
      <c r="JU105" s="1" t="n">
        <f aca="false">(-1)^JO105*JP105</f>
        <v>0</v>
      </c>
    </row>
    <row r="106" customFormat="false" ht="16" hidden="false" customHeight="false" outlineLevel="0" collapsed="false">
      <c r="A106" s="1" t="n">
        <v>2</v>
      </c>
      <c r="B106" s="1" t="n">
        <v>2</v>
      </c>
      <c r="C106" s="1" t="n">
        <f aca="false">B106-A106</f>
        <v>0</v>
      </c>
      <c r="D106" s="1" t="n">
        <v>2</v>
      </c>
      <c r="E106" s="1" t="n">
        <v>2</v>
      </c>
      <c r="F106" s="1" t="n">
        <f aca="false">E106-D106</f>
        <v>0</v>
      </c>
      <c r="G106" s="1" t="n">
        <v>2</v>
      </c>
      <c r="H106" s="1" t="n">
        <v>2</v>
      </c>
      <c r="I106" s="1" t="n">
        <f aca="false">H106-G106</f>
        <v>0</v>
      </c>
      <c r="J106" s="1" t="n">
        <v>1</v>
      </c>
      <c r="K106" s="1" t="n">
        <v>2</v>
      </c>
      <c r="L106" s="1" t="n">
        <f aca="false">K106-J106</f>
        <v>1</v>
      </c>
      <c r="M106" s="1" t="n">
        <v>4</v>
      </c>
      <c r="N106" s="1" t="n">
        <v>4</v>
      </c>
      <c r="O106" s="1" t="n">
        <f aca="false">N106-M106</f>
        <v>0</v>
      </c>
      <c r="P106" s="1" t="n">
        <v>2</v>
      </c>
      <c r="Q106" s="1" t="n">
        <v>4</v>
      </c>
      <c r="R106" s="1" t="n">
        <f aca="false">Q106-P106</f>
        <v>2</v>
      </c>
      <c r="S106" s="1" t="n">
        <v>1</v>
      </c>
      <c r="T106" s="1" t="n">
        <v>4</v>
      </c>
      <c r="U106" s="1" t="n">
        <f aca="false">T106-S106</f>
        <v>3</v>
      </c>
      <c r="V106" s="1" t="n">
        <v>1</v>
      </c>
      <c r="W106" s="1" t="n">
        <v>1</v>
      </c>
      <c r="X106" s="1" t="n">
        <f aca="false">W106-V106</f>
        <v>0</v>
      </c>
      <c r="Y106" s="1" t="n">
        <v>4</v>
      </c>
      <c r="Z106" s="1" t="n">
        <v>4</v>
      </c>
      <c r="AA106" s="1" t="n">
        <f aca="false">Z106-Y106</f>
        <v>0</v>
      </c>
      <c r="AB106" s="1" t="n">
        <v>7</v>
      </c>
      <c r="AC106" s="1" t="n">
        <v>10</v>
      </c>
      <c r="AD106" s="1" t="n">
        <f aca="false">AC106-AB106</f>
        <v>3</v>
      </c>
      <c r="AE106" s="1" t="n">
        <v>2</v>
      </c>
      <c r="AF106" s="1" t="n">
        <v>2</v>
      </c>
      <c r="AG106" s="1" t="n">
        <f aca="false">AF106-AE106</f>
        <v>0</v>
      </c>
      <c r="AM106" s="1" t="n">
        <v>95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W106" s="1" t="n">
        <f aca="false">$AM106</f>
        <v>95</v>
      </c>
      <c r="BX106" s="1" t="n">
        <f aca="false">MAX(BX105-AN106/AN$9*100,0)</f>
        <v>0</v>
      </c>
      <c r="BY106" s="1" t="n">
        <f aca="false">MAX(BY105-AO106/AO$9*100,0)</f>
        <v>0</v>
      </c>
      <c r="BZ106" s="1" t="n">
        <f aca="false">MAX(BZ105-AQ106/AQ$9*100,0)</f>
        <v>0</v>
      </c>
      <c r="CA106" s="1" t="n">
        <f aca="false">MAX(CA105-AR106/AR$9*100,0)</f>
        <v>0</v>
      </c>
      <c r="CB106" s="1" t="n">
        <f aca="false">CB$7*EXP(-$AM106/CB$8)</f>
        <v>5.47469031718628E-052</v>
      </c>
      <c r="CC106" s="1" t="n">
        <f aca="false">(BZ106-CB106)^2</f>
        <v>2.99722340690932E-103</v>
      </c>
      <c r="CD106" s="1" t="n">
        <f aca="false">MAX(CD105-AT106/AT$9*100,0)</f>
        <v>0</v>
      </c>
      <c r="CE106" s="1" t="n">
        <f aca="false">MAX(CE105-AU106/AU$9*100,0)</f>
        <v>5.32907051820075E-015</v>
      </c>
      <c r="CF106" s="1" t="n">
        <f aca="false">CF$7*EXP(-$AM106/CF$8)</f>
        <v>1.24411488918773E-050</v>
      </c>
      <c r="CG106" s="1" t="n">
        <f aca="false">(CD106-CF106)^2</f>
        <v>1.5478218574986E-100</v>
      </c>
      <c r="CH106" s="1" t="n">
        <f aca="false">$AM106</f>
        <v>95</v>
      </c>
      <c r="CI106" s="1" t="n">
        <f aca="false">MAX(CI105-AW106/AW$9*100,0)</f>
        <v>0</v>
      </c>
      <c r="CJ106" s="1" t="n">
        <f aca="false">MAX(CJ105-AX106/AX$9*100,0)</f>
        <v>0</v>
      </c>
      <c r="CK106" s="1" t="n">
        <f aca="false">CK$7*EXP(-$AM106/CK$8)</f>
        <v>9.7094099723497E-034</v>
      </c>
      <c r="CL106" s="1" t="n">
        <f aca="false">(CI106-CK106)^2</f>
        <v>9.42726420111638E-067</v>
      </c>
      <c r="CM106" s="1" t="n">
        <f aca="false">MAX(CM105-AZ106/AZ$9*100,0)</f>
        <v>0</v>
      </c>
      <c r="CN106" s="1" t="n">
        <f aca="false">MAX(CN105-BA106/BA$9*100,0)</f>
        <v>5.32907051820075E-015</v>
      </c>
      <c r="CO106" s="1" t="n">
        <f aca="false">CO$7*EXP(-$AM106/CO$8)</f>
        <v>1.94216606590525E-018</v>
      </c>
      <c r="CP106" s="1" t="n">
        <f aca="false">(CM106-CO106)^2</f>
        <v>3.77200902755388E-036</v>
      </c>
      <c r="CQ106" s="1" t="n">
        <f aca="false">$AM106</f>
        <v>95</v>
      </c>
      <c r="CR106" s="1" t="n">
        <f aca="false">MAX(CR105-BC106/BC$9*100,0)</f>
        <v>0</v>
      </c>
      <c r="CS106" s="1" t="n">
        <f aca="false">MAX(CS105-BD106/BD$9*100,0)</f>
        <v>0</v>
      </c>
      <c r="CT106" s="1" t="n">
        <f aca="false">CT$7*EXP(-$AM106/CT$8)</f>
        <v>4.79426716403757E-031</v>
      </c>
      <c r="CU106" s="1" t="n">
        <f aca="false">(CR106-CT106)^2</f>
        <v>2.29849976401688E-061</v>
      </c>
      <c r="CV106" s="1" t="n">
        <f aca="false">MAX(CV105-BF106/BF$9*100,0)</f>
        <v>8.88178419700125E-015</v>
      </c>
      <c r="CW106" s="1" t="n">
        <f aca="false">MAX(CW105-BG106/BG$9*100,0)</f>
        <v>5.32907051820075E-015</v>
      </c>
      <c r="CX106" s="1" t="n">
        <f aca="false">CX$7*EXP(-$AM106/CX$8)</f>
        <v>1.20486827580351E-015</v>
      </c>
      <c r="CY106" s="1" t="n">
        <f aca="false">(CV106-CX106)^2</f>
        <v>5.89350380611394E-029</v>
      </c>
      <c r="CZ106" s="1" t="n">
        <f aca="false">$AM106</f>
        <v>95</v>
      </c>
      <c r="DA106" s="1" t="n">
        <f aca="false">MAX(DA105-BI106/BI$9*100,0)</f>
        <v>0</v>
      </c>
      <c r="DB106" s="1" t="n">
        <f aca="false">MAX(DB105-BJ106/BJ$9*100,0)</f>
        <v>9.88098491916389E-015</v>
      </c>
      <c r="DC106" s="1" t="n">
        <f aca="false">DC$7*EXP(-$AM106/DC$8)</f>
        <v>1.22690007707565E-028</v>
      </c>
      <c r="DD106" s="1" t="n">
        <f aca="false">(DA106-DC106)^2</f>
        <v>1.50528379912824E-056</v>
      </c>
      <c r="DE106" s="1" t="n">
        <f aca="false">MAX(DE105-BL106/BL$9*100,0)</f>
        <v>0</v>
      </c>
      <c r="DF106" s="1" t="n">
        <f aca="false">MAX(DF105-BM106/BM$9*100,0)</f>
        <v>0</v>
      </c>
      <c r="DG106" s="1" t="n">
        <f aca="false">DG$7*EXP(-$AM106/DG$8)</f>
        <v>5.84107929105566E-009</v>
      </c>
      <c r="DH106" s="1" t="n">
        <f aca="false">(DE106-DG106)^2</f>
        <v>3.41182072843993E-017</v>
      </c>
      <c r="DI106" s="1" t="n">
        <f aca="false">$AM106</f>
        <v>95</v>
      </c>
      <c r="DJ106" s="1" t="n">
        <f aca="false">MAX(DJ105-BO106/BO$9*100,0)</f>
        <v>0</v>
      </c>
      <c r="DK106" s="1" t="n">
        <f aca="false">MAX(DK105-BP106/BP$9*100,0)</f>
        <v>9.99200722162641E-015</v>
      </c>
      <c r="DL106" s="1" t="n">
        <f aca="false">DL$7*EXP(-$AM106/DL$8)</f>
        <v>7.31896509121398E-024</v>
      </c>
      <c r="DM106" s="1" t="n">
        <f aca="false">(DJ106-DL106)^2</f>
        <v>5.35672500064089E-047</v>
      </c>
      <c r="DN106" s="1" t="n">
        <f aca="false">MAX(DN105-BR106/BR$9*100,0)</f>
        <v>0</v>
      </c>
      <c r="DO106" s="1" t="n">
        <f aca="false">MAX(DO105-BS106/BS$9*100,0)</f>
        <v>0</v>
      </c>
      <c r="DP106" s="1" t="n">
        <f aca="false">DP$7*EXP(-$AM106/DP$8)</f>
        <v>2.50350230014101E-010</v>
      </c>
      <c r="DQ106" s="1" t="n">
        <f aca="false">(DN106-DP106)^2</f>
        <v>6.26752376681133E-020</v>
      </c>
      <c r="DS106" s="1" t="n">
        <f aca="false">$AM106</f>
        <v>95</v>
      </c>
      <c r="DT106" s="1" t="n">
        <f aca="false">CA106</f>
        <v>0</v>
      </c>
      <c r="DU106" s="1" t="n">
        <f aca="false">DU$7*EXP(-DS106/DU$8)</f>
        <v>4.76641611374253E-041</v>
      </c>
      <c r="DV106" s="1" t="n">
        <f aca="false">(DT106-DU106)^2</f>
        <v>2.27187225693444E-081</v>
      </c>
      <c r="DX106" s="1" t="n">
        <f aca="false">$AM106</f>
        <v>95</v>
      </c>
      <c r="DY106" s="1" t="n">
        <f aca="false">CM106</f>
        <v>0</v>
      </c>
      <c r="DZ106" s="1" t="n">
        <f aca="false">DZ$7*EXP(-DX106/DZ$8)</f>
        <v>1.04717437892598E-021</v>
      </c>
      <c r="EA106" s="1" t="n">
        <f aca="false">(DY106-DZ106)^2</f>
        <v>1.09657417987901E-042</v>
      </c>
      <c r="EC106" s="1" t="n">
        <f aca="false">$AM106</f>
        <v>95</v>
      </c>
      <c r="ED106" s="1" t="n">
        <f aca="false">CV106</f>
        <v>8.88178419700125E-015</v>
      </c>
      <c r="EE106" s="1" t="n">
        <f aca="false">EE$7*EXP(-EC106/EE$8)</f>
        <v>1.36680020097668E-016</v>
      </c>
      <c r="EF106" s="1" t="n">
        <f aca="false">(ED106-EE106)^2</f>
        <v>7.64768470648965E-029</v>
      </c>
      <c r="EH106" s="1" t="n">
        <f aca="false">$AM106</f>
        <v>95</v>
      </c>
      <c r="EI106" s="1" t="n">
        <f aca="false">DE106</f>
        <v>0</v>
      </c>
      <c r="EJ106" s="1" t="n">
        <f aca="false">EJ$7*EXP(-EH106/EJ$8)</f>
        <v>5.81684244752431E-009</v>
      </c>
      <c r="EK106" s="1" t="n">
        <f aca="false">(EI106-EJ106)^2</f>
        <v>3.38356560593206E-017</v>
      </c>
      <c r="EM106" s="1" t="n">
        <f aca="false">AM106</f>
        <v>95</v>
      </c>
      <c r="EN106" s="1" t="n">
        <f aca="false">DN106</f>
        <v>0</v>
      </c>
      <c r="EO106" s="1" t="n">
        <f aca="false">EO$7*EXP(-EM106/EO$8)</f>
        <v>5.96521687284284E-010</v>
      </c>
      <c r="EP106" s="1" t="n">
        <f aca="false">(EN106-EO106)^2</f>
        <v>3.55838123400489E-019</v>
      </c>
      <c r="ER106" s="1" t="n">
        <f aca="false">$AM106</f>
        <v>95</v>
      </c>
      <c r="ES106" s="1" t="n">
        <f aca="false">BZ106</f>
        <v>0</v>
      </c>
      <c r="ET106" s="1" t="n">
        <f aca="false">ET$7*EXP(-ER106/ET$8)</f>
        <v>1.39898563603727E-047</v>
      </c>
      <c r="EU106" s="1" t="n">
        <f aca="false">(ES106-ET106)^2</f>
        <v>1.95716080983861E-094</v>
      </c>
      <c r="EW106" s="1" t="n">
        <f aca="false">$AM106</f>
        <v>95</v>
      </c>
      <c r="EX106" s="1" t="n">
        <f aca="false">CI106</f>
        <v>0</v>
      </c>
      <c r="EY106" s="1" t="n">
        <f aca="false">EY$7*EXP(-EW106/EY$8)</f>
        <v>1.12390902960871E-043</v>
      </c>
      <c r="EZ106" s="1" t="n">
        <f aca="false">(EX106-EY106)^2</f>
        <v>1.26317150683599E-086</v>
      </c>
      <c r="FB106" s="1" t="n">
        <f aca="false">$AM106</f>
        <v>95</v>
      </c>
      <c r="FC106" s="1" t="n">
        <f aca="false">CR106</f>
        <v>0</v>
      </c>
      <c r="FD106" s="1" t="n">
        <f aca="false">FD$7*EXP(-FB106/FD$8)</f>
        <v>9.05961484784031E-038</v>
      </c>
      <c r="FE106" s="1" t="n">
        <f aca="false">(FC106-FD106)^2</f>
        <v>8.20766211912086E-075</v>
      </c>
      <c r="FG106" s="1" t="n">
        <f aca="false">$AM106</f>
        <v>95</v>
      </c>
      <c r="FH106" s="1" t="n">
        <f aca="false">DA106</f>
        <v>0</v>
      </c>
      <c r="FI106" s="1" t="n">
        <f aca="false">FI$7*EXP(-FG106/FI$8)</f>
        <v>1.48597772355912E-032</v>
      </c>
      <c r="FJ106" s="1" t="n">
        <f aca="false">(FH106-FI106)^2</f>
        <v>2.20812979491394E-064</v>
      </c>
      <c r="FL106" s="1" t="n">
        <f aca="false">EM106</f>
        <v>95</v>
      </c>
      <c r="FM106" s="1" t="n">
        <f aca="false">DJ106</f>
        <v>0</v>
      </c>
      <c r="FN106" s="1" t="n">
        <f aca="false">FN$7*EXP(-FL106/FN$8)</f>
        <v>5.31045501379084E-026</v>
      </c>
      <c r="FO106" s="1" t="n">
        <f aca="false">(FM106-FN106)^2</f>
        <v>2.82009324534963E-051</v>
      </c>
      <c r="FQ106" s="1" t="n">
        <f aca="false">AM106</f>
        <v>95</v>
      </c>
      <c r="FR106" s="1" t="n">
        <f aca="false">AN106/AN$9*100</f>
        <v>0</v>
      </c>
      <c r="FS106" s="1" t="n">
        <f aca="false">AO106/AO$9*100</f>
        <v>0</v>
      </c>
      <c r="FT106" s="1" t="n">
        <f aca="false">AQ106/AQ$9*100</f>
        <v>0</v>
      </c>
      <c r="FU106" s="1" t="n">
        <f aca="false">AR106/AR$9*100</f>
        <v>0</v>
      </c>
      <c r="FV106" s="1" t="n">
        <f aca="false">AT106/AT$9*100</f>
        <v>0</v>
      </c>
      <c r="FW106" s="1" t="n">
        <f aca="false">AU106/AU$9*100</f>
        <v>0</v>
      </c>
      <c r="FX106" s="1" t="n">
        <f aca="false">AW106/AW$9*100</f>
        <v>0</v>
      </c>
      <c r="FY106" s="1" t="n">
        <f aca="false">AX106/AX$9*100</f>
        <v>0</v>
      </c>
      <c r="FZ106" s="1" t="n">
        <f aca="false">AZ106/AZ$9*100</f>
        <v>0</v>
      </c>
      <c r="GA106" s="1" t="n">
        <f aca="false">BA106/BA$9*100</f>
        <v>0</v>
      </c>
      <c r="GB106" s="1" t="n">
        <f aca="false">BC106/BC$9*100</f>
        <v>0</v>
      </c>
      <c r="GC106" s="1" t="n">
        <f aca="false">BD106/BD$9*100</f>
        <v>0</v>
      </c>
      <c r="GD106" s="1" t="n">
        <f aca="false">BF106/BF$9*100</f>
        <v>0</v>
      </c>
      <c r="GE106" s="1" t="n">
        <f aca="false">BG106/BG$9*100</f>
        <v>0</v>
      </c>
      <c r="GF106" s="1" t="n">
        <f aca="false">BI106/BI$9*100</f>
        <v>0</v>
      </c>
      <c r="GG106" s="1" t="n">
        <f aca="false">BJ106/BJ$9*100</f>
        <v>0</v>
      </c>
      <c r="GH106" s="1" t="n">
        <f aca="false">BL106/BL$9*100</f>
        <v>0</v>
      </c>
      <c r="GI106" s="1" t="n">
        <f aca="false">BM106/BM$9*100</f>
        <v>0</v>
      </c>
      <c r="GJ106" s="1" t="n">
        <f aca="false">BO106/BO$9*100</f>
        <v>0</v>
      </c>
      <c r="GK106" s="1" t="n">
        <f aca="false">BP106/BP$9*100</f>
        <v>0</v>
      </c>
      <c r="GL106" s="1" t="n">
        <f aca="false">BR106/BR$9*100</f>
        <v>0</v>
      </c>
      <c r="GM106" s="1" t="n">
        <f aca="false">BS106/BS$9*100</f>
        <v>0</v>
      </c>
      <c r="GO106" s="1" t="n">
        <f aca="false">$AM106</f>
        <v>95</v>
      </c>
      <c r="GP106" s="1" t="n">
        <f aca="false">FT106</f>
        <v>0</v>
      </c>
      <c r="GQ106" s="1" t="n">
        <f aca="false">GQ$6*(1+GQ$5*(-1)^$FQ106)*EXP(-$FQ106/GQ$4)</f>
        <v>3.89499607835716E-030</v>
      </c>
      <c r="GR106" s="1" t="n">
        <f aca="false">(GP106-GQ106)^2</f>
        <v>1.51709944504177E-059</v>
      </c>
      <c r="GS106" s="1" t="n">
        <f aca="false">EXP($FQ106/$JG$4)*GP106</f>
        <v>0</v>
      </c>
      <c r="GT106" s="1" t="n">
        <f aca="false">EXP($FQ106/$JG$4)*(-1)^$FQ106*GP106</f>
        <v>-0</v>
      </c>
      <c r="GU106" s="1" t="n">
        <f aca="false">(-1)^GO106*GP106</f>
        <v>-0</v>
      </c>
      <c r="GW106" s="1" t="n">
        <f aca="false">$AM106</f>
        <v>95</v>
      </c>
      <c r="GX106" s="1" t="n">
        <f aca="false">FX106</f>
        <v>0</v>
      </c>
      <c r="GY106" s="1" t="n">
        <f aca="false">GY$6*(1+GY$5*(-1)^$FQ106)*EXP(-$FQ106/GY$4)</f>
        <v>3.89499607835716E-030</v>
      </c>
      <c r="GZ106" s="1" t="n">
        <f aca="false">(GX106-GY106)^2</f>
        <v>1.51709944504177E-059</v>
      </c>
      <c r="HA106" s="1" t="n">
        <f aca="false">EXP($FQ106/$JG$4)*GX106</f>
        <v>0</v>
      </c>
      <c r="HB106" s="1" t="n">
        <f aca="false">EXP($FQ106/$JG$4)*(-1)^$FQ106*GX106</f>
        <v>-0</v>
      </c>
      <c r="HC106" s="1" t="n">
        <f aca="false">(-1)^GW106*GX106</f>
        <v>-0</v>
      </c>
      <c r="HE106" s="1" t="n">
        <f aca="false">$AM106</f>
        <v>95</v>
      </c>
      <c r="HF106" s="1" t="n">
        <f aca="false">GB106</f>
        <v>0</v>
      </c>
      <c r="HG106" s="1" t="n">
        <f aca="false">HG$6*(1+HG$5*(-1)^$FQ106)*EXP(-$FQ106/HG$4)</f>
        <v>3.89499607835716E-030</v>
      </c>
      <c r="HH106" s="1" t="n">
        <f aca="false">(HF106-HG106)^2</f>
        <v>1.51709944504177E-059</v>
      </c>
      <c r="HI106" s="1" t="n">
        <f aca="false">EXP($FQ106/$JG$4)*HF106</f>
        <v>0</v>
      </c>
      <c r="HJ106" s="1" t="n">
        <f aca="false">EXP($FQ106/$JG$4)*(-1)^$FQ106*HF106</f>
        <v>-0</v>
      </c>
      <c r="HK106" s="1" t="n">
        <f aca="false">(-1)^HE106*HF106</f>
        <v>-0</v>
      </c>
      <c r="HM106" s="1" t="n">
        <f aca="false">$AM106</f>
        <v>95</v>
      </c>
      <c r="HN106" s="1" t="n">
        <f aca="false">GF106</f>
        <v>0</v>
      </c>
      <c r="HO106" s="1" t="n">
        <f aca="false">HO$6*(1+HO$5*(-1)^$FQ106)*EXP(-$FQ106/HO$4)</f>
        <v>7.14713523811276E-024</v>
      </c>
      <c r="HP106" s="1" t="n">
        <f aca="false">(HN106-HO106)^2</f>
        <v>5.10815421118731E-047</v>
      </c>
      <c r="HQ106" s="1" t="n">
        <f aca="false">EXP($FQ106/$JG$4)*HN106</f>
        <v>0</v>
      </c>
      <c r="HR106" s="1" t="n">
        <f aca="false">EXP($FQ106/$JG$4)*(-1)^$FQ106*HN106</f>
        <v>-0</v>
      </c>
      <c r="HS106" s="1" t="n">
        <f aca="false">(-1)^HM106*HN106</f>
        <v>-0</v>
      </c>
      <c r="HU106" s="1" t="n">
        <f aca="false">$AM106</f>
        <v>95</v>
      </c>
      <c r="HV106" s="1" t="n">
        <f aca="false">GJ106</f>
        <v>0</v>
      </c>
      <c r="HW106" s="1" t="n">
        <f aca="false">HW$6*(1+HW$5*(-1)^$FQ106)*EXP(-$FQ106/HW$4)</f>
        <v>1.73296137186799E-017</v>
      </c>
      <c r="HX106" s="1" t="n">
        <f aca="false">(HV106-HW106)^2</f>
        <v>3.00315511638659E-034</v>
      </c>
      <c r="HY106" s="1" t="n">
        <f aca="false">EXP($FQ106/$JG$4)*HV106</f>
        <v>0</v>
      </c>
      <c r="HZ106" s="1" t="n">
        <f aca="false">EXP($FQ106/$JG$4)*(-1)^$FQ106*HV106</f>
        <v>-0</v>
      </c>
      <c r="IA106" s="1" t="n">
        <f aca="false">(-1)^HU106*HV106</f>
        <v>-0</v>
      </c>
      <c r="ID106" s="1" t="n">
        <f aca="false">$AM106</f>
        <v>95</v>
      </c>
      <c r="IE106" s="1" t="n">
        <f aca="false">FZ106</f>
        <v>0</v>
      </c>
      <c r="IF106" s="1" t="n">
        <f aca="false">IF$6*(1+IF$5*(-1)^$FQ106)*EXP(-$FQ106/IF$4)</f>
        <v>5.01994726509411E-013</v>
      </c>
      <c r="IG106" s="1" t="n">
        <f aca="false">(IE106-IF106)^2</f>
        <v>2.51998705443258E-025</v>
      </c>
      <c r="IH106" s="1" t="n">
        <f aca="false">EXP($FQ106/$JG$4)*IE106</f>
        <v>0</v>
      </c>
      <c r="II106" s="1" t="n">
        <f aca="false">EXP($FQ106/$JG$4)*(-1)^$FQ106*IE106</f>
        <v>-0</v>
      </c>
      <c r="IJ106" s="1" t="n">
        <f aca="false">(-1)^ID106*IE106</f>
        <v>-0</v>
      </c>
      <c r="IK106" s="1" t="n">
        <v>0</v>
      </c>
      <c r="IM106" s="1" t="n">
        <f aca="false">$AM106</f>
        <v>95</v>
      </c>
      <c r="IN106" s="1" t="n">
        <f aca="false">GD106</f>
        <v>0</v>
      </c>
      <c r="IO106" s="1" t="n">
        <f aca="false">IO$6*(1+IO$5*(-1)^$FQ106)*EXP(-$FQ106/IO$4)</f>
        <v>3.5827679817647E-011</v>
      </c>
      <c r="IP106" s="1" t="n">
        <f aca="false">(IN106-IO106)^2</f>
        <v>1.28362264111583E-021</v>
      </c>
      <c r="IQ106" s="1" t="n">
        <f aca="false">EXP($FQ106/$JG$4)*IN106</f>
        <v>0</v>
      </c>
      <c r="IR106" s="1" t="n">
        <f aca="false">EXP($FQ106/$JG$4)*(-1)^$FQ106*IN106</f>
        <v>-0</v>
      </c>
      <c r="IS106" s="1" t="n">
        <f aca="false">(-1)^IM106*IN106</f>
        <v>-0</v>
      </c>
      <c r="IV106" s="1" t="n">
        <f aca="false">$AM106</f>
        <v>95</v>
      </c>
      <c r="IW106" s="1" t="n">
        <f aca="false">GH106</f>
        <v>0</v>
      </c>
      <c r="IX106" s="1" t="n">
        <f aca="false">IX$6*(1+IX$5*(-1)^$FQ106)*EXP(-$FQ106/IX$4)</f>
        <v>1.07217736660167E-007</v>
      </c>
      <c r="IY106" s="1" t="n">
        <f aca="false">(IW106-IX106)^2</f>
        <v>1.14956430545289E-014</v>
      </c>
      <c r="IZ106" s="1" t="n">
        <f aca="false">EXP($FQ106/$JG$4)*IW106</f>
        <v>0</v>
      </c>
      <c r="JA106" s="1" t="n">
        <f aca="false">EXP($FQ106/$JG$4)*(-1)^$FQ106*IW106</f>
        <v>-0</v>
      </c>
      <c r="JB106" s="1" t="n">
        <f aca="false">(-1)^IV106*IW106</f>
        <v>-0</v>
      </c>
      <c r="JE106" s="1" t="n">
        <f aca="false">$AM106</f>
        <v>95</v>
      </c>
      <c r="JF106" s="1" t="n">
        <f aca="false">GL106</f>
        <v>0</v>
      </c>
      <c r="JG106" s="1" t="n">
        <f aca="false">JG$6*(1+JG$5*(-1)^$FQ106)*EXP(-$FQ106/JG$4)</f>
        <v>1.74829917741258E-009</v>
      </c>
      <c r="JH106" s="1" t="n">
        <f aca="false">(JF106-JG106)^2</f>
        <v>3.0565500137415E-018</v>
      </c>
      <c r="JI106" s="1" t="n">
        <f aca="false">EXP($FQ106/$JG$4)*JF106</f>
        <v>0</v>
      </c>
      <c r="JJ106" s="1" t="n">
        <f aca="false">EXP($FQ106/$JG$4)*(-1)^$FQ106*JF106</f>
        <v>-0</v>
      </c>
      <c r="JK106" s="1" t="n">
        <f aca="false">(-1)^JE106*JF106</f>
        <v>-0</v>
      </c>
      <c r="JO106" s="1" t="n">
        <f aca="false">$AM106</f>
        <v>95</v>
      </c>
      <c r="JP106" s="1" t="n">
        <f aca="false">GM106</f>
        <v>0</v>
      </c>
      <c r="JQ106" s="1" t="n">
        <f aca="false">JQ$6*(1+JQ$5*(-1)^$FQ106)*EXP(-$FQ106/JQ$4)</f>
        <v>0.0013710694490477</v>
      </c>
      <c r="JR106" s="1" t="n">
        <f aca="false">(JP106-JQ106)^2</f>
        <v>1.87983143411196E-006</v>
      </c>
      <c r="JS106" s="1" t="n">
        <f aca="false">EXP($FQ106/$JG$4)*JP106</f>
        <v>0</v>
      </c>
      <c r="JT106" s="1" t="n">
        <f aca="false">EXP($FQ106/$JG$4)*(-1)^$FQ106*JP106</f>
        <v>-0</v>
      </c>
      <c r="JU106" s="1" t="n">
        <f aca="false">(-1)^JO106*JP106</f>
        <v>-0</v>
      </c>
    </row>
    <row r="107" customFormat="false" ht="16" hidden="false" customHeight="false" outlineLevel="0" collapsed="false">
      <c r="A107" s="1" t="n">
        <v>1</v>
      </c>
      <c r="B107" s="1" t="n">
        <v>1</v>
      </c>
      <c r="C107" s="1" t="n">
        <f aca="false">B107-A107</f>
        <v>0</v>
      </c>
      <c r="D107" s="1" t="n">
        <v>2</v>
      </c>
      <c r="E107" s="1" t="n">
        <v>2</v>
      </c>
      <c r="F107" s="1" t="n">
        <f aca="false">E107-D107</f>
        <v>0</v>
      </c>
      <c r="G107" s="1" t="n">
        <v>3</v>
      </c>
      <c r="H107" s="1" t="n">
        <v>3</v>
      </c>
      <c r="I107" s="1" t="n">
        <f aca="false">H107-G107</f>
        <v>0</v>
      </c>
      <c r="J107" s="1" t="n">
        <v>4</v>
      </c>
      <c r="K107" s="1" t="n">
        <v>5</v>
      </c>
      <c r="L107" s="1" t="n">
        <f aca="false">K107-J107</f>
        <v>1</v>
      </c>
      <c r="M107" s="1" t="n">
        <v>4</v>
      </c>
      <c r="N107" s="1" t="n">
        <v>6</v>
      </c>
      <c r="O107" s="1" t="n">
        <f aca="false">N107-M107</f>
        <v>2</v>
      </c>
      <c r="P107" s="1" t="n">
        <v>4</v>
      </c>
      <c r="Q107" s="1" t="n">
        <v>6</v>
      </c>
      <c r="R107" s="1" t="n">
        <f aca="false">Q107-P107</f>
        <v>2</v>
      </c>
      <c r="S107" s="1" t="n">
        <v>2</v>
      </c>
      <c r="T107" s="1" t="n">
        <v>10</v>
      </c>
      <c r="U107" s="1" t="n">
        <f aca="false">T107-S107</f>
        <v>8</v>
      </c>
      <c r="V107" s="1" t="n">
        <v>3</v>
      </c>
      <c r="W107" s="1" t="n">
        <v>3</v>
      </c>
      <c r="X107" s="1" t="n">
        <f aca="false">W107-V107</f>
        <v>0</v>
      </c>
      <c r="Y107" s="1" t="n">
        <v>6</v>
      </c>
      <c r="Z107" s="1" t="n">
        <v>9</v>
      </c>
      <c r="AA107" s="1" t="n">
        <f aca="false">Z107-Y107</f>
        <v>3</v>
      </c>
      <c r="AB107" s="1" t="n">
        <v>6</v>
      </c>
      <c r="AC107" s="1" t="n">
        <v>6</v>
      </c>
      <c r="AD107" s="1" t="n">
        <f aca="false">AC107-AB107</f>
        <v>0</v>
      </c>
      <c r="AE107" s="1" t="n">
        <v>2</v>
      </c>
      <c r="AF107" s="1" t="n">
        <v>4</v>
      </c>
      <c r="AG107" s="1" t="n">
        <f aca="false">AF107-AE107</f>
        <v>2</v>
      </c>
      <c r="AM107" s="1" t="n">
        <v>96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W107" s="1" t="n">
        <f aca="false">$AM107</f>
        <v>96</v>
      </c>
      <c r="BX107" s="1" t="n">
        <f aca="false">MAX(BX106-AN107/AN$9*100,0)</f>
        <v>0</v>
      </c>
      <c r="BY107" s="1" t="n">
        <f aca="false">MAX(BY106-AO107/AO$9*100,0)</f>
        <v>0</v>
      </c>
      <c r="BZ107" s="1" t="n">
        <f aca="false">MAX(BZ106-AQ107/AQ$9*100,0)</f>
        <v>0</v>
      </c>
      <c r="CA107" s="1" t="n">
        <f aca="false">MAX(CA106-AR107/AR$9*100,0)</f>
        <v>0</v>
      </c>
      <c r="CB107" s="1" t="n">
        <f aca="false">CB$7*EXP(-$AM107/CB$8)</f>
        <v>1.49396612486016E-052</v>
      </c>
      <c r="CC107" s="1" t="n">
        <f aca="false">(BZ107-CB107)^2</f>
        <v>2.23193478222968E-104</v>
      </c>
      <c r="CD107" s="1" t="n">
        <f aca="false">MAX(CD106-AT107/AT$9*100,0)</f>
        <v>0</v>
      </c>
      <c r="CE107" s="1" t="n">
        <f aca="false">MAX(CE106-AU107/AU$9*100,0)</f>
        <v>5.32907051820075E-015</v>
      </c>
      <c r="CF107" s="1" t="n">
        <f aca="false">CF$7*EXP(-$AM107/CF$8)</f>
        <v>3.5084931836184E-051</v>
      </c>
      <c r="CG107" s="1" t="n">
        <f aca="false">(CD107-CF107)^2</f>
        <v>1.23095244194968E-101</v>
      </c>
      <c r="CH107" s="1" t="n">
        <f aca="false">$AM107</f>
        <v>96</v>
      </c>
      <c r="CI107" s="1" t="n">
        <f aca="false">MAX(CI106-AW107/AW$9*100,0)</f>
        <v>0</v>
      </c>
      <c r="CJ107" s="1" t="n">
        <f aca="false">MAX(CJ106-AX107/AX$9*100,0)</f>
        <v>0</v>
      </c>
      <c r="CK107" s="1" t="n">
        <f aca="false">CK$7*EXP(-$AM107/CK$8)</f>
        <v>4.13048428672874E-034</v>
      </c>
      <c r="CL107" s="1" t="n">
        <f aca="false">(CI107-CK107)^2</f>
        <v>1.7060900442913E-067</v>
      </c>
      <c r="CM107" s="1" t="n">
        <f aca="false">MAX(CM106-AZ107/AZ$9*100,0)</f>
        <v>0</v>
      </c>
      <c r="CN107" s="1" t="n">
        <f aca="false">MAX(CN106-BA107/BA$9*100,0)</f>
        <v>5.32907051820075E-015</v>
      </c>
      <c r="CO107" s="1" t="n">
        <f aca="false">CO$7*EXP(-$AM107/CO$8)</f>
        <v>1.20085601494157E-018</v>
      </c>
      <c r="CP107" s="1" t="n">
        <f aca="false">(CM107-CO107)^2</f>
        <v>1.44205516862135E-036</v>
      </c>
      <c r="CQ107" s="1" t="n">
        <f aca="false">$AM107</f>
        <v>96</v>
      </c>
      <c r="CR107" s="1" t="n">
        <f aca="false">MAX(CR106-BC107/BC$9*100,0)</f>
        <v>0</v>
      </c>
      <c r="CS107" s="1" t="n">
        <f aca="false">MAX(CS106-BD107/BD$9*100,0)</f>
        <v>0</v>
      </c>
      <c r="CT107" s="1" t="n">
        <f aca="false">CT$7*EXP(-$AM107/CT$8)</f>
        <v>2.18151434321391E-031</v>
      </c>
      <c r="CU107" s="1" t="n">
        <f aca="false">(CR107-CT107)^2</f>
        <v>4.75900482964802E-062</v>
      </c>
      <c r="CV107" s="1" t="n">
        <f aca="false">MAX(CV106-BF107/BF$9*100,0)</f>
        <v>8.88178419700125E-015</v>
      </c>
      <c r="CW107" s="1" t="n">
        <f aca="false">MAX(CW106-BG107/BG$9*100,0)</f>
        <v>5.32907051820075E-015</v>
      </c>
      <c r="CX107" s="1" t="n">
        <f aca="false">CX$7*EXP(-$AM107/CX$8)</f>
        <v>7.97038022571017E-016</v>
      </c>
      <c r="CY107" s="1" t="n">
        <f aca="false">(CV107-CX107)^2</f>
        <v>6.53631207049643E-029</v>
      </c>
      <c r="CZ107" s="1" t="n">
        <f aca="false">$AM107</f>
        <v>96</v>
      </c>
      <c r="DA107" s="1" t="n">
        <f aca="false">MAX(DA106-BI107/BI$9*100,0)</f>
        <v>0</v>
      </c>
      <c r="DB107" s="1" t="n">
        <f aca="false">MAX(DB106-BJ107/BJ$9*100,0)</f>
        <v>9.88098491916389E-015</v>
      </c>
      <c r="DC107" s="1" t="n">
        <f aca="false">DC$7*EXP(-$AM107/DC$8)</f>
        <v>5.91297335899436E-029</v>
      </c>
      <c r="DD107" s="1" t="n">
        <f aca="false">(DA107-DC107)^2</f>
        <v>3.49632539441771E-057</v>
      </c>
      <c r="DE107" s="1" t="n">
        <f aca="false">MAX(DE106-BL107/BL$9*100,0)</f>
        <v>0</v>
      </c>
      <c r="DF107" s="1" t="n">
        <f aca="false">MAX(DF106-BM107/BM$9*100,0)</f>
        <v>0</v>
      </c>
      <c r="DG107" s="1" t="n">
        <f aca="false">DG$7*EXP(-$AM107/DG$8)</f>
        <v>4.54903712585631E-009</v>
      </c>
      <c r="DH107" s="1" t="n">
        <f aca="false">(DE107-DG107)^2</f>
        <v>2.0693738772419E-017</v>
      </c>
      <c r="DI107" s="1" t="n">
        <f aca="false">$AM107</f>
        <v>96</v>
      </c>
      <c r="DJ107" s="1" t="n">
        <f aca="false">MAX(DJ106-BO107/BO$9*100,0)</f>
        <v>0</v>
      </c>
      <c r="DK107" s="1" t="n">
        <f aca="false">MAX(DK106-BP107/BP$9*100,0)</f>
        <v>9.99200722162641E-015</v>
      </c>
      <c r="DL107" s="1" t="n">
        <f aca="false">DL$7*EXP(-$AM107/DL$8)</f>
        <v>3.96288384725276E-024</v>
      </c>
      <c r="DM107" s="1" t="n">
        <f aca="false">(DJ107-DL107)^2</f>
        <v>1.57044483868168E-047</v>
      </c>
      <c r="DN107" s="1" t="n">
        <f aca="false">MAX(DN106-BR107/BR$9*100,0)</f>
        <v>0</v>
      </c>
      <c r="DO107" s="1" t="n">
        <f aca="false">MAX(DO106-BS107/BS$9*100,0)</f>
        <v>0</v>
      </c>
      <c r="DP107" s="1" t="n">
        <f aca="false">DP$7*EXP(-$AM107/DP$8)</f>
        <v>1.88589885345088E-010</v>
      </c>
      <c r="DQ107" s="1" t="n">
        <f aca="false">(DN107-DP107)^2</f>
        <v>3.55661448544734E-020</v>
      </c>
      <c r="DS107" s="1" t="n">
        <f aca="false">$AM107</f>
        <v>96</v>
      </c>
      <c r="DT107" s="1" t="n">
        <f aca="false">CA107</f>
        <v>0</v>
      </c>
      <c r="DU107" s="1" t="n">
        <f aca="false">DU$7*EXP(-DS107/DU$8)</f>
        <v>1.70006561710474E-041</v>
      </c>
      <c r="DV107" s="1" t="n">
        <f aca="false">(DT107-DU107)^2</f>
        <v>2.89022310246172E-082</v>
      </c>
      <c r="DX107" s="1" t="n">
        <f aca="false">$AM107</f>
        <v>96</v>
      </c>
      <c r="DY107" s="1" t="n">
        <f aca="false">CM107</f>
        <v>0</v>
      </c>
      <c r="DZ107" s="1" t="n">
        <f aca="false">DZ$7*EXP(-DX107/DZ$8)</f>
        <v>5.97081126963355E-022</v>
      </c>
      <c r="EA107" s="1" t="n">
        <f aca="false">(DY107-DZ107)^2</f>
        <v>3.5650587217583E-043</v>
      </c>
      <c r="EC107" s="1" t="n">
        <f aca="false">$AM107</f>
        <v>96</v>
      </c>
      <c r="ED107" s="1" t="n">
        <f aca="false">CV107</f>
        <v>8.88178419700125E-015</v>
      </c>
      <c r="EE107" s="1" t="n">
        <f aca="false">EE$7*EXP(-EC107/EE$8)</f>
        <v>8.83195380039371E-017</v>
      </c>
      <c r="EF107" s="1" t="n">
        <f aca="false">(ED107-EE107)^2</f>
        <v>7.73250207090348E-029</v>
      </c>
      <c r="EH107" s="1" t="n">
        <f aca="false">$AM107</f>
        <v>96</v>
      </c>
      <c r="EI107" s="1" t="n">
        <f aca="false">DE107</f>
        <v>0</v>
      </c>
      <c r="EJ107" s="1" t="n">
        <f aca="false">EJ$7*EXP(-EH107/EJ$8)</f>
        <v>4.53016145313492E-009</v>
      </c>
      <c r="EK107" s="1" t="n">
        <f aca="false">(EI107-EJ107)^2</f>
        <v>2.05223627914695E-017</v>
      </c>
      <c r="EM107" s="1" t="n">
        <f aca="false">AM107</f>
        <v>96</v>
      </c>
      <c r="EN107" s="1" t="n">
        <f aca="false">DN107</f>
        <v>0</v>
      </c>
      <c r="EO107" s="1" t="n">
        <f aca="false">EO$7*EXP(-EM107/EO$8)</f>
        <v>4.53566998753874E-010</v>
      </c>
      <c r="EP107" s="1" t="n">
        <f aca="false">(EN107-EO107)^2</f>
        <v>2.05723022358597E-019</v>
      </c>
      <c r="ER107" s="1" t="n">
        <f aca="false">$AM107</f>
        <v>96</v>
      </c>
      <c r="ES107" s="1" t="n">
        <f aca="false">BZ107</f>
        <v>0</v>
      </c>
      <c r="ET107" s="1" t="n">
        <f aca="false">ET$7*EXP(-ER107/ET$8)</f>
        <v>4.25398559624956E-048</v>
      </c>
      <c r="EU107" s="1" t="n">
        <f aca="false">(ES107-ET107)^2</f>
        <v>1.80963934530987E-095</v>
      </c>
      <c r="EW107" s="1" t="n">
        <f aca="false">$AM107</f>
        <v>96</v>
      </c>
      <c r="EX107" s="1" t="n">
        <f aca="false">CI107</f>
        <v>0</v>
      </c>
      <c r="EY107" s="1" t="n">
        <f aca="false">EY$7*EXP(-EW107/EY$8)</f>
        <v>3.74528160016294E-044</v>
      </c>
      <c r="EZ107" s="1" t="n">
        <f aca="false">(EX107-EY107)^2</f>
        <v>1.40271342645191E-087</v>
      </c>
      <c r="FB107" s="1" t="n">
        <f aca="false">$AM107</f>
        <v>96</v>
      </c>
      <c r="FC107" s="1" t="n">
        <f aca="false">CR107</f>
        <v>0</v>
      </c>
      <c r="FD107" s="1" t="n">
        <f aca="false">FD$7*EXP(-FB107/FD$8)</f>
        <v>3.49539243996225E-038</v>
      </c>
      <c r="FE107" s="1" t="n">
        <f aca="false">(FC107-FD107)^2</f>
        <v>1.22177683093453E-075</v>
      </c>
      <c r="FG107" s="1" t="n">
        <f aca="false">$AM107</f>
        <v>96</v>
      </c>
      <c r="FH107" s="1" t="n">
        <f aca="false">DA107</f>
        <v>0</v>
      </c>
      <c r="FI107" s="1" t="n">
        <f aca="false">FI$7*EXP(-FG107/FI$8)</f>
        <v>6.50266288296368E-033</v>
      </c>
      <c r="FJ107" s="1" t="n">
        <f aca="false">(FH107-FI107)^2</f>
        <v>4.22846245694735E-065</v>
      </c>
      <c r="FL107" s="1" t="n">
        <f aca="false">EM107</f>
        <v>96</v>
      </c>
      <c r="FM107" s="1" t="n">
        <f aca="false">DJ107</f>
        <v>0</v>
      </c>
      <c r="FN107" s="1" t="n">
        <f aca="false">FN$7*EXP(-FL107/FN$8)</f>
        <v>2.72647851393268E-026</v>
      </c>
      <c r="FO107" s="1" t="n">
        <f aca="false">(FM107-FN107)^2</f>
        <v>7.43368508693656E-052</v>
      </c>
      <c r="FQ107" s="1" t="n">
        <f aca="false">AM107</f>
        <v>96</v>
      </c>
      <c r="FR107" s="1" t="n">
        <f aca="false">AN107/AN$9*100</f>
        <v>0</v>
      </c>
      <c r="FS107" s="1" t="n">
        <f aca="false">AO107/AO$9*100</f>
        <v>0</v>
      </c>
      <c r="FT107" s="1" t="n">
        <f aca="false">AQ107/AQ$9*100</f>
        <v>0</v>
      </c>
      <c r="FU107" s="1" t="n">
        <f aca="false">AR107/AR$9*100</f>
        <v>0</v>
      </c>
      <c r="FV107" s="1" t="n">
        <f aca="false">AT107/AT$9*100</f>
        <v>0</v>
      </c>
      <c r="FW107" s="1" t="n">
        <f aca="false">AU107/AU$9*100</f>
        <v>0</v>
      </c>
      <c r="FX107" s="1" t="n">
        <f aca="false">AW107/AW$9*100</f>
        <v>0</v>
      </c>
      <c r="FY107" s="1" t="n">
        <f aca="false">AX107/AX$9*100</f>
        <v>0</v>
      </c>
      <c r="FZ107" s="1" t="n">
        <f aca="false">AZ107/AZ$9*100</f>
        <v>0</v>
      </c>
      <c r="GA107" s="1" t="n">
        <f aca="false">BA107/BA$9*100</f>
        <v>0</v>
      </c>
      <c r="GB107" s="1" t="n">
        <f aca="false">BC107/BC$9*100</f>
        <v>0</v>
      </c>
      <c r="GC107" s="1" t="n">
        <f aca="false">BD107/BD$9*100</f>
        <v>0</v>
      </c>
      <c r="GD107" s="1" t="n">
        <f aca="false">BF107/BF$9*100</f>
        <v>0</v>
      </c>
      <c r="GE107" s="1" t="n">
        <f aca="false">BG107/BG$9*100</f>
        <v>0</v>
      </c>
      <c r="GF107" s="1" t="n">
        <f aca="false">BI107/BI$9*100</f>
        <v>0</v>
      </c>
      <c r="GG107" s="1" t="n">
        <f aca="false">BJ107/BJ$9*100</f>
        <v>0</v>
      </c>
      <c r="GH107" s="1" t="n">
        <f aca="false">BL107/BL$9*100</f>
        <v>0</v>
      </c>
      <c r="GI107" s="1" t="n">
        <f aca="false">BM107/BM$9*100</f>
        <v>0</v>
      </c>
      <c r="GJ107" s="1" t="n">
        <f aca="false">BO107/BO$9*100</f>
        <v>0</v>
      </c>
      <c r="GK107" s="1" t="n">
        <f aca="false">BP107/BP$9*100</f>
        <v>0</v>
      </c>
      <c r="GL107" s="1" t="n">
        <f aca="false">BR107/BR$9*100</f>
        <v>0</v>
      </c>
      <c r="GM107" s="1" t="n">
        <f aca="false">BS107/BS$9*100</f>
        <v>0</v>
      </c>
      <c r="GO107" s="1" t="n">
        <f aca="false">$AM107</f>
        <v>96</v>
      </c>
      <c r="GP107" s="1" t="n">
        <f aca="false">FT107</f>
        <v>0</v>
      </c>
      <c r="GQ107" s="1" t="n">
        <f aca="false">GQ$6*(1+GQ$5*(-1)^$FQ107)*EXP(-$FQ107/GQ$4)</f>
        <v>5.33472633951716E-030</v>
      </c>
      <c r="GR107" s="1" t="n">
        <f aca="false">(GP107-GQ107)^2</f>
        <v>2.84593051175382E-059</v>
      </c>
      <c r="GS107" s="1" t="n">
        <f aca="false">EXP($FQ107/$JG$4)*GP107</f>
        <v>0</v>
      </c>
      <c r="GT107" s="1" t="n">
        <f aca="false">EXP($FQ107/$JG$4)*(-1)^$FQ107*GP107</f>
        <v>0</v>
      </c>
      <c r="GU107" s="1" t="n">
        <f aca="false">(-1)^GO107*GP107</f>
        <v>0</v>
      </c>
      <c r="GW107" s="1" t="n">
        <f aca="false">$AM107</f>
        <v>96</v>
      </c>
      <c r="GX107" s="1" t="n">
        <f aca="false">FX107</f>
        <v>0</v>
      </c>
      <c r="GY107" s="1" t="n">
        <f aca="false">GY$6*(1+GY$5*(-1)^$FQ107)*EXP(-$FQ107/GY$4)</f>
        <v>5.33472633951716E-030</v>
      </c>
      <c r="GZ107" s="1" t="n">
        <f aca="false">(GX107-GY107)^2</f>
        <v>2.84593051175382E-059</v>
      </c>
      <c r="HA107" s="1" t="n">
        <f aca="false">EXP($FQ107/$JG$4)*GX107</f>
        <v>0</v>
      </c>
      <c r="HB107" s="1" t="n">
        <f aca="false">EXP($FQ107/$JG$4)*(-1)^$FQ107*GX107</f>
        <v>0</v>
      </c>
      <c r="HC107" s="1" t="n">
        <f aca="false">(-1)^GW107*GX107</f>
        <v>0</v>
      </c>
      <c r="HE107" s="1" t="n">
        <f aca="false">$AM107</f>
        <v>96</v>
      </c>
      <c r="HF107" s="1" t="n">
        <f aca="false">GB107</f>
        <v>0</v>
      </c>
      <c r="HG107" s="1" t="n">
        <f aca="false">HG$6*(1+HG$5*(-1)^$FQ107)*EXP(-$FQ107/HG$4)</f>
        <v>5.33472633951716E-030</v>
      </c>
      <c r="HH107" s="1" t="n">
        <f aca="false">(HF107-HG107)^2</f>
        <v>2.84593051175382E-059</v>
      </c>
      <c r="HI107" s="1" t="n">
        <f aca="false">EXP($FQ107/$JG$4)*HF107</f>
        <v>0</v>
      </c>
      <c r="HJ107" s="1" t="n">
        <f aca="false">EXP($FQ107/$JG$4)*(-1)^$FQ107*HF107</f>
        <v>0</v>
      </c>
      <c r="HK107" s="1" t="n">
        <f aca="false">(-1)^HE107*HF107</f>
        <v>0</v>
      </c>
      <c r="HM107" s="1" t="n">
        <f aca="false">$AM107</f>
        <v>96</v>
      </c>
      <c r="HN107" s="1" t="n">
        <f aca="false">GF107</f>
        <v>0</v>
      </c>
      <c r="HO107" s="1" t="n">
        <f aca="false">HO$6*(1+HO$5*(-1)^$FQ107)*EXP(-$FQ107/HO$4)</f>
        <v>1.78902649002201E-023</v>
      </c>
      <c r="HP107" s="1" t="n">
        <f aca="false">(HN107-HO107)^2</f>
        <v>3.20061578200047E-046</v>
      </c>
      <c r="HQ107" s="1" t="n">
        <f aca="false">EXP($FQ107/$JG$4)*HN107</f>
        <v>0</v>
      </c>
      <c r="HR107" s="1" t="n">
        <f aca="false">EXP($FQ107/$JG$4)*(-1)^$FQ107*HN107</f>
        <v>0</v>
      </c>
      <c r="HS107" s="1" t="n">
        <f aca="false">(-1)^HM107*HN107</f>
        <v>0</v>
      </c>
      <c r="HU107" s="1" t="n">
        <f aca="false">$AM107</f>
        <v>96</v>
      </c>
      <c r="HV107" s="1" t="n">
        <f aca="false">GJ107</f>
        <v>0</v>
      </c>
      <c r="HW107" s="1" t="n">
        <f aca="false">HW$6*(1+HW$5*(-1)^$FQ107)*EXP(-$FQ107/HW$4)</f>
        <v>3.33998438991551E-017</v>
      </c>
      <c r="HX107" s="1" t="n">
        <f aca="false">(HV107-HW107)^2</f>
        <v>1.11554957248793E-033</v>
      </c>
      <c r="HY107" s="1" t="n">
        <f aca="false">EXP($FQ107/$JG$4)*HV107</f>
        <v>0</v>
      </c>
      <c r="HZ107" s="1" t="n">
        <f aca="false">EXP($FQ107/$JG$4)*(-1)^$FQ107*HV107</f>
        <v>0</v>
      </c>
      <c r="IA107" s="1" t="n">
        <f aca="false">(-1)^HU107*HV107</f>
        <v>0</v>
      </c>
      <c r="ID107" s="1" t="n">
        <f aca="false">$AM107</f>
        <v>96</v>
      </c>
      <c r="IE107" s="1" t="n">
        <f aca="false">FZ107</f>
        <v>0</v>
      </c>
      <c r="IF107" s="1" t="n">
        <f aca="false">IF$6*(1+IF$5*(-1)^$FQ107)*EXP(-$FQ107/IF$4)</f>
        <v>6.98231352733432E-013</v>
      </c>
      <c r="IG107" s="1" t="n">
        <f aca="false">(IE107-IF107)^2</f>
        <v>4.87527021939958E-025</v>
      </c>
      <c r="IH107" s="1" t="n">
        <f aca="false">EXP($FQ107/$JG$4)*IE107</f>
        <v>0</v>
      </c>
      <c r="II107" s="1" t="n">
        <f aca="false">EXP($FQ107/$JG$4)*(-1)^$FQ107*IE107</f>
        <v>0</v>
      </c>
      <c r="IJ107" s="1" t="n">
        <f aca="false">(-1)^ID107*IE107</f>
        <v>0</v>
      </c>
      <c r="IK107" s="1" t="n">
        <v>0</v>
      </c>
      <c r="IM107" s="1" t="n">
        <f aca="false">$AM107</f>
        <v>96</v>
      </c>
      <c r="IN107" s="1" t="n">
        <f aca="false">GD107</f>
        <v>0</v>
      </c>
      <c r="IO107" s="1" t="n">
        <f aca="false">IO$6*(1+IO$5*(-1)^$FQ107)*EXP(-$FQ107/IO$4)</f>
        <v>5.85483370630966E-011</v>
      </c>
      <c r="IP107" s="1" t="n">
        <f aca="false">(IN107-IO107)^2</f>
        <v>3.42790777285397E-021</v>
      </c>
      <c r="IQ107" s="1" t="n">
        <f aca="false">EXP($FQ107/$JG$4)*IN107</f>
        <v>0</v>
      </c>
      <c r="IR107" s="1" t="n">
        <f aca="false">EXP($FQ107/$JG$4)*(-1)^$FQ107*IN107</f>
        <v>0</v>
      </c>
      <c r="IS107" s="1" t="n">
        <f aca="false">(-1)^IM107*IN107</f>
        <v>0</v>
      </c>
      <c r="IV107" s="1" t="n">
        <f aca="false">$AM107</f>
        <v>96</v>
      </c>
      <c r="IW107" s="1" t="n">
        <f aca="false">GH107</f>
        <v>0</v>
      </c>
      <c r="IX107" s="1" t="n">
        <f aca="false">IX$6*(1+IX$5*(-1)^$FQ107)*EXP(-$FQ107/IX$4)</f>
        <v>3.43053404081975E-007</v>
      </c>
      <c r="IY107" s="1" t="n">
        <f aca="false">(IW107-IX107)^2</f>
        <v>1.17685638052231E-013</v>
      </c>
      <c r="IZ107" s="1" t="n">
        <f aca="false">EXP($FQ107/$JG$4)*IW107</f>
        <v>0</v>
      </c>
      <c r="JA107" s="1" t="n">
        <f aca="false">EXP($FQ107/$JG$4)*(-1)^$FQ107*IW107</f>
        <v>0</v>
      </c>
      <c r="JB107" s="1" t="n">
        <f aca="false">(-1)^IV107*IW107</f>
        <v>0</v>
      </c>
      <c r="JE107" s="1" t="n">
        <f aca="false">$AM107</f>
        <v>96</v>
      </c>
      <c r="JF107" s="1" t="n">
        <f aca="false">GL107</f>
        <v>0</v>
      </c>
      <c r="JG107" s="1" t="n">
        <f aca="false">JG$6*(1+JG$5*(-1)^$FQ107)*EXP(-$FQ107/JG$4)</f>
        <v>9.06147058670165E-009</v>
      </c>
      <c r="JH107" s="1" t="n">
        <f aca="false">(JF107-JG107)^2</f>
        <v>8.21102491936591E-017</v>
      </c>
      <c r="JI107" s="1" t="n">
        <f aca="false">EXP($FQ107/$JG$4)*JF107</f>
        <v>0</v>
      </c>
      <c r="JJ107" s="1" t="n">
        <f aca="false">EXP($FQ107/$JG$4)*(-1)^$FQ107*JF107</f>
        <v>0</v>
      </c>
      <c r="JK107" s="1" t="n">
        <f aca="false">(-1)^JE107*JF107</f>
        <v>0</v>
      </c>
      <c r="JO107" s="1" t="n">
        <f aca="false">$AM107</f>
        <v>96</v>
      </c>
      <c r="JP107" s="1" t="n">
        <f aca="false">GM107</f>
        <v>0</v>
      </c>
      <c r="JQ107" s="1" t="n">
        <f aca="false">JQ$6*(1+JQ$5*(-1)^$FQ107)*EXP(-$FQ107/JQ$4)</f>
        <v>0.00664469725734807</v>
      </c>
      <c r="JR107" s="1" t="n">
        <f aca="false">(JP107-JQ107)^2</f>
        <v>4.4152001641809E-005</v>
      </c>
      <c r="JS107" s="1" t="n">
        <f aca="false">EXP($FQ107/$JG$4)*JP107</f>
        <v>0</v>
      </c>
      <c r="JT107" s="1" t="n">
        <f aca="false">EXP($FQ107/$JG$4)*(-1)^$FQ107*JP107</f>
        <v>0</v>
      </c>
      <c r="JU107" s="1" t="n">
        <f aca="false">(-1)^JO107*JP107</f>
        <v>0</v>
      </c>
    </row>
    <row r="108" customFormat="false" ht="16" hidden="false" customHeight="false" outlineLevel="0" collapsed="false">
      <c r="A108" s="1" t="n">
        <v>1</v>
      </c>
      <c r="B108" s="1" t="n">
        <v>1</v>
      </c>
      <c r="C108" s="1" t="n">
        <f aca="false">B108-A108</f>
        <v>0</v>
      </c>
      <c r="D108" s="1" t="n">
        <v>4</v>
      </c>
      <c r="E108" s="1" t="n">
        <v>4</v>
      </c>
      <c r="F108" s="1" t="n">
        <f aca="false">E108-D108</f>
        <v>0</v>
      </c>
      <c r="G108" s="1" t="n">
        <v>2</v>
      </c>
      <c r="H108" s="1" t="n">
        <v>2</v>
      </c>
      <c r="I108" s="1" t="n">
        <f aca="false">H108-G108</f>
        <v>0</v>
      </c>
      <c r="J108" s="1" t="n">
        <v>2</v>
      </c>
      <c r="K108" s="1" t="n">
        <v>3</v>
      </c>
      <c r="L108" s="1" t="n">
        <f aca="false">K108-J108</f>
        <v>1</v>
      </c>
      <c r="M108" s="1" t="n">
        <v>2</v>
      </c>
      <c r="N108" s="1" t="n">
        <v>4</v>
      </c>
      <c r="O108" s="1" t="n">
        <f aca="false">N108-M108</f>
        <v>2</v>
      </c>
      <c r="P108" s="1" t="n">
        <v>4</v>
      </c>
      <c r="Q108" s="1" t="n">
        <v>6</v>
      </c>
      <c r="R108" s="1" t="n">
        <f aca="false">Q108-P108</f>
        <v>2</v>
      </c>
      <c r="S108" s="1" t="n">
        <v>8</v>
      </c>
      <c r="T108" s="1" t="n">
        <v>9</v>
      </c>
      <c r="U108" s="1" t="n">
        <f aca="false">T108-S108</f>
        <v>1</v>
      </c>
      <c r="V108" s="1" t="n">
        <v>3</v>
      </c>
      <c r="W108" s="1" t="n">
        <v>4</v>
      </c>
      <c r="X108" s="1" t="n">
        <f aca="false">W108-V108</f>
        <v>1</v>
      </c>
      <c r="Y108" s="1" t="n">
        <v>4</v>
      </c>
      <c r="Z108" s="1" t="n">
        <v>10</v>
      </c>
      <c r="AA108" s="1" t="n">
        <f aca="false">Z108-Y108</f>
        <v>6</v>
      </c>
      <c r="AB108" s="1" t="n">
        <v>2</v>
      </c>
      <c r="AC108" s="1" t="n">
        <v>2</v>
      </c>
      <c r="AD108" s="1" t="n">
        <f aca="false">AC108-AB108</f>
        <v>0</v>
      </c>
      <c r="AE108" s="1" t="n">
        <v>2</v>
      </c>
      <c r="AF108" s="1" t="n">
        <v>4</v>
      </c>
      <c r="AG108" s="1" t="n">
        <f aca="false">AF108-AE108</f>
        <v>2</v>
      </c>
      <c r="AM108" s="1" t="n">
        <v>97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  <c r="BQ108" s="1" t="n">
        <v>0</v>
      </c>
      <c r="BR108" s="1" t="n">
        <v>0</v>
      </c>
      <c r="BS108" s="1" t="n">
        <v>0</v>
      </c>
      <c r="BT108" s="1" t="n">
        <v>0</v>
      </c>
      <c r="BW108" s="1" t="n">
        <f aca="false">$AM108</f>
        <v>97</v>
      </c>
      <c r="BX108" s="1" t="n">
        <f aca="false">MAX(BX107-AN108/AN$9*100,0)</f>
        <v>0</v>
      </c>
      <c r="BY108" s="1" t="n">
        <f aca="false">MAX(BY107-AO108/AO$9*100,0)</f>
        <v>0</v>
      </c>
      <c r="BZ108" s="1" t="n">
        <f aca="false">MAX(BZ107-AQ108/AQ$9*100,0)</f>
        <v>0</v>
      </c>
      <c r="CA108" s="1" t="n">
        <f aca="false">MAX(CA107-AR108/AR$9*100,0)</f>
        <v>0</v>
      </c>
      <c r="CB108" s="1" t="n">
        <f aca="false">CB$7*EXP(-$AM108/CB$8)</f>
        <v>4.07682380722639E-053</v>
      </c>
      <c r="CC108" s="1" t="n">
        <f aca="false">(BZ108-CB108)^2</f>
        <v>1.66204923551679E-105</v>
      </c>
      <c r="CD108" s="1" t="n">
        <f aca="false">MAX(CD107-AT108/AT$9*100,0)</f>
        <v>0</v>
      </c>
      <c r="CE108" s="1" t="n">
        <f aca="false">MAX(CE107-AU108/AU$9*100,0)</f>
        <v>5.32907051820075E-015</v>
      </c>
      <c r="CF108" s="1" t="n">
        <f aca="false">CF$7*EXP(-$AM108/CF$8)</f>
        <v>9.89420231722614E-052</v>
      </c>
      <c r="CG108" s="1" t="n">
        <f aca="false">(CD108-CF108)^2</f>
        <v>9.78952394942031E-103</v>
      </c>
      <c r="CH108" s="1" t="n">
        <f aca="false">$AM108</f>
        <v>97</v>
      </c>
      <c r="CI108" s="1" t="n">
        <f aca="false">MAX(CI107-AW108/AW$9*100,0)</f>
        <v>0</v>
      </c>
      <c r="CJ108" s="1" t="n">
        <f aca="false">MAX(CJ107-AX108/AX$9*100,0)</f>
        <v>0</v>
      </c>
      <c r="CK108" s="1" t="n">
        <f aca="false">CK$7*EXP(-$AM108/CK$8)</f>
        <v>1.75715110305351E-034</v>
      </c>
      <c r="CL108" s="1" t="n">
        <f aca="false">(CI108-CK108)^2</f>
        <v>3.08757999896217E-068</v>
      </c>
      <c r="CM108" s="1" t="n">
        <f aca="false">MAX(CM107-AZ108/AZ$9*100,0)</f>
        <v>0</v>
      </c>
      <c r="CN108" s="1" t="n">
        <f aca="false">MAX(CN107-BA108/BA$9*100,0)</f>
        <v>5.32907051820075E-015</v>
      </c>
      <c r="CO108" s="1" t="n">
        <f aca="false">CO$7*EXP(-$AM108/CO$8)</f>
        <v>7.4249838566158E-019</v>
      </c>
      <c r="CP108" s="1" t="n">
        <f aca="false">(CM108-CO108)^2</f>
        <v>5.51303852710052E-037</v>
      </c>
      <c r="CQ108" s="1" t="n">
        <f aca="false">$AM108</f>
        <v>97</v>
      </c>
      <c r="CR108" s="1" t="n">
        <f aca="false">MAX(CR107-BC108/BC$9*100,0)</f>
        <v>0</v>
      </c>
      <c r="CS108" s="1" t="n">
        <f aca="false">MAX(CS107-BD108/BD$9*100,0)</f>
        <v>0</v>
      </c>
      <c r="CT108" s="1" t="n">
        <f aca="false">CT$7*EXP(-$AM108/CT$8)</f>
        <v>9.9264489583431E-032</v>
      </c>
      <c r="CU108" s="1" t="n">
        <f aca="false">(CR108-CT108)^2</f>
        <v>9.85343889225908E-063</v>
      </c>
      <c r="CV108" s="1" t="n">
        <f aca="false">MAX(CV107-BF108/BF$9*100,0)</f>
        <v>8.88178419700125E-015</v>
      </c>
      <c r="CW108" s="1" t="n">
        <f aca="false">MAX(CW107-BG108/BG$9*100,0)</f>
        <v>5.32907051820075E-015</v>
      </c>
      <c r="CX108" s="1" t="n">
        <f aca="false">CX$7*EXP(-$AM108/CX$8)</f>
        <v>5.27252333040526E-016</v>
      </c>
      <c r="CY108" s="1" t="n">
        <f aca="false">(CV108-CX108)^2</f>
        <v>6.97982026659351E-029</v>
      </c>
      <c r="CZ108" s="1" t="n">
        <f aca="false">$AM108</f>
        <v>97</v>
      </c>
      <c r="DA108" s="1" t="n">
        <f aca="false">MAX(DA107-BI108/BI$9*100,0)</f>
        <v>0</v>
      </c>
      <c r="DB108" s="1" t="n">
        <f aca="false">MAX(DB107-BJ108/BJ$9*100,0)</f>
        <v>9.88098491916389E-015</v>
      </c>
      <c r="DC108" s="1" t="n">
        <f aca="false">DC$7*EXP(-$AM108/DC$8)</f>
        <v>2.84972302125152E-029</v>
      </c>
      <c r="DD108" s="1" t="n">
        <f aca="false">(DA108-DC108)^2</f>
        <v>8.12092129785089E-058</v>
      </c>
      <c r="DE108" s="1" t="n">
        <f aca="false">MAX(DE107-BL108/BL$9*100,0)</f>
        <v>0</v>
      </c>
      <c r="DF108" s="1" t="n">
        <f aca="false">MAX(DF107-BM108/BM$9*100,0)</f>
        <v>0</v>
      </c>
      <c r="DG108" s="1" t="n">
        <f aca="false">DG$7*EXP(-$AM108/DG$8)</f>
        <v>3.54279367583779E-009</v>
      </c>
      <c r="DH108" s="1" t="n">
        <f aca="false">(DE108-DG108)^2</f>
        <v>1.25513870295562E-017</v>
      </c>
      <c r="DI108" s="1" t="n">
        <f aca="false">$AM108</f>
        <v>97</v>
      </c>
      <c r="DJ108" s="1" t="n">
        <f aca="false">MAX(DJ107-BO108/BO$9*100,0)</f>
        <v>0</v>
      </c>
      <c r="DK108" s="1" t="n">
        <f aca="false">MAX(DK107-BP108/BP$9*100,0)</f>
        <v>9.99200722162641E-015</v>
      </c>
      <c r="DL108" s="1" t="n">
        <f aca="false">DL$7*EXP(-$AM108/DL$8)</f>
        <v>2.14571981025966E-024</v>
      </c>
      <c r="DM108" s="1" t="n">
        <f aca="false">(DJ108-DL108)^2</f>
        <v>4.60411350414075E-048</v>
      </c>
      <c r="DN108" s="1" t="n">
        <f aca="false">MAX(DN107-BR108/BR$9*100,0)</f>
        <v>0</v>
      </c>
      <c r="DO108" s="1" t="n">
        <f aca="false">MAX(DO107-BS108/BS$9*100,0)</f>
        <v>0</v>
      </c>
      <c r="DP108" s="1" t="n">
        <f aca="false">DP$7*EXP(-$AM108/DP$8)</f>
        <v>1.42065556929866E-010</v>
      </c>
      <c r="DQ108" s="1" t="n">
        <f aca="false">(DN108-DP108)^2</f>
        <v>2.0182622465793E-020</v>
      </c>
      <c r="DS108" s="1" t="n">
        <f aca="false">$AM108</f>
        <v>97</v>
      </c>
      <c r="DT108" s="1" t="n">
        <f aca="false">CA108</f>
        <v>0</v>
      </c>
      <c r="DU108" s="1" t="n">
        <f aca="false">DU$7*EXP(-DS108/DU$8)</f>
        <v>6.06372384091396E-042</v>
      </c>
      <c r="DV108" s="1" t="n">
        <f aca="false">(DT108-DU108)^2</f>
        <v>3.67687468188684E-083</v>
      </c>
      <c r="DX108" s="1" t="n">
        <f aca="false">$AM108</f>
        <v>97</v>
      </c>
      <c r="DY108" s="1" t="n">
        <f aca="false">CM108</f>
        <v>0</v>
      </c>
      <c r="DZ108" s="1" t="n">
        <f aca="false">DZ$7*EXP(-DX108/DZ$8)</f>
        <v>3.40445564129896E-022</v>
      </c>
      <c r="EA108" s="1" t="n">
        <f aca="false">(DY108-DZ108)^2</f>
        <v>1.15903182135723E-043</v>
      </c>
      <c r="EC108" s="1" t="n">
        <f aca="false">$AM108</f>
        <v>97</v>
      </c>
      <c r="ED108" s="1" t="n">
        <f aca="false">CV108</f>
        <v>8.88178419700125E-015</v>
      </c>
      <c r="EE108" s="1" t="n">
        <f aca="false">EE$7*EXP(-EC108/EE$8)</f>
        <v>5.70700881347173E-017</v>
      </c>
      <c r="EF108" s="1" t="n">
        <f aca="false">(ED108-EE108)^2</f>
        <v>7.78755791032281E-029</v>
      </c>
      <c r="EH108" s="1" t="n">
        <f aca="false">$AM108</f>
        <v>97</v>
      </c>
      <c r="EI108" s="1" t="n">
        <f aca="false">DE108</f>
        <v>0</v>
      </c>
      <c r="EJ108" s="1" t="n">
        <f aca="false">EJ$7*EXP(-EH108/EJ$8)</f>
        <v>3.52809328714137E-009</v>
      </c>
      <c r="EK108" s="1" t="n">
        <f aca="false">(EI108-EJ108)^2</f>
        <v>1.2447442242772E-017</v>
      </c>
      <c r="EM108" s="1" t="n">
        <f aca="false">AM108</f>
        <v>97</v>
      </c>
      <c r="EN108" s="1" t="n">
        <f aca="false">DN108</f>
        <v>0</v>
      </c>
      <c r="EO108" s="1" t="n">
        <f aca="false">EO$7*EXP(-EM108/EO$8)</f>
        <v>3.44870985823112E-010</v>
      </c>
      <c r="EP108" s="1" t="n">
        <f aca="false">(EN108-EO108)^2</f>
        <v>1.18935996862605E-019</v>
      </c>
      <c r="ER108" s="1" t="n">
        <f aca="false">$AM108</f>
        <v>97</v>
      </c>
      <c r="ES108" s="1" t="n">
        <f aca="false">BZ108</f>
        <v>0</v>
      </c>
      <c r="ET108" s="1" t="n">
        <f aca="false">ET$7*EXP(-ER108/ET$8)</f>
        <v>1.29353675884465E-048</v>
      </c>
      <c r="EU108" s="1" t="n">
        <f aca="false">(ES108-ET108)^2</f>
        <v>1.67323734648232E-096</v>
      </c>
      <c r="EW108" s="1" t="n">
        <f aca="false">$AM108</f>
        <v>97</v>
      </c>
      <c r="EX108" s="1" t="n">
        <f aca="false">CI108</f>
        <v>0</v>
      </c>
      <c r="EY108" s="1" t="n">
        <f aca="false">EY$7*EXP(-EW108/EY$8)</f>
        <v>1.24806669356529E-044</v>
      </c>
      <c r="EZ108" s="1" t="n">
        <f aca="false">(EX108-EY108)^2</f>
        <v>1.557670471587E-088</v>
      </c>
      <c r="FB108" s="1" t="n">
        <f aca="false">$AM108</f>
        <v>97</v>
      </c>
      <c r="FC108" s="1" t="n">
        <f aca="false">CR108</f>
        <v>0</v>
      </c>
      <c r="FD108" s="1" t="n">
        <f aca="false">FD$7*EXP(-FB108/FD$8)</f>
        <v>1.34859687906688E-038</v>
      </c>
      <c r="FE108" s="1" t="n">
        <f aca="false">(FC108-FD108)^2</f>
        <v>1.81871354222893E-076</v>
      </c>
      <c r="FG108" s="1" t="n">
        <f aca="false">$AM108</f>
        <v>97</v>
      </c>
      <c r="FH108" s="1" t="n">
        <f aca="false">DA108</f>
        <v>0</v>
      </c>
      <c r="FI108" s="1" t="n">
        <f aca="false">FI$7*EXP(-FG108/FI$8)</f>
        <v>2.845575939604E-033</v>
      </c>
      <c r="FJ108" s="1" t="n">
        <f aca="false">(FH108-FI108)^2</f>
        <v>8.09730242805319E-066</v>
      </c>
      <c r="FL108" s="1" t="n">
        <f aca="false">EM108</f>
        <v>97</v>
      </c>
      <c r="FM108" s="1" t="n">
        <f aca="false">DJ108</f>
        <v>0</v>
      </c>
      <c r="FN108" s="1" t="n">
        <f aca="false">FN$7*EXP(-FL108/FN$8)</f>
        <v>1.39982074372758E-026</v>
      </c>
      <c r="FO108" s="1" t="n">
        <f aca="false">(FM108-FN108)^2</f>
        <v>1.95949811457004E-052</v>
      </c>
      <c r="FQ108" s="1" t="n">
        <f aca="false">AM108</f>
        <v>97</v>
      </c>
      <c r="FR108" s="1" t="n">
        <f aca="false">AN108/AN$9*100</f>
        <v>0</v>
      </c>
      <c r="FS108" s="1" t="n">
        <f aca="false">AO108/AO$9*100</f>
        <v>0</v>
      </c>
      <c r="FT108" s="1" t="n">
        <f aca="false">AQ108/AQ$9*100</f>
        <v>0</v>
      </c>
      <c r="FU108" s="1" t="n">
        <f aca="false">AR108/AR$9*100</f>
        <v>0</v>
      </c>
      <c r="FV108" s="1" t="n">
        <f aca="false">AT108/AT$9*100</f>
        <v>0</v>
      </c>
      <c r="FW108" s="1" t="n">
        <f aca="false">AU108/AU$9*100</f>
        <v>0</v>
      </c>
      <c r="FX108" s="1" t="n">
        <f aca="false">AW108/AW$9*100</f>
        <v>0</v>
      </c>
      <c r="FY108" s="1" t="n">
        <f aca="false">AX108/AX$9*100</f>
        <v>0</v>
      </c>
      <c r="FZ108" s="1" t="n">
        <f aca="false">AZ108/AZ$9*100</f>
        <v>0</v>
      </c>
      <c r="GA108" s="1" t="n">
        <f aca="false">BA108/BA$9*100</f>
        <v>0</v>
      </c>
      <c r="GB108" s="1" t="n">
        <f aca="false">BC108/BC$9*100</f>
        <v>0</v>
      </c>
      <c r="GC108" s="1" t="n">
        <f aca="false">BD108/BD$9*100</f>
        <v>0</v>
      </c>
      <c r="GD108" s="1" t="n">
        <f aca="false">BF108/BF$9*100</f>
        <v>0</v>
      </c>
      <c r="GE108" s="1" t="n">
        <f aca="false">BG108/BG$9*100</f>
        <v>0</v>
      </c>
      <c r="GF108" s="1" t="n">
        <f aca="false">BI108/BI$9*100</f>
        <v>0</v>
      </c>
      <c r="GG108" s="1" t="n">
        <f aca="false">BJ108/BJ$9*100</f>
        <v>0</v>
      </c>
      <c r="GH108" s="1" t="n">
        <f aca="false">BL108/BL$9*100</f>
        <v>0</v>
      </c>
      <c r="GI108" s="1" t="n">
        <f aca="false">BM108/BM$9*100</f>
        <v>0</v>
      </c>
      <c r="GJ108" s="1" t="n">
        <f aca="false">BO108/BO$9*100</f>
        <v>0</v>
      </c>
      <c r="GK108" s="1" t="n">
        <f aca="false">BP108/BP$9*100</f>
        <v>0</v>
      </c>
      <c r="GL108" s="1" t="n">
        <f aca="false">BR108/BR$9*100</f>
        <v>0</v>
      </c>
      <c r="GM108" s="1" t="n">
        <f aca="false">BS108/BS$9*100</f>
        <v>0</v>
      </c>
      <c r="GO108" s="1" t="n">
        <f aca="false">$AM108</f>
        <v>97</v>
      </c>
      <c r="GP108" s="1" t="n">
        <f aca="false">FT108</f>
        <v>0</v>
      </c>
      <c r="GQ108" s="1" t="n">
        <f aca="false">GQ$6*(1+GQ$5*(-1)^$FQ108)*EXP(-$FQ108/GQ$4)</f>
        <v>8.5602230779689E-031</v>
      </c>
      <c r="GR108" s="1" t="n">
        <f aca="false">(GP108-GQ108)^2</f>
        <v>7.32774191445914E-061</v>
      </c>
      <c r="GS108" s="1" t="n">
        <f aca="false">EXP($FQ108/$JG$4)*GP108</f>
        <v>0</v>
      </c>
      <c r="GT108" s="1" t="n">
        <f aca="false">EXP($FQ108/$JG$4)*(-1)^$FQ108*GP108</f>
        <v>-0</v>
      </c>
      <c r="GU108" s="1" t="n">
        <f aca="false">(-1)^GO108*GP108</f>
        <v>-0</v>
      </c>
      <c r="GW108" s="1" t="n">
        <f aca="false">$AM108</f>
        <v>97</v>
      </c>
      <c r="GX108" s="1" t="n">
        <f aca="false">FX108</f>
        <v>0</v>
      </c>
      <c r="GY108" s="1" t="n">
        <f aca="false">GY$6*(1+GY$5*(-1)^$FQ108)*EXP(-$FQ108/GY$4)</f>
        <v>8.5602230779689E-031</v>
      </c>
      <c r="GZ108" s="1" t="n">
        <f aca="false">(GX108-GY108)^2</f>
        <v>7.32774191445914E-061</v>
      </c>
      <c r="HA108" s="1" t="n">
        <f aca="false">EXP($FQ108/$JG$4)*GX108</f>
        <v>0</v>
      </c>
      <c r="HB108" s="1" t="n">
        <f aca="false">EXP($FQ108/$JG$4)*(-1)^$FQ108*GX108</f>
        <v>-0</v>
      </c>
      <c r="HC108" s="1" t="n">
        <f aca="false">(-1)^GW108*GX108</f>
        <v>-0</v>
      </c>
      <c r="HE108" s="1" t="n">
        <f aca="false">$AM108</f>
        <v>97</v>
      </c>
      <c r="HF108" s="1" t="n">
        <f aca="false">GB108</f>
        <v>0</v>
      </c>
      <c r="HG108" s="1" t="n">
        <f aca="false">HG$6*(1+HG$5*(-1)^$FQ108)*EXP(-$FQ108/HG$4)</f>
        <v>8.5602230779689E-031</v>
      </c>
      <c r="HH108" s="1" t="n">
        <f aca="false">(HF108-HG108)^2</f>
        <v>7.32774191445914E-061</v>
      </c>
      <c r="HI108" s="1" t="n">
        <f aca="false">EXP($FQ108/$JG$4)*HF108</f>
        <v>0</v>
      </c>
      <c r="HJ108" s="1" t="n">
        <f aca="false">EXP($FQ108/$JG$4)*(-1)^$FQ108*HF108</f>
        <v>-0</v>
      </c>
      <c r="HK108" s="1" t="n">
        <f aca="false">(-1)^HE108*HF108</f>
        <v>-0</v>
      </c>
      <c r="HM108" s="1" t="n">
        <f aca="false">$AM108</f>
        <v>97</v>
      </c>
      <c r="HN108" s="1" t="n">
        <f aca="false">GF108</f>
        <v>0</v>
      </c>
      <c r="HO108" s="1" t="n">
        <f aca="false">HO$6*(1+HO$5*(-1)^$FQ108)*EXP(-$FQ108/HO$4)</f>
        <v>2.15783805500587E-024</v>
      </c>
      <c r="HP108" s="1" t="n">
        <f aca="false">(HN108-HO108)^2</f>
        <v>4.65626507163152E-048</v>
      </c>
      <c r="HQ108" s="1" t="n">
        <f aca="false">EXP($FQ108/$JG$4)*HN108</f>
        <v>0</v>
      </c>
      <c r="HR108" s="1" t="n">
        <f aca="false">EXP($FQ108/$JG$4)*(-1)^$FQ108*HN108</f>
        <v>-0</v>
      </c>
      <c r="HS108" s="1" t="n">
        <f aca="false">(-1)^HM108*HN108</f>
        <v>-0</v>
      </c>
      <c r="HU108" s="1" t="n">
        <f aca="false">$AM108</f>
        <v>97</v>
      </c>
      <c r="HV108" s="1" t="n">
        <f aca="false">GJ108</f>
        <v>0</v>
      </c>
      <c r="HW108" s="1" t="n">
        <f aca="false">HW$6*(1+HW$5*(-1)^$FQ108)*EXP(-$FQ108/HW$4)</f>
        <v>7.15249367416951E-018</v>
      </c>
      <c r="HX108" s="1" t="n">
        <f aca="false">(HV108-HW108)^2</f>
        <v>5.11581657590349E-035</v>
      </c>
      <c r="HY108" s="1" t="n">
        <f aca="false">EXP($FQ108/$JG$4)*HV108</f>
        <v>0</v>
      </c>
      <c r="HZ108" s="1" t="n">
        <f aca="false">EXP($FQ108/$JG$4)*(-1)^$FQ108*HV108</f>
        <v>-0</v>
      </c>
      <c r="IA108" s="1" t="n">
        <f aca="false">(-1)^HU108*HV108</f>
        <v>-0</v>
      </c>
      <c r="ID108" s="1" t="n">
        <f aca="false">$AM108</f>
        <v>97</v>
      </c>
      <c r="IE108" s="1" t="n">
        <f aca="false">FZ108</f>
        <v>0</v>
      </c>
      <c r="IF108" s="1" t="n">
        <f aca="false">IF$6*(1+IF$5*(-1)^$FQ108)*EXP(-$FQ108/IF$4)</f>
        <v>2.57732686254015E-013</v>
      </c>
      <c r="IG108" s="1" t="n">
        <f aca="false">(IE108-IF108)^2</f>
        <v>6.64261375637106E-026</v>
      </c>
      <c r="IH108" s="1" t="n">
        <f aca="false">EXP($FQ108/$JG$4)*IE108</f>
        <v>0</v>
      </c>
      <c r="II108" s="1" t="n">
        <f aca="false">EXP($FQ108/$JG$4)*(-1)^$FQ108*IE108</f>
        <v>-0</v>
      </c>
      <c r="IJ108" s="1" t="n">
        <f aca="false">(-1)^ID108*IE108</f>
        <v>-0</v>
      </c>
      <c r="IK108" s="1" t="n">
        <v>0</v>
      </c>
      <c r="IM108" s="1" t="n">
        <f aca="false">$AM108</f>
        <v>97</v>
      </c>
      <c r="IN108" s="1" t="n">
        <f aca="false">GD108</f>
        <v>0</v>
      </c>
      <c r="IO108" s="1" t="n">
        <f aca="false">IO$6*(1+IO$5*(-1)^$FQ108)*EXP(-$FQ108/IO$4)</f>
        <v>2.02325400625169E-011</v>
      </c>
      <c r="IP108" s="1" t="n">
        <f aca="false">(IN108-IO108)^2</f>
        <v>4.09355677381351E-022</v>
      </c>
      <c r="IQ108" s="1" t="n">
        <f aca="false">EXP($FQ108/$JG$4)*IN108</f>
        <v>0</v>
      </c>
      <c r="IR108" s="1" t="n">
        <f aca="false">EXP($FQ108/$JG$4)*(-1)^$FQ108*IN108</f>
        <v>-0</v>
      </c>
      <c r="IS108" s="1" t="n">
        <f aca="false">(-1)^IM108*IN108</f>
        <v>-0</v>
      </c>
      <c r="IV108" s="1" t="n">
        <f aca="false">$AM108</f>
        <v>97</v>
      </c>
      <c r="IW108" s="1" t="n">
        <f aca="false">GH108</f>
        <v>0</v>
      </c>
      <c r="IX108" s="1" t="n">
        <f aca="false">IX$6*(1+IX$5*(-1)^$FQ108)*EXP(-$FQ108/IX$4)</f>
        <v>7.29844426647475E-008</v>
      </c>
      <c r="IY108" s="1" t="n">
        <f aca="false">(IW108-IX108)^2</f>
        <v>5.32672887108382E-015</v>
      </c>
      <c r="IZ108" s="1" t="n">
        <f aca="false">EXP($FQ108/$JG$4)*IW108</f>
        <v>0</v>
      </c>
      <c r="JA108" s="1" t="n">
        <f aca="false">EXP($FQ108/$JG$4)*(-1)^$FQ108*IW108</f>
        <v>-0</v>
      </c>
      <c r="JB108" s="1" t="n">
        <f aca="false">(-1)^IV108*IW108</f>
        <v>-0</v>
      </c>
      <c r="JE108" s="1" t="n">
        <f aca="false">$AM108</f>
        <v>97</v>
      </c>
      <c r="JF108" s="1" t="n">
        <f aca="false">GL108</f>
        <v>0</v>
      </c>
      <c r="JG108" s="1" t="n">
        <f aca="false">JG$6*(1+JG$5*(-1)^$FQ108)*EXP(-$FQ108/JG$4)</f>
        <v>1.09565646723443E-009</v>
      </c>
      <c r="JH108" s="1" t="n">
        <f aca="false">(JF108-JG108)^2</f>
        <v>1.20046309419263E-018</v>
      </c>
      <c r="JI108" s="1" t="n">
        <f aca="false">EXP($FQ108/$JG$4)*JF108</f>
        <v>0</v>
      </c>
      <c r="JJ108" s="1" t="n">
        <f aca="false">EXP($FQ108/$JG$4)*(-1)^$FQ108*JF108</f>
        <v>-0</v>
      </c>
      <c r="JK108" s="1" t="n">
        <f aca="false">(-1)^JE108*JF108</f>
        <v>-0</v>
      </c>
      <c r="JO108" s="1" t="n">
        <f aca="false">$AM108</f>
        <v>97</v>
      </c>
      <c r="JP108" s="1" t="n">
        <f aca="false">GM108</f>
        <v>0</v>
      </c>
      <c r="JQ108" s="1" t="n">
        <f aca="false">JQ$6*(1+JQ$5*(-1)^$FQ108)*EXP(-$FQ108/JQ$4)</f>
        <v>0.00116834831524732</v>
      </c>
      <c r="JR108" s="1" t="n">
        <f aca="false">(JP108-JQ108)^2</f>
        <v>1.36503778574125E-006</v>
      </c>
      <c r="JS108" s="1" t="n">
        <f aca="false">EXP($FQ108/$JG$4)*JP108</f>
        <v>0</v>
      </c>
      <c r="JT108" s="1" t="n">
        <f aca="false">EXP($FQ108/$JG$4)*(-1)^$FQ108*JP108</f>
        <v>-0</v>
      </c>
      <c r="JU108" s="1" t="n">
        <f aca="false">(-1)^JO108*JP108</f>
        <v>-0</v>
      </c>
    </row>
    <row r="109" customFormat="false" ht="16" hidden="false" customHeight="false" outlineLevel="0" collapsed="false">
      <c r="A109" s="1" t="n">
        <v>2</v>
      </c>
      <c r="B109" s="1" t="n">
        <v>2</v>
      </c>
      <c r="C109" s="1" t="n">
        <f aca="false">B109-A109</f>
        <v>0</v>
      </c>
      <c r="D109" s="1" t="n">
        <v>2</v>
      </c>
      <c r="E109" s="1" t="n">
        <v>2</v>
      </c>
      <c r="F109" s="1" t="n">
        <f aca="false">E109-D109</f>
        <v>0</v>
      </c>
      <c r="G109" s="1" t="n">
        <v>1</v>
      </c>
      <c r="H109" s="1" t="n">
        <v>1</v>
      </c>
      <c r="I109" s="1" t="n">
        <f aca="false">H109-G109</f>
        <v>0</v>
      </c>
      <c r="J109" s="1" t="n">
        <v>3</v>
      </c>
      <c r="K109" s="1" t="n">
        <v>4</v>
      </c>
      <c r="L109" s="1" t="n">
        <f aca="false">K109-J109</f>
        <v>1</v>
      </c>
      <c r="M109" s="1" t="n">
        <v>1</v>
      </c>
      <c r="N109" s="1" t="n">
        <v>2</v>
      </c>
      <c r="O109" s="1" t="n">
        <f aca="false">N109-M109</f>
        <v>1</v>
      </c>
      <c r="P109" s="1" t="n">
        <v>2</v>
      </c>
      <c r="Q109" s="1" t="n">
        <v>4</v>
      </c>
      <c r="R109" s="1" t="n">
        <f aca="false">Q109-P109</f>
        <v>2</v>
      </c>
      <c r="S109" s="1" t="n">
        <v>2</v>
      </c>
      <c r="T109" s="1" t="n">
        <v>7</v>
      </c>
      <c r="U109" s="1" t="n">
        <f aca="false">T109-S109</f>
        <v>5</v>
      </c>
      <c r="V109" s="1" t="n">
        <v>2</v>
      </c>
      <c r="W109" s="1" t="n">
        <v>4</v>
      </c>
      <c r="X109" s="1" t="n">
        <f aca="false">W109-V109</f>
        <v>2</v>
      </c>
      <c r="Y109" s="1" t="n">
        <v>13</v>
      </c>
      <c r="Z109" s="1" t="n">
        <v>21</v>
      </c>
      <c r="AA109" s="1" t="n">
        <f aca="false">Z109-Y109</f>
        <v>8</v>
      </c>
      <c r="AB109" s="1" t="n">
        <v>4</v>
      </c>
      <c r="AC109" s="1" t="n">
        <v>6</v>
      </c>
      <c r="AD109" s="1" t="n">
        <f aca="false">AC109-AB109</f>
        <v>2</v>
      </c>
      <c r="AE109" s="1" t="n">
        <v>2</v>
      </c>
      <c r="AF109" s="1" t="n">
        <v>4</v>
      </c>
      <c r="AG109" s="1" t="n">
        <f aca="false">AF109-AE109</f>
        <v>2</v>
      </c>
      <c r="AM109" s="1" t="n">
        <v>98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W109" s="1" t="n">
        <f aca="false">$AM109</f>
        <v>98</v>
      </c>
      <c r="BX109" s="1" t="n">
        <f aca="false">MAX(BX108-AN109/AN$9*100,0)</f>
        <v>0</v>
      </c>
      <c r="BY109" s="1" t="n">
        <f aca="false">MAX(BY108-AO109/AO$9*100,0)</f>
        <v>0</v>
      </c>
      <c r="BZ109" s="1" t="n">
        <f aca="false">MAX(BZ108-AQ109/AQ$9*100,0)</f>
        <v>0</v>
      </c>
      <c r="CA109" s="1" t="n">
        <f aca="false">MAX(CA108-AR109/AR$9*100,0)</f>
        <v>0</v>
      </c>
      <c r="CB109" s="1" t="n">
        <f aca="false">CB$7*EXP(-$AM109/CB$8)</f>
        <v>1.11250797983949E-053</v>
      </c>
      <c r="CC109" s="1" t="n">
        <f aca="false">(BZ109-CB109)^2</f>
        <v>1.23767400520654E-106</v>
      </c>
      <c r="CD109" s="1" t="n">
        <f aca="false">MAX(CD108-AT109/AT$9*100,0)</f>
        <v>0</v>
      </c>
      <c r="CE109" s="1" t="n">
        <f aca="false">MAX(CE108-AU109/AU$9*100,0)</f>
        <v>5.32907051820075E-015</v>
      </c>
      <c r="CF109" s="1" t="n">
        <f aca="false">CF$7*EXP(-$AM109/CF$8)</f>
        <v>2.79023598937825E-052</v>
      </c>
      <c r="CG109" s="1" t="n">
        <f aca="false">(CD109-CF109)^2</f>
        <v>7.78541687642162E-104</v>
      </c>
      <c r="CH109" s="1" t="n">
        <f aca="false">$AM109</f>
        <v>98</v>
      </c>
      <c r="CI109" s="1" t="n">
        <f aca="false">MAX(CI108-AW109/AW$9*100,0)</f>
        <v>0</v>
      </c>
      <c r="CJ109" s="1" t="n">
        <f aca="false">MAX(CJ108-AX109/AX$9*100,0)</f>
        <v>0</v>
      </c>
      <c r="CK109" s="1" t="n">
        <f aca="false">CK$7*EXP(-$AM109/CK$8)</f>
        <v>7.47510409102045E-035</v>
      </c>
      <c r="CL109" s="1" t="n">
        <f aca="false">(CI109-CK109)^2</f>
        <v>5.58771811715907E-069</v>
      </c>
      <c r="CM109" s="1" t="n">
        <f aca="false">MAX(CM108-AZ109/AZ$9*100,0)</f>
        <v>0</v>
      </c>
      <c r="CN109" s="1" t="n">
        <f aca="false">MAX(CN108-BA109/BA$9*100,0)</f>
        <v>5.32907051820075E-015</v>
      </c>
      <c r="CO109" s="1" t="n">
        <f aca="false">CO$7*EXP(-$AM109/CO$8)</f>
        <v>4.59092385640318E-019</v>
      </c>
      <c r="CP109" s="1" t="n">
        <f aca="false">(CM109-CO109)^2</f>
        <v>2.10765818552919E-037</v>
      </c>
      <c r="CQ109" s="1" t="n">
        <f aca="false">$AM109</f>
        <v>98</v>
      </c>
      <c r="CR109" s="1" t="n">
        <f aca="false">MAX(CR108-BC109/BC$9*100,0)</f>
        <v>0</v>
      </c>
      <c r="CS109" s="1" t="n">
        <f aca="false">MAX(CS108-BD109/BD$9*100,0)</f>
        <v>0</v>
      </c>
      <c r="CT109" s="1" t="n">
        <f aca="false">CT$7*EXP(-$AM109/CT$8)</f>
        <v>4.51678849736213E-032</v>
      </c>
      <c r="CU109" s="1" t="n">
        <f aca="false">(CR109-CT109)^2</f>
        <v>2.04013783299028E-063</v>
      </c>
      <c r="CV109" s="1" t="n">
        <f aca="false">MAX(CV108-BF109/BF$9*100,0)</f>
        <v>8.88178419700125E-015</v>
      </c>
      <c r="CW109" s="1" t="n">
        <f aca="false">MAX(CW108-BG109/BG$9*100,0)</f>
        <v>5.32907051820075E-015</v>
      </c>
      <c r="CX109" s="1" t="n">
        <f aca="false">CX$7*EXP(-$AM109/CX$8)</f>
        <v>3.48785145531633E-016</v>
      </c>
      <c r="CY109" s="1" t="n">
        <f aca="false">(CV109-CX109)^2</f>
        <v>7.28120728123814E-029</v>
      </c>
      <c r="CZ109" s="1" t="n">
        <f aca="false">$AM109</f>
        <v>98</v>
      </c>
      <c r="DA109" s="1" t="n">
        <f aca="false">MAX(DA108-BI109/BI$9*100,0)</f>
        <v>0</v>
      </c>
      <c r="DB109" s="1" t="n">
        <f aca="false">MAX(DB108-BJ109/BJ$9*100,0)</f>
        <v>9.88098491916389E-015</v>
      </c>
      <c r="DC109" s="1" t="n">
        <f aca="false">DC$7*EXP(-$AM109/DC$8)</f>
        <v>1.37340738826397E-029</v>
      </c>
      <c r="DD109" s="1" t="n">
        <f aca="false">(DA109-DC109)^2</f>
        <v>1.88624785413806E-058</v>
      </c>
      <c r="DE109" s="1" t="n">
        <f aca="false">MAX(DE108-BL109/BL$9*100,0)</f>
        <v>0</v>
      </c>
      <c r="DF109" s="1" t="n">
        <f aca="false">MAX(DF108-BM109/BM$9*100,0)</f>
        <v>0</v>
      </c>
      <c r="DG109" s="1" t="n">
        <f aca="false">DG$7*EXP(-$AM109/DG$8)</f>
        <v>2.75913048900289E-009</v>
      </c>
      <c r="DH109" s="1" t="n">
        <f aca="false">(DE109-DG109)^2</f>
        <v>7.61280105534533E-018</v>
      </c>
      <c r="DI109" s="1" t="n">
        <f aca="false">$AM109</f>
        <v>98</v>
      </c>
      <c r="DJ109" s="1" t="n">
        <f aca="false">MAX(DJ108-BO109/BO$9*100,0)</f>
        <v>0</v>
      </c>
      <c r="DK109" s="1" t="n">
        <f aca="false">MAX(DK108-BP109/BP$9*100,0)</f>
        <v>9.99200722162641E-015</v>
      </c>
      <c r="DL109" s="1" t="n">
        <f aca="false">DL$7*EXP(-$AM109/DL$8)</f>
        <v>1.16180884467066E-024</v>
      </c>
      <c r="DM109" s="1" t="n">
        <f aca="false">(DJ109-DL109)^2</f>
        <v>1.34979979155497E-048</v>
      </c>
      <c r="DN109" s="1" t="n">
        <f aca="false">MAX(DN108-BR109/BR$9*100,0)</f>
        <v>0</v>
      </c>
      <c r="DO109" s="1" t="n">
        <f aca="false">MAX(DO108-BS109/BS$9*100,0)</f>
        <v>0</v>
      </c>
      <c r="DP109" s="1" t="n">
        <f aca="false">DP$7*EXP(-$AM109/DP$8)</f>
        <v>1.07018583890977E-010</v>
      </c>
      <c r="DQ109" s="1" t="n">
        <f aca="false">(DN109-DP109)^2</f>
        <v>1.14529772980301E-020</v>
      </c>
      <c r="DS109" s="1" t="n">
        <f aca="false">$AM109</f>
        <v>98</v>
      </c>
      <c r="DT109" s="1" t="n">
        <f aca="false">CA109</f>
        <v>0</v>
      </c>
      <c r="DU109" s="1" t="n">
        <f aca="false">DU$7*EXP(-DS109/DU$8)</f>
        <v>2.16278398015523E-042</v>
      </c>
      <c r="DV109" s="1" t="n">
        <f aca="false">(DT109-DU109)^2</f>
        <v>4.6776345448161E-084</v>
      </c>
      <c r="DX109" s="1" t="n">
        <f aca="false">$AM109</f>
        <v>98</v>
      </c>
      <c r="DY109" s="1" t="n">
        <f aca="false">CM109</f>
        <v>0</v>
      </c>
      <c r="DZ109" s="1" t="n">
        <f aca="false">DZ$7*EXP(-DX109/DZ$8)</f>
        <v>1.94116304973809E-022</v>
      </c>
      <c r="EA109" s="1" t="n">
        <f aca="false">(DY109-DZ109)^2</f>
        <v>3.76811398566848E-044</v>
      </c>
      <c r="EC109" s="1" t="n">
        <f aca="false">$AM109</f>
        <v>98</v>
      </c>
      <c r="ED109" s="1" t="n">
        <f aca="false">CV109</f>
        <v>8.88178419700125E-015</v>
      </c>
      <c r="EE109" s="1" t="n">
        <f aca="false">EE$7*EXP(-EC109/EE$8)</f>
        <v>3.68774003274251E-017</v>
      </c>
      <c r="EF109" s="1" t="n">
        <f aca="false">(ED109-EE109)^2</f>
        <v>7.82323762418469E-029</v>
      </c>
      <c r="EH109" s="1" t="n">
        <f aca="false">$AM109</f>
        <v>98</v>
      </c>
      <c r="EI109" s="1" t="n">
        <f aca="false">DE109</f>
        <v>0</v>
      </c>
      <c r="EJ109" s="1" t="n">
        <f aca="false">EJ$7*EXP(-EH109/EJ$8)</f>
        <v>2.74768181477466E-009</v>
      </c>
      <c r="EK109" s="1" t="n">
        <f aca="false">(EI109-EJ109)^2</f>
        <v>7.54975535524337E-018</v>
      </c>
      <c r="EM109" s="1" t="n">
        <f aca="false">AM109</f>
        <v>98</v>
      </c>
      <c r="EN109" s="1" t="n">
        <f aca="false">DN109</f>
        <v>0</v>
      </c>
      <c r="EO109" s="1" t="n">
        <f aca="false">EO$7*EXP(-EM109/EO$8)</f>
        <v>2.62223656459506E-010</v>
      </c>
      <c r="EP109" s="1" t="n">
        <f aca="false">(EN109-EO109)^2</f>
        <v>6.8761246006993E-020</v>
      </c>
      <c r="ER109" s="1" t="n">
        <f aca="false">$AM109</f>
        <v>98</v>
      </c>
      <c r="ES109" s="1" t="n">
        <f aca="false">BZ109</f>
        <v>0</v>
      </c>
      <c r="ET109" s="1" t="n">
        <f aca="false">ET$7*EXP(-ER109/ET$8)</f>
        <v>3.93334041365232E-049</v>
      </c>
      <c r="EU109" s="1" t="n">
        <f aca="false">(ES109-ET109)^2</f>
        <v>1.54711668096706E-097</v>
      </c>
      <c r="EW109" s="1" t="n">
        <f aca="false">$AM109</f>
        <v>98</v>
      </c>
      <c r="EX109" s="1" t="n">
        <f aca="false">CI109</f>
        <v>0</v>
      </c>
      <c r="EY109" s="1" t="n">
        <f aca="false">EY$7*EXP(-EW109/EY$8)</f>
        <v>4.15902097059725E-045</v>
      </c>
      <c r="EZ109" s="1" t="n">
        <f aca="false">(EX109-EY109)^2</f>
        <v>1.72974554338677E-089</v>
      </c>
      <c r="FB109" s="1" t="n">
        <f aca="false">$AM109</f>
        <v>98</v>
      </c>
      <c r="FC109" s="1" t="n">
        <f aca="false">CR109</f>
        <v>0</v>
      </c>
      <c r="FD109" s="1" t="n">
        <f aca="false">FD$7*EXP(-FB109/FD$8)</f>
        <v>5.20317410267263E-039</v>
      </c>
      <c r="FE109" s="1" t="n">
        <f aca="false">(FC109-FD109)^2</f>
        <v>2.70730207427231E-077</v>
      </c>
      <c r="FG109" s="1" t="n">
        <f aca="false">$AM109</f>
        <v>98</v>
      </c>
      <c r="FH109" s="1" t="n">
        <f aca="false">DA109</f>
        <v>0</v>
      </c>
      <c r="FI109" s="1" t="n">
        <f aca="false">FI$7*EXP(-FG109/FI$8)</f>
        <v>1.24522869688775E-033</v>
      </c>
      <c r="FJ109" s="1" t="n">
        <f aca="false">(FH109-FI109)^2</f>
        <v>1.55059450755276E-066</v>
      </c>
      <c r="FL109" s="1" t="n">
        <f aca="false">EM109</f>
        <v>98</v>
      </c>
      <c r="FM109" s="1" t="n">
        <f aca="false">DJ109</f>
        <v>0</v>
      </c>
      <c r="FN109" s="1" t="n">
        <f aca="false">FN$7*EXP(-FL109/FN$8)</f>
        <v>7.18691933406679E-027</v>
      </c>
      <c r="FO109" s="1" t="n">
        <f aca="false">(FM109-FN109)^2</f>
        <v>5.1651809514383E-053</v>
      </c>
      <c r="FQ109" s="1" t="n">
        <f aca="false">AM109</f>
        <v>98</v>
      </c>
      <c r="FR109" s="1" t="n">
        <f aca="false">AN109/AN$9*100</f>
        <v>0</v>
      </c>
      <c r="FS109" s="1" t="n">
        <f aca="false">AO109/AO$9*100</f>
        <v>0</v>
      </c>
      <c r="FT109" s="1" t="n">
        <f aca="false">AQ109/AQ$9*100</f>
        <v>0</v>
      </c>
      <c r="FU109" s="1" t="n">
        <f aca="false">AR109/AR$9*100</f>
        <v>0</v>
      </c>
      <c r="FV109" s="1" t="n">
        <f aca="false">AT109/AT$9*100</f>
        <v>0</v>
      </c>
      <c r="FW109" s="1" t="n">
        <f aca="false">AU109/AU$9*100</f>
        <v>0</v>
      </c>
      <c r="FX109" s="1" t="n">
        <f aca="false">AW109/AW$9*100</f>
        <v>0</v>
      </c>
      <c r="FY109" s="1" t="n">
        <f aca="false">AX109/AX$9*100</f>
        <v>0</v>
      </c>
      <c r="FZ109" s="1" t="n">
        <f aca="false">AZ109/AZ$9*100</f>
        <v>0</v>
      </c>
      <c r="GA109" s="1" t="n">
        <f aca="false">BA109/BA$9*100</f>
        <v>0</v>
      </c>
      <c r="GB109" s="1" t="n">
        <f aca="false">BC109/BC$9*100</f>
        <v>0</v>
      </c>
      <c r="GC109" s="1" t="n">
        <f aca="false">BD109/BD$9*100</f>
        <v>0</v>
      </c>
      <c r="GD109" s="1" t="n">
        <f aca="false">BF109/BF$9*100</f>
        <v>0</v>
      </c>
      <c r="GE109" s="1" t="n">
        <f aca="false">BG109/BG$9*100</f>
        <v>0</v>
      </c>
      <c r="GF109" s="1" t="n">
        <f aca="false">BI109/BI$9*100</f>
        <v>0</v>
      </c>
      <c r="GG109" s="1" t="n">
        <f aca="false">BJ109/BJ$9*100</f>
        <v>0</v>
      </c>
      <c r="GH109" s="1" t="n">
        <f aca="false">BL109/BL$9*100</f>
        <v>0</v>
      </c>
      <c r="GI109" s="1" t="n">
        <f aca="false">BM109/BM$9*100</f>
        <v>0</v>
      </c>
      <c r="GJ109" s="1" t="n">
        <f aca="false">BO109/BO$9*100</f>
        <v>0</v>
      </c>
      <c r="GK109" s="1" t="n">
        <f aca="false">BP109/BP$9*100</f>
        <v>0</v>
      </c>
      <c r="GL109" s="1" t="n">
        <f aca="false">BR109/BR$9*100</f>
        <v>0</v>
      </c>
      <c r="GM109" s="1" t="n">
        <f aca="false">BS109/BS$9*100</f>
        <v>0</v>
      </c>
      <c r="GO109" s="1" t="n">
        <f aca="false">$AM109</f>
        <v>98</v>
      </c>
      <c r="GP109" s="1" t="n">
        <f aca="false">FT109</f>
        <v>0</v>
      </c>
      <c r="GQ109" s="1" t="n">
        <f aca="false">GQ$6*(1+GQ$5*(-1)^$FQ109)*EXP(-$FQ109/GQ$4)</f>
        <v>1.17243885763923E-030</v>
      </c>
      <c r="GR109" s="1" t="n">
        <f aca="false">(GP109-GQ109)^2</f>
        <v>1.37461287490238E-060</v>
      </c>
      <c r="GS109" s="1" t="n">
        <f aca="false">EXP($FQ109/$JG$4)*GP109</f>
        <v>0</v>
      </c>
      <c r="GT109" s="1" t="n">
        <f aca="false">EXP($FQ109/$JG$4)*(-1)^$FQ109*GP109</f>
        <v>0</v>
      </c>
      <c r="GU109" s="1" t="n">
        <f aca="false">(-1)^GO109*GP109</f>
        <v>0</v>
      </c>
      <c r="GW109" s="1" t="n">
        <f aca="false">$AM109</f>
        <v>98</v>
      </c>
      <c r="GX109" s="1" t="n">
        <f aca="false">FX109</f>
        <v>0</v>
      </c>
      <c r="GY109" s="1" t="n">
        <f aca="false">GY$6*(1+GY$5*(-1)^$FQ109)*EXP(-$FQ109/GY$4)</f>
        <v>1.17243885763923E-030</v>
      </c>
      <c r="GZ109" s="1" t="n">
        <f aca="false">(GX109-GY109)^2</f>
        <v>1.37461287490238E-060</v>
      </c>
      <c r="HA109" s="1" t="n">
        <f aca="false">EXP($FQ109/$JG$4)*GX109</f>
        <v>0</v>
      </c>
      <c r="HB109" s="1" t="n">
        <f aca="false">EXP($FQ109/$JG$4)*(-1)^$FQ109*GX109</f>
        <v>0</v>
      </c>
      <c r="HC109" s="1" t="n">
        <f aca="false">(-1)^GW109*GX109</f>
        <v>0</v>
      </c>
      <c r="HE109" s="1" t="n">
        <f aca="false">$AM109</f>
        <v>98</v>
      </c>
      <c r="HF109" s="1" t="n">
        <f aca="false">GB109</f>
        <v>0</v>
      </c>
      <c r="HG109" s="1" t="n">
        <f aca="false">HG$6*(1+HG$5*(-1)^$FQ109)*EXP(-$FQ109/HG$4)</f>
        <v>1.17243885763923E-030</v>
      </c>
      <c r="HH109" s="1" t="n">
        <f aca="false">(HF109-HG109)^2</f>
        <v>1.37461287490238E-060</v>
      </c>
      <c r="HI109" s="1" t="n">
        <f aca="false">EXP($FQ109/$JG$4)*HF109</f>
        <v>0</v>
      </c>
      <c r="HJ109" s="1" t="n">
        <f aca="false">EXP($FQ109/$JG$4)*(-1)^$FQ109*HF109</f>
        <v>0</v>
      </c>
      <c r="HK109" s="1" t="n">
        <f aca="false">(-1)^HE109*HF109</f>
        <v>0</v>
      </c>
      <c r="HM109" s="1" t="n">
        <f aca="false">$AM109</f>
        <v>98</v>
      </c>
      <c r="HN109" s="1" t="n">
        <f aca="false">GF109</f>
        <v>0</v>
      </c>
      <c r="HO109" s="1" t="n">
        <f aca="false">HO$6*(1+HO$5*(-1)^$FQ109)*EXP(-$FQ109/HO$4)</f>
        <v>5.40136615996431E-024</v>
      </c>
      <c r="HP109" s="1" t="n">
        <f aca="false">(HN109-HO109)^2</f>
        <v>2.91747563940076E-047</v>
      </c>
      <c r="HQ109" s="1" t="n">
        <f aca="false">EXP($FQ109/$JG$4)*HN109</f>
        <v>0</v>
      </c>
      <c r="HR109" s="1" t="n">
        <f aca="false">EXP($FQ109/$JG$4)*(-1)^$FQ109*HN109</f>
        <v>0</v>
      </c>
      <c r="HS109" s="1" t="n">
        <f aca="false">(-1)^HM109*HN109</f>
        <v>0</v>
      </c>
      <c r="HU109" s="1" t="n">
        <f aca="false">$AM109</f>
        <v>98</v>
      </c>
      <c r="HV109" s="1" t="n">
        <f aca="false">GJ109</f>
        <v>0</v>
      </c>
      <c r="HW109" s="1" t="n">
        <f aca="false">HW$6*(1+HW$5*(-1)^$FQ109)*EXP(-$FQ109/HW$4)</f>
        <v>1.37851989135482E-017</v>
      </c>
      <c r="HX109" s="1" t="n">
        <f aca="false">(HV109-HW109)^2</f>
        <v>1.9003170908609E-034</v>
      </c>
      <c r="HY109" s="1" t="n">
        <f aca="false">EXP($FQ109/$JG$4)*HV109</f>
        <v>0</v>
      </c>
      <c r="HZ109" s="1" t="n">
        <f aca="false">EXP($FQ109/$JG$4)*(-1)^$FQ109*HV109</f>
        <v>0</v>
      </c>
      <c r="IA109" s="1" t="n">
        <f aca="false">(-1)^HU109*HV109</f>
        <v>0</v>
      </c>
      <c r="ID109" s="1" t="n">
        <f aca="false">$AM109</f>
        <v>98</v>
      </c>
      <c r="IE109" s="1" t="n">
        <f aca="false">FZ109</f>
        <v>0</v>
      </c>
      <c r="IF109" s="1" t="n">
        <f aca="false">IF$6*(1+IF$5*(-1)^$FQ109)*EXP(-$FQ109/IF$4)</f>
        <v>3.58483929538629E-013</v>
      </c>
      <c r="IG109" s="1" t="n">
        <f aca="false">(IE109-IF109)^2</f>
        <v>1.28510727737457E-025</v>
      </c>
      <c r="IH109" s="1" t="n">
        <f aca="false">EXP($FQ109/$JG$4)*IE109</f>
        <v>0</v>
      </c>
      <c r="II109" s="1" t="n">
        <f aca="false">EXP($FQ109/$JG$4)*(-1)^$FQ109*IE109</f>
        <v>0</v>
      </c>
      <c r="IJ109" s="1" t="n">
        <f aca="false">(-1)^ID109*IE109</f>
        <v>0</v>
      </c>
      <c r="IK109" s="1" t="n">
        <v>0</v>
      </c>
      <c r="IM109" s="1" t="n">
        <f aca="false">$AM109</f>
        <v>98</v>
      </c>
      <c r="IN109" s="1" t="n">
        <f aca="false">GD109</f>
        <v>0</v>
      </c>
      <c r="IO109" s="1" t="n">
        <f aca="false">IO$6*(1+IO$5*(-1)^$FQ109)*EXP(-$FQ109/IO$4)</f>
        <v>3.30633069529491E-011</v>
      </c>
      <c r="IP109" s="1" t="n">
        <f aca="false">(IN109-IO109)^2</f>
        <v>1.09318226666493E-021</v>
      </c>
      <c r="IQ109" s="1" t="n">
        <f aca="false">EXP($FQ109/$JG$4)*IN109</f>
        <v>0</v>
      </c>
      <c r="IR109" s="1" t="n">
        <f aca="false">EXP($FQ109/$JG$4)*(-1)^$FQ109*IN109</f>
        <v>0</v>
      </c>
      <c r="IS109" s="1" t="n">
        <f aca="false">(-1)^IM109*IN109</f>
        <v>0</v>
      </c>
      <c r="IV109" s="1" t="n">
        <f aca="false">$AM109</f>
        <v>98</v>
      </c>
      <c r="IW109" s="1" t="n">
        <f aca="false">GH109</f>
        <v>0</v>
      </c>
      <c r="IX109" s="1" t="n">
        <f aca="false">IX$6*(1+IX$5*(-1)^$FQ109)*EXP(-$FQ109/IX$4)</f>
        <v>2.33520705445642E-007</v>
      </c>
      <c r="IY109" s="1" t="n">
        <f aca="false">(IW109-IX109)^2</f>
        <v>5.45319198718303E-014</v>
      </c>
      <c r="IZ109" s="1" t="n">
        <f aca="false">EXP($FQ109/$JG$4)*IW109</f>
        <v>0</v>
      </c>
      <c r="JA109" s="1" t="n">
        <f aca="false">EXP($FQ109/$JG$4)*(-1)^$FQ109*IW109</f>
        <v>0</v>
      </c>
      <c r="JB109" s="1" t="n">
        <f aca="false">(-1)^IV109*IW109</f>
        <v>0</v>
      </c>
      <c r="JE109" s="1" t="n">
        <f aca="false">$AM109</f>
        <v>98</v>
      </c>
      <c r="JF109" s="1" t="n">
        <f aca="false">GL109</f>
        <v>0</v>
      </c>
      <c r="JG109" s="1" t="n">
        <f aca="false">JG$6*(1+JG$5*(-1)^$FQ109)*EXP(-$FQ109/JG$4)</f>
        <v>5.67880999959499E-009</v>
      </c>
      <c r="JH109" s="1" t="n">
        <f aca="false">(JF109-JG109)^2</f>
        <v>3.22488830115E-017</v>
      </c>
      <c r="JI109" s="1" t="n">
        <f aca="false">EXP($FQ109/$JG$4)*JF109</f>
        <v>0</v>
      </c>
      <c r="JJ109" s="1" t="n">
        <f aca="false">EXP($FQ109/$JG$4)*(-1)^$FQ109*JF109</f>
        <v>0</v>
      </c>
      <c r="JK109" s="1" t="n">
        <f aca="false">(-1)^JE109*JF109</f>
        <v>0</v>
      </c>
      <c r="JO109" s="1" t="n">
        <f aca="false">$AM109</f>
        <v>98</v>
      </c>
      <c r="JP109" s="1" t="n">
        <f aca="false">GM109</f>
        <v>0</v>
      </c>
      <c r="JQ109" s="1" t="n">
        <f aca="false">JQ$6*(1+JQ$5*(-1)^$FQ109)*EXP(-$FQ109/JQ$4)</f>
        <v>0.00566223749740998</v>
      </c>
      <c r="JR109" s="1" t="n">
        <f aca="false">(JP109-JQ109)^2</f>
        <v>3.20609334770756E-005</v>
      </c>
      <c r="JS109" s="1" t="n">
        <f aca="false">EXP($FQ109/$JG$4)*JP109</f>
        <v>0</v>
      </c>
      <c r="JT109" s="1" t="n">
        <f aca="false">EXP($FQ109/$JG$4)*(-1)^$FQ109*JP109</f>
        <v>0</v>
      </c>
      <c r="JU109" s="1" t="n">
        <f aca="false">(-1)^JO109*JP109</f>
        <v>0</v>
      </c>
    </row>
    <row r="110" customFormat="false" ht="16" hidden="false" customHeight="false" outlineLevel="0" collapsed="false">
      <c r="A110" s="1" t="n">
        <v>1</v>
      </c>
      <c r="B110" s="1" t="n">
        <v>1</v>
      </c>
      <c r="C110" s="1" t="n">
        <f aca="false">B110-A110</f>
        <v>0</v>
      </c>
      <c r="D110" s="1" t="n">
        <v>1</v>
      </c>
      <c r="E110" s="1" t="n">
        <v>1</v>
      </c>
      <c r="F110" s="1" t="n">
        <f aca="false">E110-D110</f>
        <v>0</v>
      </c>
      <c r="G110" s="1" t="n">
        <v>3</v>
      </c>
      <c r="H110" s="1" t="n">
        <v>3</v>
      </c>
      <c r="I110" s="1" t="n">
        <f aca="false">H110-G110</f>
        <v>0</v>
      </c>
      <c r="J110" s="1" t="n">
        <v>2</v>
      </c>
      <c r="K110" s="1" t="n">
        <v>2</v>
      </c>
      <c r="L110" s="1" t="n">
        <f aca="false">K110-J110</f>
        <v>0</v>
      </c>
      <c r="M110" s="1" t="n">
        <v>2</v>
      </c>
      <c r="N110" s="1" t="n">
        <v>4</v>
      </c>
      <c r="O110" s="1" t="n">
        <f aca="false">N110-M110</f>
        <v>2</v>
      </c>
      <c r="P110" s="1" t="n">
        <v>2</v>
      </c>
      <c r="Q110" s="1" t="n">
        <v>3</v>
      </c>
      <c r="R110" s="1" t="n">
        <f aca="false">Q110-P110</f>
        <v>1</v>
      </c>
      <c r="S110" s="1" t="n">
        <v>1</v>
      </c>
      <c r="T110" s="1" t="n">
        <v>5</v>
      </c>
      <c r="U110" s="1" t="n">
        <f aca="false">T110-S110</f>
        <v>4</v>
      </c>
      <c r="V110" s="1" t="n">
        <v>2</v>
      </c>
      <c r="W110" s="1" t="n">
        <v>3</v>
      </c>
      <c r="X110" s="1" t="n">
        <f aca="false">W110-V110</f>
        <v>1</v>
      </c>
      <c r="Y110" s="1" t="n">
        <v>20</v>
      </c>
      <c r="Z110" s="1" t="n">
        <v>26</v>
      </c>
      <c r="AA110" s="1" t="n">
        <f aca="false">Z110-Y110</f>
        <v>6</v>
      </c>
      <c r="AB110" s="1" t="n">
        <v>2</v>
      </c>
      <c r="AC110" s="1" t="n">
        <v>2</v>
      </c>
      <c r="AD110" s="1" t="n">
        <f aca="false">AC110-AB110</f>
        <v>0</v>
      </c>
      <c r="AE110" s="1" t="n">
        <v>1</v>
      </c>
      <c r="AF110" s="1" t="n">
        <v>1</v>
      </c>
      <c r="AG110" s="1" t="n">
        <f aca="false">AF110-AE110</f>
        <v>0</v>
      </c>
      <c r="AM110" s="1" t="n">
        <v>99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W110" s="1" t="n">
        <f aca="false">$AM110</f>
        <v>99</v>
      </c>
      <c r="BX110" s="1" t="n">
        <f aca="false">MAX(BX109-AN110/AN$9*100,0)</f>
        <v>0</v>
      </c>
      <c r="BY110" s="1" t="n">
        <f aca="false">MAX(BY109-AO110/AO$9*100,0)</f>
        <v>0</v>
      </c>
      <c r="BZ110" s="1" t="n">
        <f aca="false">MAX(BZ109-AQ110/AQ$9*100,0)</f>
        <v>0</v>
      </c>
      <c r="CA110" s="1" t="n">
        <f aca="false">MAX(CA109-AR110/AR$9*100,0)</f>
        <v>0</v>
      </c>
      <c r="CB110" s="1" t="n">
        <f aca="false">CB$7*EXP(-$AM110/CB$8)</f>
        <v>3.03587808482846E-054</v>
      </c>
      <c r="CC110" s="1" t="n">
        <f aca="false">(BZ110-CB110)^2</f>
        <v>9.21655574594172E-108</v>
      </c>
      <c r="CD110" s="1" t="n">
        <f aca="false">MAX(CD109-AT110/AT$9*100,0)</f>
        <v>0</v>
      </c>
      <c r="CE110" s="1" t="n">
        <f aca="false">MAX(CE109-AU110/AU$9*100,0)</f>
        <v>5.32907051820075E-015</v>
      </c>
      <c r="CF110" s="1" t="n">
        <f aca="false">CF$7*EXP(-$AM110/CF$8)</f>
        <v>7.86866553442809E-053</v>
      </c>
      <c r="CG110" s="1" t="n">
        <f aca="false">(CD110-CF110)^2</f>
        <v>6.19158972926965E-105</v>
      </c>
      <c r="CH110" s="1" t="n">
        <f aca="false">$AM110</f>
        <v>99</v>
      </c>
      <c r="CI110" s="1" t="n">
        <f aca="false">MAX(CI109-AW110/AW$9*100,0)</f>
        <v>0</v>
      </c>
      <c r="CJ110" s="1" t="n">
        <f aca="false">MAX(CJ109-AX110/AX$9*100,0)</f>
        <v>0</v>
      </c>
      <c r="CK110" s="1" t="n">
        <f aca="false">CK$7*EXP(-$AM110/CK$8)</f>
        <v>3.1799872574697E-035</v>
      </c>
      <c r="CL110" s="1" t="n">
        <f aca="false">(CI110-CK110)^2</f>
        <v>1.01123189576697E-069</v>
      </c>
      <c r="CM110" s="1" t="n">
        <f aca="false">MAX(CM109-AZ110/AZ$9*100,0)</f>
        <v>0</v>
      </c>
      <c r="CN110" s="1" t="n">
        <f aca="false">MAX(CN109-BA110/BA$9*100,0)</f>
        <v>5.32907051820075E-015</v>
      </c>
      <c r="CO110" s="1" t="n">
        <f aca="false">CO$7*EXP(-$AM110/CO$8)</f>
        <v>2.83860305453893E-019</v>
      </c>
      <c r="CP110" s="1" t="n">
        <f aca="false">(CM110-CO110)^2</f>
        <v>8.05766730123774E-038</v>
      </c>
      <c r="CQ110" s="1" t="n">
        <f aca="false">$AM110</f>
        <v>99</v>
      </c>
      <c r="CR110" s="1" t="n">
        <f aca="false">MAX(CR109-BC110/BC$9*100,0)</f>
        <v>0</v>
      </c>
      <c r="CS110" s="1" t="n">
        <f aca="false">MAX(CS109-BD110/BD$9*100,0)</f>
        <v>0</v>
      </c>
      <c r="CT110" s="1" t="n">
        <f aca="false">CT$7*EXP(-$AM110/CT$8)</f>
        <v>2.05525444350933E-032</v>
      </c>
      <c r="CU110" s="1" t="n">
        <f aca="false">(CR110-CT110)^2</f>
        <v>4.22407082756485E-064</v>
      </c>
      <c r="CV110" s="1" t="n">
        <f aca="false">MAX(CV109-BF110/BF$9*100,0)</f>
        <v>8.88178419700125E-015</v>
      </c>
      <c r="CW110" s="1" t="n">
        <f aca="false">MAX(CW109-BG110/BG$9*100,0)</f>
        <v>5.32907051820075E-015</v>
      </c>
      <c r="CX110" s="1" t="n">
        <f aca="false">CX$7*EXP(-$AM110/CX$8)</f>
        <v>2.30726485441974E-016</v>
      </c>
      <c r="CY110" s="1" t="n">
        <f aca="false">(CV110-CX110)^2</f>
        <v>7.48407995287293E-029</v>
      </c>
      <c r="CZ110" s="1" t="n">
        <f aca="false">$AM110</f>
        <v>99</v>
      </c>
      <c r="DA110" s="1" t="n">
        <f aca="false">MAX(DA109-BI110/BI$9*100,0)</f>
        <v>0</v>
      </c>
      <c r="DB110" s="1" t="n">
        <f aca="false">MAX(DB109-BJ110/BJ$9*100,0)</f>
        <v>9.88098491916389E-015</v>
      </c>
      <c r="DC110" s="1" t="n">
        <f aca="false">DC$7*EXP(-$AM110/DC$8)</f>
        <v>6.61905679980675E-030</v>
      </c>
      <c r="DD110" s="1" t="n">
        <f aca="false">(DA110-DC110)^2</f>
        <v>4.3811912919068E-059</v>
      </c>
      <c r="DE110" s="1" t="n">
        <f aca="false">MAX(DE109-BL110/BL$9*100,0)</f>
        <v>0</v>
      </c>
      <c r="DF110" s="1" t="n">
        <f aca="false">MAX(DF109-BM110/BM$9*100,0)</f>
        <v>0</v>
      </c>
      <c r="DG110" s="1" t="n">
        <f aca="false">DG$7*EXP(-$AM110/DG$8)</f>
        <v>2.14881298543164E-009</v>
      </c>
      <c r="DH110" s="1" t="n">
        <f aca="false">(DE110-DG110)^2</f>
        <v>4.61739724635964E-018</v>
      </c>
      <c r="DI110" s="1" t="n">
        <f aca="false">$AM110</f>
        <v>99</v>
      </c>
      <c r="DJ110" s="1" t="n">
        <f aca="false">MAX(DJ109-BO110/BO$9*100,0)</f>
        <v>0</v>
      </c>
      <c r="DK110" s="1" t="n">
        <f aca="false">MAX(DK109-BP110/BP$9*100,0)</f>
        <v>9.99200722162641E-015</v>
      </c>
      <c r="DL110" s="1" t="n">
        <f aca="false">DL$7*EXP(-$AM110/DL$8)</f>
        <v>6.29066192659905E-025</v>
      </c>
      <c r="DM110" s="1" t="n">
        <f aca="false">(DJ110-DL110)^2</f>
        <v>3.95724274747629E-049</v>
      </c>
      <c r="DN110" s="1" t="n">
        <f aca="false">MAX(DN109-BR110/BR$9*100,0)</f>
        <v>0</v>
      </c>
      <c r="DO110" s="1" t="n">
        <f aca="false">MAX(DO109-BS110/BS$9*100,0)</f>
        <v>0</v>
      </c>
      <c r="DP110" s="1" t="n">
        <f aca="false">DP$7*EXP(-$AM110/DP$8)</f>
        <v>8.06175511189109E-011</v>
      </c>
      <c r="DQ110" s="1" t="n">
        <f aca="false">(DN110-DP110)^2</f>
        <v>6.49918954841021E-021</v>
      </c>
      <c r="DS110" s="1" t="n">
        <f aca="false">$AM110</f>
        <v>99</v>
      </c>
      <c r="DT110" s="1" t="n">
        <f aca="false">CA110</f>
        <v>0</v>
      </c>
      <c r="DU110" s="1" t="n">
        <f aca="false">DU$7*EXP(-DS110/DU$8)</f>
        <v>7.71412859084129E-043</v>
      </c>
      <c r="DV110" s="1" t="n">
        <f aca="false">(DT110-DU110)^2</f>
        <v>5.9507779916035E-085</v>
      </c>
      <c r="DX110" s="1" t="n">
        <f aca="false">$AM110</f>
        <v>99</v>
      </c>
      <c r="DY110" s="1" t="n">
        <f aca="false">CM110</f>
        <v>0</v>
      </c>
      <c r="DZ110" s="1" t="n">
        <f aca="false">DZ$7*EXP(-DX110/DZ$8)</f>
        <v>1.10681835297191E-022</v>
      </c>
      <c r="EA110" s="1" t="n">
        <f aca="false">(DY110-DZ110)^2</f>
        <v>1.22504686647545E-044</v>
      </c>
      <c r="EC110" s="1" t="n">
        <f aca="false">$AM110</f>
        <v>99</v>
      </c>
      <c r="ED110" s="1" t="n">
        <f aca="false">CV110</f>
        <v>8.88178419700125E-015</v>
      </c>
      <c r="EE110" s="1" t="n">
        <f aca="false">EE$7*EXP(-EC110/EE$8)</f>
        <v>2.38293421187461E-017</v>
      </c>
      <c r="EF110" s="1" t="n">
        <f aca="false">(ED110-EE110)^2</f>
        <v>7.84633642111366E-029</v>
      </c>
      <c r="EH110" s="1" t="n">
        <f aca="false">$AM110</f>
        <v>99</v>
      </c>
      <c r="EI110" s="1" t="n">
        <f aca="false">DE110</f>
        <v>0</v>
      </c>
      <c r="EJ110" s="1" t="n">
        <f aca="false">EJ$7*EXP(-EH110/EJ$8)</f>
        <v>2.13989674897757E-009</v>
      </c>
      <c r="EK110" s="1" t="n">
        <f aca="false">(EI110-EJ110)^2</f>
        <v>4.57915809628477E-018</v>
      </c>
      <c r="EM110" s="1" t="n">
        <f aca="false">AM110</f>
        <v>99</v>
      </c>
      <c r="EN110" s="1" t="n">
        <f aca="false">DN110</f>
        <v>0</v>
      </c>
      <c r="EO110" s="1" t="n">
        <f aca="false">EO$7*EXP(-EM110/EO$8)</f>
        <v>1.99382519358301E-010</v>
      </c>
      <c r="EP110" s="1" t="n">
        <f aca="false">(EN110-EO110)^2</f>
        <v>3.97533890256633E-020</v>
      </c>
      <c r="ER110" s="1" t="n">
        <f aca="false">$AM110</f>
        <v>99</v>
      </c>
      <c r="ES110" s="1" t="n">
        <f aca="false">BZ110</f>
        <v>0</v>
      </c>
      <c r="ET110" s="1" t="n">
        <f aca="false">ET$7*EXP(-ER110/ET$8)</f>
        <v>1.19603611601181E-049</v>
      </c>
      <c r="EU110" s="1" t="n">
        <f aca="false">(ES110-ET110)^2</f>
        <v>1.43050239080462E-098</v>
      </c>
      <c r="EW110" s="1" t="n">
        <f aca="false">$AM110</f>
        <v>99</v>
      </c>
      <c r="EX110" s="1" t="n">
        <f aca="false">CI110</f>
        <v>0</v>
      </c>
      <c r="EY110" s="1" t="n">
        <f aca="false">EY$7*EXP(-EW110/EY$8)</f>
        <v>1.38593999207327E-045</v>
      </c>
      <c r="EZ110" s="1" t="n">
        <f aca="false">(EX110-EY110)^2</f>
        <v>1.92082966162806E-090</v>
      </c>
      <c r="FB110" s="1" t="n">
        <f aca="false">$AM110</f>
        <v>99</v>
      </c>
      <c r="FC110" s="1" t="n">
        <f aca="false">CR110</f>
        <v>0</v>
      </c>
      <c r="FD110" s="1" t="n">
        <f aca="false">FD$7*EXP(-FB110/FD$8)</f>
        <v>2.00749543195262E-039</v>
      </c>
      <c r="FE110" s="1" t="n">
        <f aca="false">(FC110-FD110)^2</f>
        <v>4.03003790931064E-078</v>
      </c>
      <c r="FG110" s="1" t="n">
        <f aca="false">$AM110</f>
        <v>99</v>
      </c>
      <c r="FH110" s="1" t="n">
        <f aca="false">DA110</f>
        <v>0</v>
      </c>
      <c r="FI110" s="1" t="n">
        <f aca="false">FI$7*EXP(-FG110/FI$8)</f>
        <v>5.44914119483498E-034</v>
      </c>
      <c r="FJ110" s="1" t="n">
        <f aca="false">(FH110-FI110)^2</f>
        <v>2.96931397612476E-067</v>
      </c>
      <c r="FL110" s="1" t="n">
        <f aca="false">EM110</f>
        <v>99</v>
      </c>
      <c r="FM110" s="1" t="n">
        <f aca="false">DJ110</f>
        <v>0</v>
      </c>
      <c r="FN110" s="1" t="n">
        <f aca="false">FN$7*EXP(-FL110/FN$8)</f>
        <v>3.68988741921619E-027</v>
      </c>
      <c r="FO110" s="1" t="n">
        <f aca="false">(FM110-FN110)^2</f>
        <v>1.36152691664899E-053</v>
      </c>
      <c r="FQ110" s="1" t="n">
        <f aca="false">AM110</f>
        <v>99</v>
      </c>
      <c r="FR110" s="1" t="n">
        <f aca="false">AN110/AN$9*100</f>
        <v>0</v>
      </c>
      <c r="FS110" s="1" t="n">
        <f aca="false">AO110/AO$9*100</f>
        <v>0</v>
      </c>
      <c r="FT110" s="1" t="n">
        <f aca="false">AQ110/AQ$9*100</f>
        <v>0</v>
      </c>
      <c r="FU110" s="1" t="n">
        <f aca="false">AR110/AR$9*100</f>
        <v>0</v>
      </c>
      <c r="FV110" s="1" t="n">
        <f aca="false">AT110/AT$9*100</f>
        <v>0</v>
      </c>
      <c r="FW110" s="1" t="n">
        <f aca="false">AU110/AU$9*100</f>
        <v>0</v>
      </c>
      <c r="FX110" s="1" t="n">
        <f aca="false">AW110/AW$9*100</f>
        <v>0</v>
      </c>
      <c r="FY110" s="1" t="n">
        <f aca="false">AX110/AX$9*100</f>
        <v>0</v>
      </c>
      <c r="FZ110" s="1" t="n">
        <f aca="false">AZ110/AZ$9*100</f>
        <v>0</v>
      </c>
      <c r="GA110" s="1" t="n">
        <f aca="false">BA110/BA$9*100</f>
        <v>0</v>
      </c>
      <c r="GB110" s="1" t="n">
        <f aca="false">BC110/BC$9*100</f>
        <v>0</v>
      </c>
      <c r="GC110" s="1" t="n">
        <f aca="false">BD110/BD$9*100</f>
        <v>0</v>
      </c>
      <c r="GD110" s="1" t="n">
        <f aca="false">BF110/BF$9*100</f>
        <v>0</v>
      </c>
      <c r="GE110" s="1" t="n">
        <f aca="false">BG110/BG$9*100</f>
        <v>0</v>
      </c>
      <c r="GF110" s="1" t="n">
        <f aca="false">BI110/BI$9*100</f>
        <v>0</v>
      </c>
      <c r="GG110" s="1" t="n">
        <f aca="false">BJ110/BJ$9*100</f>
        <v>0</v>
      </c>
      <c r="GH110" s="1" t="n">
        <f aca="false">BL110/BL$9*100</f>
        <v>0</v>
      </c>
      <c r="GI110" s="1" t="n">
        <f aca="false">BM110/BM$9*100</f>
        <v>0</v>
      </c>
      <c r="GJ110" s="1" t="n">
        <f aca="false">BO110/BO$9*100</f>
        <v>0</v>
      </c>
      <c r="GK110" s="1" t="n">
        <f aca="false">BP110/BP$9*100</f>
        <v>0</v>
      </c>
      <c r="GL110" s="1" t="n">
        <f aca="false">BR110/BR$9*100</f>
        <v>0</v>
      </c>
      <c r="GM110" s="1" t="n">
        <f aca="false">BS110/BS$9*100</f>
        <v>0</v>
      </c>
      <c r="GO110" s="1" t="n">
        <f aca="false">$AM110</f>
        <v>99</v>
      </c>
      <c r="GP110" s="1" t="n">
        <f aca="false">FT110</f>
        <v>0</v>
      </c>
      <c r="GQ110" s="1" t="n">
        <f aca="false">GQ$6*(1+GQ$5*(-1)^$FQ110)*EXP(-$FQ110/GQ$4)</f>
        <v>1.88132202627271E-031</v>
      </c>
      <c r="GR110" s="1" t="n">
        <f aca="false">(GP110-GQ110)^2</f>
        <v>3.53937256653886E-062</v>
      </c>
      <c r="GS110" s="1" t="n">
        <f aca="false">EXP($FQ110/$JG$4)*GP110</f>
        <v>0</v>
      </c>
      <c r="GT110" s="1" t="n">
        <f aca="false">EXP($FQ110/$JG$4)*(-1)^$FQ110*GP110</f>
        <v>-0</v>
      </c>
      <c r="GU110" s="1" t="n">
        <f aca="false">(-1)^GO110*GP110</f>
        <v>-0</v>
      </c>
      <c r="GW110" s="1" t="n">
        <f aca="false">$AM110</f>
        <v>99</v>
      </c>
      <c r="GX110" s="1" t="n">
        <f aca="false">FX110</f>
        <v>0</v>
      </c>
      <c r="GY110" s="1" t="n">
        <f aca="false">GY$6*(1+GY$5*(-1)^$FQ110)*EXP(-$FQ110/GY$4)</f>
        <v>1.88132202627271E-031</v>
      </c>
      <c r="GZ110" s="1" t="n">
        <f aca="false">(GX110-GY110)^2</f>
        <v>3.53937256653886E-062</v>
      </c>
      <c r="HA110" s="1" t="n">
        <f aca="false">EXP($FQ110/$JG$4)*GX110</f>
        <v>0</v>
      </c>
      <c r="HB110" s="1" t="n">
        <f aca="false">EXP($FQ110/$JG$4)*(-1)^$FQ110*GX110</f>
        <v>-0</v>
      </c>
      <c r="HC110" s="1" t="n">
        <f aca="false">(-1)^GW110*GX110</f>
        <v>-0</v>
      </c>
      <c r="HE110" s="1" t="n">
        <f aca="false">$AM110</f>
        <v>99</v>
      </c>
      <c r="HF110" s="1" t="n">
        <f aca="false">GB110</f>
        <v>0</v>
      </c>
      <c r="HG110" s="1" t="n">
        <f aca="false">HG$6*(1+HG$5*(-1)^$FQ110)*EXP(-$FQ110/HG$4)</f>
        <v>1.88132202627271E-031</v>
      </c>
      <c r="HH110" s="1" t="n">
        <f aca="false">(HF110-HG110)^2</f>
        <v>3.53937256653886E-062</v>
      </c>
      <c r="HI110" s="1" t="n">
        <f aca="false">EXP($FQ110/$JG$4)*HF110</f>
        <v>0</v>
      </c>
      <c r="HJ110" s="1" t="n">
        <f aca="false">EXP($FQ110/$JG$4)*(-1)^$FQ110*HF110</f>
        <v>-0</v>
      </c>
      <c r="HK110" s="1" t="n">
        <f aca="false">(-1)^HE110*HF110</f>
        <v>-0</v>
      </c>
      <c r="HM110" s="1" t="n">
        <f aca="false">$AM110</f>
        <v>99</v>
      </c>
      <c r="HN110" s="1" t="n">
        <f aca="false">GF110</f>
        <v>0</v>
      </c>
      <c r="HO110" s="1" t="n">
        <f aca="false">HO$6*(1+HO$5*(-1)^$FQ110)*EXP(-$FQ110/HO$4)</f>
        <v>6.51486912798504E-025</v>
      </c>
      <c r="HP110" s="1" t="n">
        <f aca="false">(HN110-HO110)^2</f>
        <v>4.24435197547726E-049</v>
      </c>
      <c r="HQ110" s="1" t="n">
        <f aca="false">EXP($FQ110/$JG$4)*HN110</f>
        <v>0</v>
      </c>
      <c r="HR110" s="1" t="n">
        <f aca="false">EXP($FQ110/$JG$4)*(-1)^$FQ110*HN110</f>
        <v>-0</v>
      </c>
      <c r="HS110" s="1" t="n">
        <f aca="false">(-1)^HM110*HN110</f>
        <v>-0</v>
      </c>
      <c r="HU110" s="1" t="n">
        <f aca="false">$AM110</f>
        <v>99</v>
      </c>
      <c r="HV110" s="1" t="n">
        <f aca="false">GJ110</f>
        <v>0</v>
      </c>
      <c r="HW110" s="1" t="n">
        <f aca="false">HW$6*(1+HW$5*(-1)^$FQ110)*EXP(-$FQ110/HW$4)</f>
        <v>2.95206613312393E-018</v>
      </c>
      <c r="HX110" s="1" t="n">
        <f aca="false">(HV110-HW110)^2</f>
        <v>8.71469445433727E-036</v>
      </c>
      <c r="HY110" s="1" t="n">
        <f aca="false">EXP($FQ110/$JG$4)*HV110</f>
        <v>0</v>
      </c>
      <c r="HZ110" s="1" t="n">
        <f aca="false">EXP($FQ110/$JG$4)*(-1)^$FQ110*HV110</f>
        <v>-0</v>
      </c>
      <c r="IA110" s="1" t="n">
        <f aca="false">(-1)^HU110*HV110</f>
        <v>-0</v>
      </c>
      <c r="ID110" s="1" t="n">
        <f aca="false">$AM110</f>
        <v>99</v>
      </c>
      <c r="IE110" s="1" t="n">
        <f aca="false">FZ110</f>
        <v>0</v>
      </c>
      <c r="IF110" s="1" t="n">
        <f aca="false">IF$6*(1+IF$5*(-1)^$FQ110)*EXP(-$FQ110/IF$4)</f>
        <v>1.32324373257068E-013</v>
      </c>
      <c r="IG110" s="1" t="n">
        <f aca="false">(IE110-IF110)^2</f>
        <v>1.75097397578759E-026</v>
      </c>
      <c r="IH110" s="1" t="n">
        <f aca="false">EXP($FQ110/$JG$4)*IE110</f>
        <v>0</v>
      </c>
      <c r="II110" s="1" t="n">
        <f aca="false">EXP($FQ110/$JG$4)*(-1)^$FQ110*IE110</f>
        <v>-0</v>
      </c>
      <c r="IJ110" s="1" t="n">
        <f aca="false">(-1)^ID110*IE110</f>
        <v>-0</v>
      </c>
      <c r="IK110" s="1" t="n">
        <v>0</v>
      </c>
      <c r="IM110" s="1" t="n">
        <f aca="false">$AM110</f>
        <v>99</v>
      </c>
      <c r="IN110" s="1" t="n">
        <f aca="false">GD110</f>
        <v>0</v>
      </c>
      <c r="IO110" s="1" t="n">
        <f aca="false">IO$6*(1+IO$5*(-1)^$FQ110)*EXP(-$FQ110/IO$4)</f>
        <v>1.14256820275513E-011</v>
      </c>
      <c r="IP110" s="1" t="n">
        <f aca="false">(IN110-IO110)^2</f>
        <v>1.30546209794709E-022</v>
      </c>
      <c r="IQ110" s="1" t="n">
        <f aca="false">EXP($FQ110/$JG$4)*IN110</f>
        <v>0</v>
      </c>
      <c r="IR110" s="1" t="n">
        <f aca="false">EXP($FQ110/$JG$4)*(-1)^$FQ110*IN110</f>
        <v>-0</v>
      </c>
      <c r="IS110" s="1" t="n">
        <f aca="false">(-1)^IM110*IN110</f>
        <v>-0</v>
      </c>
      <c r="IV110" s="1" t="n">
        <f aca="false">$AM110</f>
        <v>99</v>
      </c>
      <c r="IW110" s="1" t="n">
        <f aca="false">GH110</f>
        <v>0</v>
      </c>
      <c r="IX110" s="1" t="n">
        <f aca="false">IX$6*(1+IX$5*(-1)^$FQ110)*EXP(-$FQ110/IX$4)</f>
        <v>4.96814150066159E-008</v>
      </c>
      <c r="IY110" s="1" t="n">
        <f aca="false">(IW110-IX110)^2</f>
        <v>2.4682429970596E-015</v>
      </c>
      <c r="IZ110" s="1" t="n">
        <f aca="false">EXP($FQ110/$JG$4)*IW110</f>
        <v>0</v>
      </c>
      <c r="JA110" s="1" t="n">
        <f aca="false">EXP($FQ110/$JG$4)*(-1)^$FQ110*IW110</f>
        <v>-0</v>
      </c>
      <c r="JB110" s="1" t="n">
        <f aca="false">(-1)^IV110*IW110</f>
        <v>-0</v>
      </c>
      <c r="JE110" s="1" t="n">
        <f aca="false">$AM110</f>
        <v>99</v>
      </c>
      <c r="JF110" s="1" t="n">
        <f aca="false">GL110</f>
        <v>0</v>
      </c>
      <c r="JG110" s="1" t="n">
        <f aca="false">JG$6*(1+JG$5*(-1)^$FQ110)*EXP(-$FQ110/JG$4)</f>
        <v>6.86646261522173E-010</v>
      </c>
      <c r="JH110" s="1" t="n">
        <f aca="false">(JF110-JG110)^2</f>
        <v>4.71483088462376E-019</v>
      </c>
      <c r="JI110" s="1" t="n">
        <f aca="false">EXP($FQ110/$JG$4)*JF110</f>
        <v>0</v>
      </c>
      <c r="JJ110" s="1" t="n">
        <f aca="false">EXP($FQ110/$JG$4)*(-1)^$FQ110*JF110</f>
        <v>-0</v>
      </c>
      <c r="JK110" s="1" t="n">
        <f aca="false">(-1)^JE110*JF110</f>
        <v>-0</v>
      </c>
      <c r="JO110" s="1" t="n">
        <f aca="false">$AM110</f>
        <v>99</v>
      </c>
      <c r="JP110" s="1" t="n">
        <f aca="false">GM110</f>
        <v>0</v>
      </c>
      <c r="JQ110" s="1" t="n">
        <f aca="false">JQ$6*(1+JQ$5*(-1)^$FQ110)*EXP(-$FQ110/JQ$4)</f>
        <v>0.000995600760187144</v>
      </c>
      <c r="JR110" s="1" t="n">
        <f aca="false">(JP110-JQ110)^2</f>
        <v>9.91220873685219E-007</v>
      </c>
      <c r="JS110" s="1" t="n">
        <f aca="false">EXP($FQ110/$JG$4)*JP110</f>
        <v>0</v>
      </c>
      <c r="JT110" s="1" t="n">
        <f aca="false">EXP($FQ110/$JG$4)*(-1)^$FQ110*JP110</f>
        <v>-0</v>
      </c>
      <c r="JU110" s="1" t="n">
        <f aca="false">(-1)^JO110*JP110</f>
        <v>-0</v>
      </c>
    </row>
    <row r="111" customFormat="false" ht="16" hidden="false" customHeight="false" outlineLevel="0" collapsed="false">
      <c r="A111" s="1" t="n">
        <v>2</v>
      </c>
      <c r="B111" s="1" t="n">
        <v>2</v>
      </c>
      <c r="C111" s="1" t="n">
        <f aca="false">B111-A111</f>
        <v>0</v>
      </c>
      <c r="D111" s="1" t="n">
        <v>1</v>
      </c>
      <c r="E111" s="1" t="n">
        <v>1</v>
      </c>
      <c r="F111" s="1" t="n">
        <f aca="false">E111-D111</f>
        <v>0</v>
      </c>
      <c r="G111" s="1" t="n">
        <v>1</v>
      </c>
      <c r="H111" s="1" t="n">
        <v>1</v>
      </c>
      <c r="I111" s="1" t="n">
        <f aca="false">H111-G111</f>
        <v>0</v>
      </c>
      <c r="J111" s="1" t="n">
        <v>2</v>
      </c>
      <c r="K111" s="1" t="n">
        <v>2</v>
      </c>
      <c r="L111" s="1" t="n">
        <f aca="false">K111-J111</f>
        <v>0</v>
      </c>
      <c r="M111" s="1" t="n">
        <v>4</v>
      </c>
      <c r="N111" s="1" t="n">
        <v>6</v>
      </c>
      <c r="O111" s="1" t="n">
        <f aca="false">N111-M111</f>
        <v>2</v>
      </c>
      <c r="P111" s="1" t="n">
        <v>4</v>
      </c>
      <c r="Q111" s="1" t="n">
        <v>4</v>
      </c>
      <c r="R111" s="1" t="n">
        <f aca="false">Q111-P111</f>
        <v>0</v>
      </c>
      <c r="S111" s="1" t="n">
        <v>2</v>
      </c>
      <c r="T111" s="1" t="n">
        <v>4</v>
      </c>
      <c r="U111" s="1" t="n">
        <f aca="false">T111-S111</f>
        <v>2</v>
      </c>
      <c r="V111" s="1" t="n">
        <v>2</v>
      </c>
      <c r="W111" s="1" t="n">
        <v>4</v>
      </c>
      <c r="X111" s="1" t="n">
        <f aca="false">W111-V111</f>
        <v>2</v>
      </c>
      <c r="Y111" s="1" t="n">
        <v>12</v>
      </c>
      <c r="Z111" s="1" t="n">
        <v>21</v>
      </c>
      <c r="AA111" s="1" t="n">
        <f aca="false">Z111-Y111</f>
        <v>9</v>
      </c>
      <c r="AB111" s="1" t="n">
        <v>1</v>
      </c>
      <c r="AC111" s="1" t="n">
        <v>3</v>
      </c>
      <c r="AD111" s="1" t="n">
        <f aca="false">AC111-AB111</f>
        <v>2</v>
      </c>
      <c r="AE111" s="1" t="n">
        <v>1</v>
      </c>
      <c r="AF111" s="1" t="n">
        <v>3</v>
      </c>
      <c r="AG111" s="1" t="n">
        <f aca="false">AF111-AE111</f>
        <v>2</v>
      </c>
      <c r="IK111" s="1" t="n">
        <v>0</v>
      </c>
    </row>
    <row r="112" customFormat="false" ht="16" hidden="false" customHeight="false" outlineLevel="0" collapsed="false">
      <c r="A112" s="1" t="n">
        <v>2</v>
      </c>
      <c r="B112" s="1" t="n">
        <v>2</v>
      </c>
      <c r="C112" s="1" t="n">
        <f aca="false">B112-A112</f>
        <v>0</v>
      </c>
      <c r="D112" s="1" t="n">
        <v>1</v>
      </c>
      <c r="E112" s="1" t="n">
        <v>1</v>
      </c>
      <c r="F112" s="1" t="n">
        <f aca="false">E112-D112</f>
        <v>0</v>
      </c>
      <c r="G112" s="1" t="n">
        <v>3</v>
      </c>
      <c r="H112" s="1" t="n">
        <v>3</v>
      </c>
      <c r="I112" s="1" t="n">
        <f aca="false">H112-G112</f>
        <v>0</v>
      </c>
      <c r="J112" s="1" t="n">
        <v>1</v>
      </c>
      <c r="K112" s="1" t="n">
        <v>2</v>
      </c>
      <c r="L112" s="1" t="n">
        <f aca="false">K112-J112</f>
        <v>1</v>
      </c>
      <c r="M112" s="1" t="n">
        <v>2</v>
      </c>
      <c r="N112" s="1" t="n">
        <v>3</v>
      </c>
      <c r="O112" s="1" t="n">
        <f aca="false">N112-M112</f>
        <v>1</v>
      </c>
      <c r="P112" s="1" t="n">
        <v>2</v>
      </c>
      <c r="Q112" s="1" t="n">
        <v>4</v>
      </c>
      <c r="R112" s="1" t="n">
        <f aca="false">Q112-P112</f>
        <v>2</v>
      </c>
      <c r="S112" s="1" t="n">
        <v>1</v>
      </c>
      <c r="T112" s="1" t="n">
        <v>5</v>
      </c>
      <c r="U112" s="1" t="n">
        <f aca="false">T112-S112</f>
        <v>4</v>
      </c>
      <c r="V112" s="1" t="n">
        <v>4</v>
      </c>
      <c r="W112" s="1" t="n">
        <v>8</v>
      </c>
      <c r="X112" s="1" t="n">
        <f aca="false">W112-V112</f>
        <v>4</v>
      </c>
      <c r="Y112" s="1" t="n">
        <v>2</v>
      </c>
      <c r="Z112" s="1" t="n">
        <v>4</v>
      </c>
      <c r="AA112" s="1" t="n">
        <f aca="false">Z112-Y112</f>
        <v>2</v>
      </c>
      <c r="AB112" s="1" t="n">
        <v>4</v>
      </c>
      <c r="AC112" s="1" t="n">
        <v>4</v>
      </c>
      <c r="AD112" s="1" t="n">
        <f aca="false">AC112-AB112</f>
        <v>0</v>
      </c>
      <c r="AE112" s="1" t="n">
        <v>4</v>
      </c>
      <c r="AF112" s="1" t="n">
        <v>10</v>
      </c>
      <c r="AG112" s="1" t="n">
        <f aca="false">AF112-AE112</f>
        <v>6</v>
      </c>
      <c r="IK112" s="1" t="n">
        <v>0</v>
      </c>
    </row>
    <row r="113" customFormat="false" ht="16" hidden="false" customHeight="false" outlineLevel="0" collapsed="false">
      <c r="A113" s="1" t="n">
        <v>1</v>
      </c>
      <c r="B113" s="1" t="n">
        <v>1</v>
      </c>
      <c r="C113" s="1" t="n">
        <f aca="false">B113-A113</f>
        <v>0</v>
      </c>
      <c r="D113" s="1" t="n">
        <v>2</v>
      </c>
      <c r="E113" s="1" t="n">
        <v>2</v>
      </c>
      <c r="F113" s="1" t="n">
        <f aca="false">E113-D113</f>
        <v>0</v>
      </c>
      <c r="G113" s="1" t="n">
        <v>1</v>
      </c>
      <c r="H113" s="1" t="n">
        <v>1</v>
      </c>
      <c r="I113" s="1" t="n">
        <f aca="false">H113-G113</f>
        <v>0</v>
      </c>
      <c r="J113" s="1" t="n">
        <v>2</v>
      </c>
      <c r="K113" s="1" t="n">
        <v>3</v>
      </c>
      <c r="L113" s="1" t="n">
        <f aca="false">K113-J113</f>
        <v>1</v>
      </c>
      <c r="M113" s="1" t="n">
        <v>1</v>
      </c>
      <c r="N113" s="1" t="n">
        <v>2</v>
      </c>
      <c r="O113" s="1" t="n">
        <f aca="false">N113-M113</f>
        <v>1</v>
      </c>
      <c r="P113" s="1" t="n">
        <v>3</v>
      </c>
      <c r="Q113" s="1" t="n">
        <v>5</v>
      </c>
      <c r="R113" s="1" t="n">
        <f aca="false">Q113-P113</f>
        <v>2</v>
      </c>
      <c r="S113" s="1" t="n">
        <v>3</v>
      </c>
      <c r="T113" s="1" t="n">
        <v>10</v>
      </c>
      <c r="U113" s="1" t="n">
        <f aca="false">T113-S113</f>
        <v>7</v>
      </c>
      <c r="V113" s="1" t="n">
        <v>4</v>
      </c>
      <c r="W113" s="1" t="n">
        <v>4</v>
      </c>
      <c r="X113" s="1" t="n">
        <f aca="false">W113-V113</f>
        <v>0</v>
      </c>
      <c r="Y113" s="1" t="n">
        <v>2</v>
      </c>
      <c r="Z113" s="1" t="n">
        <v>6</v>
      </c>
      <c r="AA113" s="1" t="n">
        <f aca="false">Z113-Y113</f>
        <v>4</v>
      </c>
      <c r="AB113" s="1" t="n">
        <v>2</v>
      </c>
      <c r="AC113" s="1" t="n">
        <v>2</v>
      </c>
      <c r="AD113" s="1" t="n">
        <f aca="false">AC113-AB113</f>
        <v>0</v>
      </c>
      <c r="AE113" s="1" t="n">
        <v>2</v>
      </c>
      <c r="AF113" s="1" t="n">
        <v>2</v>
      </c>
      <c r="AG113" s="1" t="n">
        <f aca="false">AF113-AE113</f>
        <v>0</v>
      </c>
      <c r="IK113" s="1" t="n">
        <v>0</v>
      </c>
    </row>
    <row r="114" customFormat="false" ht="16" hidden="false" customHeight="false" outlineLevel="0" collapsed="false">
      <c r="A114" s="1" t="n">
        <v>1</v>
      </c>
      <c r="B114" s="1" t="n">
        <v>1</v>
      </c>
      <c r="C114" s="1" t="n">
        <f aca="false">B114-A114</f>
        <v>0</v>
      </c>
      <c r="D114" s="1" t="n">
        <v>2</v>
      </c>
      <c r="E114" s="1" t="n">
        <v>2</v>
      </c>
      <c r="F114" s="1" t="n">
        <f aca="false">E114-D114</f>
        <v>0</v>
      </c>
      <c r="G114" s="1" t="n">
        <v>1</v>
      </c>
      <c r="H114" s="1" t="n">
        <v>1</v>
      </c>
      <c r="I114" s="1" t="n">
        <f aca="false">H114-G114</f>
        <v>0</v>
      </c>
      <c r="J114" s="1" t="n">
        <v>1</v>
      </c>
      <c r="K114" s="1" t="n">
        <v>2</v>
      </c>
      <c r="L114" s="1" t="n">
        <f aca="false">K114-J114</f>
        <v>1</v>
      </c>
      <c r="M114" s="1" t="n">
        <v>1</v>
      </c>
      <c r="N114" s="1" t="n">
        <v>2</v>
      </c>
      <c r="O114" s="1" t="n">
        <f aca="false">N114-M114</f>
        <v>1</v>
      </c>
      <c r="P114" s="1" t="n">
        <v>2</v>
      </c>
      <c r="Q114" s="1" t="n">
        <v>6</v>
      </c>
      <c r="R114" s="1" t="n">
        <f aca="false">Q114-P114</f>
        <v>4</v>
      </c>
      <c r="S114" s="1" t="n">
        <v>5</v>
      </c>
      <c r="T114" s="1" t="n">
        <v>14</v>
      </c>
      <c r="U114" s="1" t="n">
        <f aca="false">T114-S114</f>
        <v>9</v>
      </c>
      <c r="V114" s="1" t="n">
        <v>2</v>
      </c>
      <c r="W114" s="1" t="n">
        <v>4</v>
      </c>
      <c r="X114" s="1" t="n">
        <f aca="false">W114-V114</f>
        <v>2</v>
      </c>
      <c r="Y114" s="1" t="n">
        <v>2</v>
      </c>
      <c r="Z114" s="1" t="n">
        <v>5</v>
      </c>
      <c r="AA114" s="1" t="n">
        <f aca="false">Z114-Y114</f>
        <v>3</v>
      </c>
      <c r="AB114" s="1" t="n">
        <v>1</v>
      </c>
      <c r="AC114" s="1" t="n">
        <v>1</v>
      </c>
      <c r="AD114" s="1" t="n">
        <f aca="false">AC114-AB114</f>
        <v>0</v>
      </c>
      <c r="AE114" s="1" t="n">
        <v>4</v>
      </c>
      <c r="AF114" s="1" t="n">
        <v>8</v>
      </c>
      <c r="AG114" s="1" t="n">
        <f aca="false">AF114-AE114</f>
        <v>4</v>
      </c>
      <c r="IK114" s="1" t="n">
        <v>0</v>
      </c>
    </row>
    <row r="115" customFormat="false" ht="16" hidden="false" customHeight="false" outlineLevel="0" collapsed="false">
      <c r="A115" s="1" t="n">
        <v>1</v>
      </c>
      <c r="B115" s="1" t="n">
        <v>1</v>
      </c>
      <c r="C115" s="1" t="n">
        <f aca="false">B115-A115</f>
        <v>0</v>
      </c>
      <c r="D115" s="1" t="n">
        <v>2</v>
      </c>
      <c r="E115" s="1" t="n">
        <v>2</v>
      </c>
      <c r="F115" s="1" t="n">
        <f aca="false">E115-D115</f>
        <v>0</v>
      </c>
      <c r="G115" s="1" t="n">
        <v>2</v>
      </c>
      <c r="H115" s="1" t="n">
        <v>2</v>
      </c>
      <c r="I115" s="1" t="n">
        <f aca="false">H115-G115</f>
        <v>0</v>
      </c>
      <c r="J115" s="1" t="n">
        <v>2</v>
      </c>
      <c r="K115" s="1" t="n">
        <v>3</v>
      </c>
      <c r="L115" s="1" t="n">
        <f aca="false">K115-J115</f>
        <v>1</v>
      </c>
      <c r="M115" s="1" t="n">
        <v>1</v>
      </c>
      <c r="N115" s="1" t="n">
        <v>2</v>
      </c>
      <c r="O115" s="1" t="n">
        <f aca="false">N115-M115</f>
        <v>1</v>
      </c>
      <c r="P115" s="1" t="n">
        <v>2</v>
      </c>
      <c r="Q115" s="1" t="n">
        <v>2</v>
      </c>
      <c r="R115" s="1" t="n">
        <f aca="false">Q115-P115</f>
        <v>0</v>
      </c>
      <c r="S115" s="1" t="n">
        <v>4</v>
      </c>
      <c r="T115" s="1" t="n">
        <v>4</v>
      </c>
      <c r="U115" s="1" t="n">
        <f aca="false">T115-S115</f>
        <v>0</v>
      </c>
      <c r="V115" s="1" t="n">
        <v>2</v>
      </c>
      <c r="W115" s="1" t="n">
        <v>7</v>
      </c>
      <c r="X115" s="1" t="n">
        <f aca="false">W115-V115</f>
        <v>5</v>
      </c>
      <c r="Y115" s="1" t="n">
        <v>2</v>
      </c>
      <c r="Z115" s="1" t="n">
        <v>4</v>
      </c>
      <c r="AA115" s="1" t="n">
        <f aca="false">Z115-Y115</f>
        <v>2</v>
      </c>
      <c r="AB115" s="1" t="n">
        <v>1</v>
      </c>
      <c r="AC115" s="1" t="n">
        <v>1</v>
      </c>
      <c r="AD115" s="1" t="n">
        <f aca="false">AC115-AB115</f>
        <v>0</v>
      </c>
      <c r="AE115" s="1" t="n">
        <v>6</v>
      </c>
      <c r="AF115" s="1" t="n">
        <v>10</v>
      </c>
      <c r="AG115" s="1" t="n">
        <f aca="false">AF115-AE115</f>
        <v>4</v>
      </c>
      <c r="IK115" s="1" t="n">
        <v>0</v>
      </c>
    </row>
    <row r="116" customFormat="false" ht="16" hidden="false" customHeight="false" outlineLevel="0" collapsed="false">
      <c r="A116" s="1" t="n">
        <v>1</v>
      </c>
      <c r="B116" s="1" t="n">
        <v>1</v>
      </c>
      <c r="C116" s="1" t="n">
        <f aca="false">B116-A116</f>
        <v>0</v>
      </c>
      <c r="D116" s="1" t="n">
        <v>2</v>
      </c>
      <c r="E116" s="1" t="n">
        <v>2</v>
      </c>
      <c r="F116" s="1" t="n">
        <f aca="false">E116-D116</f>
        <v>0</v>
      </c>
      <c r="G116" s="1" t="n">
        <v>1</v>
      </c>
      <c r="H116" s="1" t="n">
        <v>1</v>
      </c>
      <c r="I116" s="1" t="n">
        <f aca="false">H116-G116</f>
        <v>0</v>
      </c>
      <c r="J116" s="1" t="n">
        <v>2</v>
      </c>
      <c r="K116" s="1" t="n">
        <v>3</v>
      </c>
      <c r="L116" s="1" t="n">
        <f aca="false">K116-J116</f>
        <v>1</v>
      </c>
      <c r="M116" s="1" t="n">
        <v>2</v>
      </c>
      <c r="N116" s="1" t="n">
        <v>2</v>
      </c>
      <c r="O116" s="1" t="n">
        <f aca="false">N116-M116</f>
        <v>0</v>
      </c>
      <c r="P116" s="1" t="n">
        <v>1</v>
      </c>
      <c r="Q116" s="1" t="n">
        <v>2</v>
      </c>
      <c r="R116" s="1" t="n">
        <f aca="false">Q116-P116</f>
        <v>1</v>
      </c>
      <c r="S116" s="1" t="n">
        <v>2</v>
      </c>
      <c r="T116" s="1" t="n">
        <v>8</v>
      </c>
      <c r="U116" s="1" t="n">
        <f aca="false">T116-S116</f>
        <v>6</v>
      </c>
      <c r="V116" s="1" t="n">
        <v>2</v>
      </c>
      <c r="W116" s="1" t="n">
        <v>2</v>
      </c>
      <c r="X116" s="1" t="n">
        <f aca="false">W116-V116</f>
        <v>0</v>
      </c>
      <c r="Y116" s="1" t="n">
        <v>2</v>
      </c>
      <c r="Z116" s="1" t="n">
        <v>6</v>
      </c>
      <c r="AA116" s="1" t="n">
        <f aca="false">Z116-Y116</f>
        <v>4</v>
      </c>
      <c r="AB116" s="1" t="n">
        <v>1</v>
      </c>
      <c r="AC116" s="1" t="n">
        <v>3</v>
      </c>
      <c r="AD116" s="1" t="n">
        <f aca="false">AC116-AB116</f>
        <v>2</v>
      </c>
      <c r="AE116" s="1" t="n">
        <v>2</v>
      </c>
      <c r="AF116" s="1" t="n">
        <v>2</v>
      </c>
      <c r="AG116" s="1" t="n">
        <f aca="false">AF116-AE116</f>
        <v>0</v>
      </c>
      <c r="IK116" s="1" t="n">
        <v>0</v>
      </c>
    </row>
    <row r="117" customFormat="false" ht="16" hidden="false" customHeight="false" outlineLevel="0" collapsed="false">
      <c r="A117" s="4"/>
      <c r="B117" s="4"/>
      <c r="C117" s="4"/>
      <c r="D117" s="1" t="n">
        <v>2</v>
      </c>
      <c r="E117" s="1" t="n">
        <v>2</v>
      </c>
      <c r="F117" s="1" t="n">
        <f aca="false">E117-D117</f>
        <v>0</v>
      </c>
      <c r="G117" s="1" t="n">
        <v>2</v>
      </c>
      <c r="H117" s="1" t="n">
        <v>2</v>
      </c>
      <c r="I117" s="1" t="n">
        <f aca="false">H117-G117</f>
        <v>0</v>
      </c>
      <c r="J117" s="1" t="n">
        <v>4</v>
      </c>
      <c r="K117" s="1" t="n">
        <v>4</v>
      </c>
      <c r="L117" s="1" t="n">
        <f aca="false">K117-J117</f>
        <v>0</v>
      </c>
      <c r="M117" s="1" t="n">
        <v>6</v>
      </c>
      <c r="N117" s="1" t="n">
        <v>6</v>
      </c>
      <c r="O117" s="1" t="n">
        <f aca="false">N117-M117</f>
        <v>0</v>
      </c>
      <c r="P117" s="1" t="n">
        <v>2</v>
      </c>
      <c r="Q117" s="1" t="n">
        <v>2</v>
      </c>
      <c r="R117" s="1" t="n">
        <f aca="false">Q117-P117</f>
        <v>0</v>
      </c>
      <c r="S117" s="1" t="n">
        <v>3</v>
      </c>
      <c r="T117" s="1" t="n">
        <v>5</v>
      </c>
      <c r="U117" s="1" t="n">
        <f aca="false">T117-S117</f>
        <v>2</v>
      </c>
      <c r="V117" s="1" t="n">
        <v>3</v>
      </c>
      <c r="W117" s="1" t="n">
        <v>5</v>
      </c>
      <c r="X117" s="1" t="n">
        <f aca="false">W117-V117</f>
        <v>2</v>
      </c>
      <c r="Y117" s="1" t="n">
        <v>8</v>
      </c>
      <c r="Z117" s="1" t="n">
        <v>18</v>
      </c>
      <c r="AA117" s="1" t="n">
        <f aca="false">Z117-Y117</f>
        <v>10</v>
      </c>
      <c r="AB117" s="1" t="n">
        <v>2</v>
      </c>
      <c r="AC117" s="1" t="n">
        <v>4</v>
      </c>
      <c r="AD117" s="1" t="n">
        <f aca="false">AC117-AB117</f>
        <v>2</v>
      </c>
      <c r="AE117" s="1" t="n">
        <v>4</v>
      </c>
      <c r="AF117" s="1" t="n">
        <v>10</v>
      </c>
      <c r="AG117" s="1" t="n">
        <f aca="false">AF117-AE117</f>
        <v>6</v>
      </c>
    </row>
    <row r="118" customFormat="false" ht="16" hidden="false" customHeight="false" outlineLevel="0" collapsed="false">
      <c r="D118" s="1" t="n">
        <v>2</v>
      </c>
      <c r="E118" s="1" t="n">
        <v>2</v>
      </c>
      <c r="F118" s="1" t="n">
        <f aca="false">E118-D118</f>
        <v>0</v>
      </c>
      <c r="G118" s="1" t="n">
        <v>2</v>
      </c>
      <c r="H118" s="1" t="n">
        <v>2</v>
      </c>
      <c r="I118" s="1" t="n">
        <f aca="false">H118-G118</f>
        <v>0</v>
      </c>
      <c r="J118" s="1" t="n">
        <v>4</v>
      </c>
      <c r="K118" s="1" t="n">
        <v>4</v>
      </c>
      <c r="L118" s="1" t="n">
        <f aca="false">K118-J118</f>
        <v>0</v>
      </c>
      <c r="M118" s="1" t="n">
        <v>5</v>
      </c>
      <c r="N118" s="1" t="n">
        <v>7</v>
      </c>
      <c r="O118" s="1" t="n">
        <f aca="false">N118-M118</f>
        <v>2</v>
      </c>
      <c r="P118" s="1" t="n">
        <v>2</v>
      </c>
      <c r="Q118" s="1" t="n">
        <v>3</v>
      </c>
      <c r="R118" s="1" t="n">
        <f aca="false">Q118-P118</f>
        <v>1</v>
      </c>
      <c r="S118" s="1" t="n">
        <v>1</v>
      </c>
      <c r="T118" s="1" t="n">
        <v>3</v>
      </c>
      <c r="U118" s="1" t="n">
        <f aca="false">T118-S118</f>
        <v>2</v>
      </c>
      <c r="V118" s="1" t="n">
        <v>2</v>
      </c>
      <c r="W118" s="1" t="n">
        <v>2</v>
      </c>
      <c r="X118" s="1" t="n">
        <f aca="false">W118-V118</f>
        <v>0</v>
      </c>
      <c r="Y118" s="1" t="n">
        <v>12</v>
      </c>
      <c r="Z118" s="1" t="n">
        <v>26</v>
      </c>
      <c r="AA118" s="1" t="n">
        <f aca="false">Z118-Y118</f>
        <v>14</v>
      </c>
      <c r="AB118" s="1" t="n">
        <v>3</v>
      </c>
      <c r="AC118" s="1" t="n">
        <v>3</v>
      </c>
      <c r="AD118" s="1" t="n">
        <f aca="false">AC118-AB118</f>
        <v>0</v>
      </c>
      <c r="AE118" s="1" t="n">
        <v>3</v>
      </c>
      <c r="AF118" s="1" t="n">
        <v>5</v>
      </c>
      <c r="AG118" s="1" t="n">
        <f aca="false">AF118-AE118</f>
        <v>2</v>
      </c>
    </row>
    <row r="119" customFormat="false" ht="16" hidden="false" customHeight="false" outlineLevel="0" collapsed="false">
      <c r="D119" s="1" t="n">
        <v>2</v>
      </c>
      <c r="E119" s="1" t="n">
        <v>2</v>
      </c>
      <c r="F119" s="1" t="n">
        <f aca="false">E119-D119</f>
        <v>0</v>
      </c>
      <c r="G119" s="1" t="n">
        <v>1</v>
      </c>
      <c r="H119" s="1" t="n">
        <v>1</v>
      </c>
      <c r="I119" s="1" t="n">
        <f aca="false">H119-G119</f>
        <v>0</v>
      </c>
      <c r="J119" s="1" t="n">
        <v>4</v>
      </c>
      <c r="K119" s="1" t="n">
        <v>4</v>
      </c>
      <c r="L119" s="1" t="n">
        <f aca="false">K119-J119</f>
        <v>0</v>
      </c>
      <c r="M119" s="1" t="n">
        <v>2</v>
      </c>
      <c r="N119" s="1" t="n">
        <v>2</v>
      </c>
      <c r="O119" s="1" t="n">
        <f aca="false">N119-M119</f>
        <v>0</v>
      </c>
      <c r="P119" s="1" t="n">
        <v>2</v>
      </c>
      <c r="Q119" s="1" t="n">
        <v>2</v>
      </c>
      <c r="R119" s="1" t="n">
        <f aca="false">Q119-P119</f>
        <v>0</v>
      </c>
      <c r="S119" s="1" t="n">
        <v>3</v>
      </c>
      <c r="T119" s="1" t="n">
        <v>10</v>
      </c>
      <c r="U119" s="1" t="n">
        <f aca="false">T119-S119</f>
        <v>7</v>
      </c>
      <c r="V119" s="1" t="n">
        <v>2</v>
      </c>
      <c r="W119" s="1" t="n">
        <v>3</v>
      </c>
      <c r="X119" s="1" t="n">
        <f aca="false">W119-V119</f>
        <v>1</v>
      </c>
      <c r="Y119" s="1" t="n">
        <v>6</v>
      </c>
      <c r="Z119" s="1" t="n">
        <v>8</v>
      </c>
      <c r="AA119" s="1" t="n">
        <f aca="false">Z119-Y119</f>
        <v>2</v>
      </c>
      <c r="AB119" s="1" t="n">
        <v>3</v>
      </c>
      <c r="AC119" s="1" t="n">
        <v>3</v>
      </c>
      <c r="AD119" s="1" t="n">
        <f aca="false">AC119-AB119</f>
        <v>0</v>
      </c>
      <c r="AE119" s="1" t="n">
        <v>6</v>
      </c>
      <c r="AF119" s="1" t="n">
        <v>10</v>
      </c>
      <c r="AG119" s="1" t="n">
        <f aca="false">AF119-AE119</f>
        <v>4</v>
      </c>
    </row>
    <row r="120" customFormat="false" ht="16" hidden="false" customHeight="false" outlineLevel="0" collapsed="false">
      <c r="D120" s="1" t="n">
        <v>2</v>
      </c>
      <c r="E120" s="1" t="n">
        <v>2</v>
      </c>
      <c r="F120" s="1" t="n">
        <f aca="false">E120-D120</f>
        <v>0</v>
      </c>
      <c r="G120" s="1" t="n">
        <v>1</v>
      </c>
      <c r="H120" s="1" t="n">
        <v>1</v>
      </c>
      <c r="I120" s="1" t="n">
        <f aca="false">H120-G120</f>
        <v>0</v>
      </c>
      <c r="J120" s="1" t="n">
        <v>2</v>
      </c>
      <c r="K120" s="1" t="n">
        <v>2</v>
      </c>
      <c r="L120" s="1" t="n">
        <f aca="false">K120-J120</f>
        <v>0</v>
      </c>
      <c r="M120" s="1" t="n">
        <v>3</v>
      </c>
      <c r="N120" s="1" t="n">
        <v>5</v>
      </c>
      <c r="O120" s="1" t="n">
        <f aca="false">N120-M120</f>
        <v>2</v>
      </c>
      <c r="P120" s="1" t="n">
        <v>2</v>
      </c>
      <c r="Q120" s="1" t="n">
        <v>3</v>
      </c>
      <c r="R120" s="1" t="n">
        <f aca="false">Q120-P120</f>
        <v>1</v>
      </c>
      <c r="S120" s="1" t="n">
        <v>8</v>
      </c>
      <c r="T120" s="1" t="n">
        <v>13</v>
      </c>
      <c r="U120" s="1" t="n">
        <f aca="false">T120-S120</f>
        <v>5</v>
      </c>
      <c r="V120" s="1" t="n">
        <v>2</v>
      </c>
      <c r="W120" s="1" t="n">
        <v>3</v>
      </c>
      <c r="X120" s="1" t="n">
        <f aca="false">W120-V120</f>
        <v>1</v>
      </c>
      <c r="Y120" s="1" t="n">
        <v>8</v>
      </c>
      <c r="Z120" s="1" t="n">
        <v>12</v>
      </c>
      <c r="AA120" s="1" t="n">
        <f aca="false">Z120-Y120</f>
        <v>4</v>
      </c>
      <c r="AB120" s="1" t="n">
        <v>2</v>
      </c>
      <c r="AC120" s="1" t="n">
        <v>4</v>
      </c>
      <c r="AD120" s="1" t="n">
        <f aca="false">AC120-AB120</f>
        <v>2</v>
      </c>
      <c r="AE120" s="1" t="n">
        <v>1</v>
      </c>
      <c r="AF120" s="1" t="n">
        <v>4</v>
      </c>
      <c r="AG120" s="1" t="n">
        <f aca="false">AF120-AE120</f>
        <v>3</v>
      </c>
    </row>
    <row r="121" customFormat="false" ht="16" hidden="false" customHeight="false" outlineLevel="0" collapsed="false">
      <c r="D121" s="1" t="n">
        <v>2</v>
      </c>
      <c r="E121" s="1" t="n">
        <v>2</v>
      </c>
      <c r="F121" s="1" t="n">
        <f aca="false">E121-D121</f>
        <v>0</v>
      </c>
      <c r="G121" s="1" t="n">
        <v>3</v>
      </c>
      <c r="H121" s="1" t="n">
        <v>3</v>
      </c>
      <c r="I121" s="1" t="n">
        <f aca="false">H121-G121</f>
        <v>0</v>
      </c>
      <c r="J121" s="1" t="n">
        <v>2</v>
      </c>
      <c r="K121" s="1" t="n">
        <v>2</v>
      </c>
      <c r="L121" s="1" t="n">
        <f aca="false">K121-J121</f>
        <v>0</v>
      </c>
      <c r="M121" s="1" t="n">
        <v>1</v>
      </c>
      <c r="N121" s="1" t="n">
        <v>2</v>
      </c>
      <c r="O121" s="1" t="n">
        <f aca="false">N121-M121</f>
        <v>1</v>
      </c>
      <c r="P121" s="1" t="n">
        <v>1</v>
      </c>
      <c r="Q121" s="1" t="n">
        <v>2</v>
      </c>
      <c r="R121" s="1" t="n">
        <f aca="false">Q121-P121</f>
        <v>1</v>
      </c>
      <c r="S121" s="1" t="n">
        <v>5</v>
      </c>
      <c r="T121" s="1" t="n">
        <v>8</v>
      </c>
      <c r="U121" s="1" t="n">
        <f aca="false">T121-S121</f>
        <v>3</v>
      </c>
      <c r="V121" s="1" t="n">
        <v>2</v>
      </c>
      <c r="W121" s="1" t="n">
        <v>3</v>
      </c>
      <c r="X121" s="1" t="n">
        <f aca="false">W121-V121</f>
        <v>1</v>
      </c>
      <c r="Y121" s="1" t="n">
        <v>4</v>
      </c>
      <c r="Z121" s="1" t="n">
        <v>6</v>
      </c>
      <c r="AA121" s="1" t="n">
        <f aca="false">Z121-Y121</f>
        <v>2</v>
      </c>
      <c r="AB121" s="1" t="n">
        <v>2</v>
      </c>
      <c r="AC121" s="1" t="n">
        <v>4</v>
      </c>
      <c r="AD121" s="1" t="n">
        <f aca="false">AC121-AB121</f>
        <v>2</v>
      </c>
      <c r="AE121" s="1" t="n">
        <v>2</v>
      </c>
      <c r="AF121" s="1" t="n">
        <v>4</v>
      </c>
      <c r="AG121" s="1" t="n">
        <f aca="false">AF121-AE121</f>
        <v>2</v>
      </c>
    </row>
    <row r="122" customFormat="false" ht="16" hidden="false" customHeight="false" outlineLevel="0" collapsed="false">
      <c r="D122" s="1" t="n">
        <v>2</v>
      </c>
      <c r="E122" s="1" t="n">
        <v>2</v>
      </c>
      <c r="F122" s="1" t="n">
        <f aca="false">E122-D122</f>
        <v>0</v>
      </c>
      <c r="G122" s="1" t="n">
        <v>4</v>
      </c>
      <c r="H122" s="1" t="n">
        <v>4</v>
      </c>
      <c r="I122" s="1" t="n">
        <f aca="false">H122-G122</f>
        <v>0</v>
      </c>
      <c r="J122" s="1" t="n">
        <v>3</v>
      </c>
      <c r="K122" s="1" t="n">
        <v>3</v>
      </c>
      <c r="L122" s="1" t="n">
        <f aca="false">K122-J122</f>
        <v>0</v>
      </c>
      <c r="M122" s="1" t="n">
        <v>1</v>
      </c>
      <c r="N122" s="1" t="n">
        <v>3</v>
      </c>
      <c r="O122" s="1" t="n">
        <f aca="false">N122-M122</f>
        <v>2</v>
      </c>
      <c r="P122" s="1" t="n">
        <v>4</v>
      </c>
      <c r="Q122" s="1" t="n">
        <v>4</v>
      </c>
      <c r="R122" s="1" t="n">
        <f aca="false">Q122-P122</f>
        <v>0</v>
      </c>
      <c r="S122" s="1" t="n">
        <v>2</v>
      </c>
      <c r="T122" s="1" t="n">
        <v>6</v>
      </c>
      <c r="U122" s="1" t="n">
        <f aca="false">T122-S122</f>
        <v>4</v>
      </c>
      <c r="V122" s="1" t="n">
        <v>3</v>
      </c>
      <c r="W122" s="1" t="n">
        <v>5</v>
      </c>
      <c r="X122" s="1" t="n">
        <f aca="false">W122-V122</f>
        <v>2</v>
      </c>
      <c r="Y122" s="1" t="n">
        <v>3</v>
      </c>
      <c r="Z122" s="1" t="n">
        <v>5</v>
      </c>
      <c r="AA122" s="1" t="n">
        <f aca="false">Z122-Y122</f>
        <v>2</v>
      </c>
      <c r="AB122" s="1" t="n">
        <v>2</v>
      </c>
      <c r="AC122" s="1" t="n">
        <v>4</v>
      </c>
      <c r="AD122" s="1" t="n">
        <f aca="false">AC122-AB122</f>
        <v>2</v>
      </c>
      <c r="AE122" s="1" t="n">
        <v>2</v>
      </c>
      <c r="AF122" s="1" t="n">
        <v>2</v>
      </c>
      <c r="AG122" s="1" t="n">
        <f aca="false">AF122-AE122</f>
        <v>0</v>
      </c>
    </row>
    <row r="123" customFormat="false" ht="16" hidden="false" customHeight="false" outlineLevel="0" collapsed="false">
      <c r="D123" s="1" t="n">
        <v>2</v>
      </c>
      <c r="E123" s="1" t="n">
        <v>2</v>
      </c>
      <c r="F123" s="1" t="n">
        <f aca="false">E123-D123</f>
        <v>0</v>
      </c>
      <c r="G123" s="1" t="n">
        <v>2</v>
      </c>
      <c r="H123" s="1" t="n">
        <v>2</v>
      </c>
      <c r="I123" s="1" t="n">
        <f aca="false">H123-G123</f>
        <v>0</v>
      </c>
      <c r="J123" s="1" t="n">
        <v>2</v>
      </c>
      <c r="K123" s="1" t="n">
        <v>2</v>
      </c>
      <c r="L123" s="1" t="n">
        <f aca="false">K123-J123</f>
        <v>0</v>
      </c>
      <c r="M123" s="1" t="n">
        <v>2</v>
      </c>
      <c r="N123" s="1" t="n">
        <v>6</v>
      </c>
      <c r="O123" s="1" t="n">
        <f aca="false">N123-M123</f>
        <v>4</v>
      </c>
      <c r="P123" s="1" t="n">
        <v>1</v>
      </c>
      <c r="Q123" s="1" t="n">
        <v>2</v>
      </c>
      <c r="R123" s="1" t="n">
        <f aca="false">Q123-P123</f>
        <v>1</v>
      </c>
      <c r="S123" s="1" t="n">
        <v>2</v>
      </c>
      <c r="T123" s="1" t="n">
        <v>8</v>
      </c>
      <c r="U123" s="1" t="n">
        <f aca="false">T123-S123</f>
        <v>6</v>
      </c>
      <c r="V123" s="1" t="n">
        <v>4</v>
      </c>
      <c r="W123" s="1" t="n">
        <v>6</v>
      </c>
      <c r="X123" s="1" t="n">
        <f aca="false">W123-V123</f>
        <v>2</v>
      </c>
      <c r="Y123" s="1" t="n">
        <v>1</v>
      </c>
      <c r="Z123" s="1" t="n">
        <v>4</v>
      </c>
      <c r="AA123" s="1" t="n">
        <f aca="false">Z123-Y123</f>
        <v>3</v>
      </c>
      <c r="AB123" s="1" t="n">
        <v>2</v>
      </c>
      <c r="AC123" s="1" t="n">
        <v>2</v>
      </c>
      <c r="AD123" s="1" t="n">
        <f aca="false">AC123-AB123</f>
        <v>0</v>
      </c>
      <c r="AE123" s="1" t="n">
        <v>2</v>
      </c>
      <c r="AF123" s="1" t="n">
        <v>4</v>
      </c>
      <c r="AG123" s="1" t="n">
        <f aca="false">AF123-AE123</f>
        <v>2</v>
      </c>
    </row>
    <row r="124" customFormat="false" ht="16" hidden="false" customHeight="false" outlineLevel="0" collapsed="false">
      <c r="D124" s="1" t="n">
        <v>2</v>
      </c>
      <c r="E124" s="1" t="n">
        <v>2</v>
      </c>
      <c r="F124" s="1" t="n">
        <f aca="false">E124-D124</f>
        <v>0</v>
      </c>
      <c r="G124" s="1" t="n">
        <v>3</v>
      </c>
      <c r="H124" s="1" t="n">
        <v>3</v>
      </c>
      <c r="I124" s="1" t="n">
        <f aca="false">H124-G124</f>
        <v>0</v>
      </c>
      <c r="J124" s="1" t="n">
        <v>2</v>
      </c>
      <c r="K124" s="1" t="n">
        <v>2</v>
      </c>
      <c r="L124" s="1" t="n">
        <f aca="false">K124-J124</f>
        <v>0</v>
      </c>
      <c r="M124" s="1" t="n">
        <v>4</v>
      </c>
      <c r="N124" s="1" t="n">
        <v>4</v>
      </c>
      <c r="O124" s="1" t="n">
        <f aca="false">N124-M124</f>
        <v>0</v>
      </c>
      <c r="P124" s="1" t="n">
        <v>1</v>
      </c>
      <c r="Q124" s="1" t="n">
        <v>1</v>
      </c>
      <c r="R124" s="1" t="n">
        <f aca="false">Q124-P124</f>
        <v>0</v>
      </c>
      <c r="S124" s="1" t="n">
        <v>2</v>
      </c>
      <c r="T124" s="1" t="n">
        <v>6</v>
      </c>
      <c r="U124" s="1" t="n">
        <f aca="false">T124-S124</f>
        <v>4</v>
      </c>
      <c r="V124" s="1" t="n">
        <v>4</v>
      </c>
      <c r="W124" s="1" t="n">
        <v>5</v>
      </c>
      <c r="X124" s="1" t="n">
        <f aca="false">W124-V124</f>
        <v>1</v>
      </c>
      <c r="Y124" s="1" t="n">
        <v>3</v>
      </c>
      <c r="Z124" s="1" t="n">
        <v>8</v>
      </c>
      <c r="AA124" s="1" t="n">
        <f aca="false">Z124-Y124</f>
        <v>5</v>
      </c>
      <c r="AB124" s="1" t="n">
        <v>2</v>
      </c>
      <c r="AC124" s="1" t="n">
        <v>3</v>
      </c>
      <c r="AD124" s="1" t="n">
        <f aca="false">AC124-AB124</f>
        <v>1</v>
      </c>
      <c r="AE124" s="1" t="n">
        <v>4</v>
      </c>
      <c r="AF124" s="1" t="n">
        <v>6</v>
      </c>
      <c r="AG124" s="1" t="n">
        <f aca="false">AF124-AE124</f>
        <v>2</v>
      </c>
    </row>
    <row r="125" customFormat="false" ht="16" hidden="false" customHeight="false" outlineLevel="0" collapsed="false">
      <c r="D125" s="1" t="n">
        <v>1</v>
      </c>
      <c r="E125" s="1" t="n">
        <v>1</v>
      </c>
      <c r="F125" s="1" t="n">
        <f aca="false">E125-D125</f>
        <v>0</v>
      </c>
      <c r="G125" s="1" t="n">
        <v>2</v>
      </c>
      <c r="H125" s="1" t="n">
        <v>2</v>
      </c>
      <c r="I125" s="1" t="n">
        <f aca="false">H125-G125</f>
        <v>0</v>
      </c>
      <c r="J125" s="1" t="n">
        <v>2</v>
      </c>
      <c r="K125" s="1" t="n">
        <v>2</v>
      </c>
      <c r="L125" s="1" t="n">
        <f aca="false">K125-J125</f>
        <v>0</v>
      </c>
      <c r="M125" s="1" t="n">
        <v>4</v>
      </c>
      <c r="N125" s="1" t="n">
        <v>4</v>
      </c>
      <c r="O125" s="1" t="n">
        <f aca="false">N125-M125</f>
        <v>0</v>
      </c>
      <c r="P125" s="1" t="n">
        <v>1</v>
      </c>
      <c r="Q125" s="1" t="n">
        <v>2</v>
      </c>
      <c r="R125" s="1" t="n">
        <f aca="false">Q125-P125</f>
        <v>1</v>
      </c>
      <c r="S125" s="1" t="n">
        <v>2</v>
      </c>
      <c r="T125" s="1" t="n">
        <v>2</v>
      </c>
      <c r="U125" s="1" t="n">
        <f aca="false">T125-S125</f>
        <v>0</v>
      </c>
      <c r="V125" s="1" t="n">
        <v>2</v>
      </c>
      <c r="W125" s="1" t="n">
        <v>2</v>
      </c>
      <c r="X125" s="1" t="n">
        <f aca="false">W125-V125</f>
        <v>0</v>
      </c>
      <c r="Y125" s="1" t="n">
        <v>9</v>
      </c>
      <c r="Z125" s="1" t="n">
        <v>21</v>
      </c>
      <c r="AA125" s="1" t="n">
        <f aca="false">Z125-Y125</f>
        <v>12</v>
      </c>
      <c r="AB125" s="1" t="n">
        <v>2</v>
      </c>
      <c r="AC125" s="1" t="n">
        <v>4</v>
      </c>
      <c r="AD125" s="1" t="n">
        <f aca="false">AC125-AB125</f>
        <v>2</v>
      </c>
      <c r="AE125" s="1" t="n">
        <v>2</v>
      </c>
      <c r="AF125" s="1" t="n">
        <v>2</v>
      </c>
      <c r="AG125" s="1" t="n">
        <f aca="false">AF125-AE125</f>
        <v>0</v>
      </c>
    </row>
    <row r="126" customFormat="false" ht="16" hidden="false" customHeight="false" outlineLevel="0" collapsed="false">
      <c r="D126" s="1" t="n">
        <v>2</v>
      </c>
      <c r="E126" s="1" t="n">
        <v>2</v>
      </c>
      <c r="F126" s="1" t="n">
        <f aca="false">E126-D126</f>
        <v>0</v>
      </c>
      <c r="G126" s="1" t="n">
        <v>3</v>
      </c>
      <c r="H126" s="1" t="n">
        <v>3</v>
      </c>
      <c r="I126" s="1" t="n">
        <f aca="false">H126-G126</f>
        <v>0</v>
      </c>
      <c r="J126" s="1" t="n">
        <v>2</v>
      </c>
      <c r="K126" s="1" t="n">
        <v>2</v>
      </c>
      <c r="L126" s="1" t="n">
        <f aca="false">K126-J126</f>
        <v>0</v>
      </c>
      <c r="M126" s="1" t="n">
        <v>7</v>
      </c>
      <c r="N126" s="1" t="n">
        <v>10</v>
      </c>
      <c r="O126" s="1" t="n">
        <f aca="false">N126-M126</f>
        <v>3</v>
      </c>
      <c r="P126" s="1" t="n">
        <v>2</v>
      </c>
      <c r="Q126" s="1" t="n">
        <v>2</v>
      </c>
      <c r="R126" s="1" t="n">
        <f aca="false">Q126-P126</f>
        <v>0</v>
      </c>
      <c r="S126" s="1" t="n">
        <v>10</v>
      </c>
      <c r="T126" s="1" t="n">
        <v>13</v>
      </c>
      <c r="U126" s="1" t="n">
        <f aca="false">T126-S126</f>
        <v>3</v>
      </c>
      <c r="V126" s="1" t="n">
        <v>2</v>
      </c>
      <c r="W126" s="1" t="n">
        <v>2</v>
      </c>
      <c r="X126" s="1" t="n">
        <f aca="false">W126-V126</f>
        <v>0</v>
      </c>
      <c r="Y126" s="1" t="n">
        <v>2</v>
      </c>
      <c r="Z126" s="1" t="n">
        <v>6</v>
      </c>
      <c r="AA126" s="1" t="n">
        <f aca="false">Z126-Y126</f>
        <v>4</v>
      </c>
      <c r="AB126" s="1" t="n">
        <v>1</v>
      </c>
      <c r="AC126" s="1" t="n">
        <v>4</v>
      </c>
      <c r="AD126" s="1" t="n">
        <f aca="false">AC126-AB126</f>
        <v>3</v>
      </c>
      <c r="AE126" s="1" t="n">
        <v>4</v>
      </c>
      <c r="AF126" s="1" t="n">
        <v>4</v>
      </c>
      <c r="AG126" s="1" t="n">
        <f aca="false">AF126-AE126</f>
        <v>0</v>
      </c>
    </row>
    <row r="127" customFormat="false" ht="16" hidden="false" customHeight="false" outlineLevel="0" collapsed="false">
      <c r="D127" s="1" t="n">
        <v>1</v>
      </c>
      <c r="E127" s="1" t="n">
        <v>1</v>
      </c>
      <c r="F127" s="1" t="n">
        <f aca="false">E127-D127</f>
        <v>0</v>
      </c>
      <c r="G127" s="1" t="n">
        <v>2</v>
      </c>
      <c r="H127" s="1" t="n">
        <v>2</v>
      </c>
      <c r="I127" s="1" t="n">
        <f aca="false">H127-G127</f>
        <v>0</v>
      </c>
      <c r="J127" s="1" t="n">
        <v>1</v>
      </c>
      <c r="K127" s="1" t="n">
        <v>2</v>
      </c>
      <c r="L127" s="1" t="n">
        <f aca="false">K127-J127</f>
        <v>1</v>
      </c>
      <c r="M127" s="1" t="n">
        <v>1</v>
      </c>
      <c r="N127" s="1" t="n">
        <v>2</v>
      </c>
      <c r="O127" s="1" t="n">
        <f aca="false">N127-M127</f>
        <v>1</v>
      </c>
      <c r="P127" s="1" t="n">
        <v>1</v>
      </c>
      <c r="Q127" s="1" t="n">
        <v>3</v>
      </c>
      <c r="R127" s="1" t="n">
        <f aca="false">Q127-P127</f>
        <v>2</v>
      </c>
      <c r="S127" s="1" t="n">
        <v>2</v>
      </c>
      <c r="T127" s="1" t="n">
        <v>7</v>
      </c>
      <c r="U127" s="1" t="n">
        <f aca="false">T127-S127</f>
        <v>5</v>
      </c>
      <c r="V127" s="1" t="n">
        <v>2</v>
      </c>
      <c r="W127" s="1" t="n">
        <v>2</v>
      </c>
      <c r="X127" s="1" t="n">
        <f aca="false">W127-V127</f>
        <v>0</v>
      </c>
      <c r="Y127" s="1" t="n">
        <v>2</v>
      </c>
      <c r="Z127" s="1" t="n">
        <v>4</v>
      </c>
      <c r="AA127" s="1" t="n">
        <f aca="false">Z127-Y127</f>
        <v>2</v>
      </c>
      <c r="AB127" s="1" t="n">
        <v>2</v>
      </c>
      <c r="AC127" s="1" t="n">
        <v>4</v>
      </c>
      <c r="AD127" s="1" t="n">
        <f aca="false">AC127-AB127</f>
        <v>2</v>
      </c>
      <c r="AE127" s="1" t="n">
        <v>4</v>
      </c>
      <c r="AF127" s="1" t="n">
        <v>4</v>
      </c>
      <c r="AG127" s="1" t="n">
        <f aca="false">AF127-AE127</f>
        <v>0</v>
      </c>
    </row>
    <row r="128" customFormat="false" ht="16" hidden="false" customHeight="false" outlineLevel="0" collapsed="false">
      <c r="D128" s="1" t="n">
        <v>1</v>
      </c>
      <c r="E128" s="1" t="n">
        <v>1</v>
      </c>
      <c r="F128" s="1" t="n">
        <f aca="false">E128-D128</f>
        <v>0</v>
      </c>
      <c r="G128" s="1" t="n">
        <v>1</v>
      </c>
      <c r="H128" s="1" t="n">
        <v>1</v>
      </c>
      <c r="I128" s="1" t="n">
        <f aca="false">H128-G128</f>
        <v>0</v>
      </c>
      <c r="J128" s="1" t="n">
        <v>2</v>
      </c>
      <c r="K128" s="1" t="n">
        <v>2</v>
      </c>
      <c r="L128" s="1" t="n">
        <f aca="false">K128-J128</f>
        <v>0</v>
      </c>
      <c r="M128" s="1" t="n">
        <v>2</v>
      </c>
      <c r="N128" s="1" t="n">
        <v>4</v>
      </c>
      <c r="O128" s="1" t="n">
        <f aca="false">N128-M128</f>
        <v>2</v>
      </c>
      <c r="P128" s="1" t="n">
        <v>1</v>
      </c>
      <c r="Q128" s="1" t="n">
        <v>2</v>
      </c>
      <c r="R128" s="1" t="n">
        <f aca="false">Q128-P128</f>
        <v>1</v>
      </c>
      <c r="S128" s="1" t="n">
        <v>6</v>
      </c>
      <c r="T128" s="1" t="n">
        <v>10</v>
      </c>
      <c r="U128" s="1" t="n">
        <f aca="false">T128-S128</f>
        <v>4</v>
      </c>
      <c r="V128" s="1" t="n">
        <v>2</v>
      </c>
      <c r="W128" s="1" t="n">
        <v>2</v>
      </c>
      <c r="X128" s="1" t="n">
        <f aca="false">W128-V128</f>
        <v>0</v>
      </c>
      <c r="Y128" s="1" t="n">
        <v>2</v>
      </c>
      <c r="Z128" s="1" t="n">
        <v>5</v>
      </c>
      <c r="AA128" s="1" t="n">
        <f aca="false">Z128-Y128</f>
        <v>3</v>
      </c>
      <c r="AB128" s="1" t="n">
        <v>2</v>
      </c>
      <c r="AC128" s="1" t="n">
        <v>2</v>
      </c>
      <c r="AD128" s="1" t="n">
        <f aca="false">AC128-AB128</f>
        <v>0</v>
      </c>
      <c r="AE128" s="1" t="n">
        <v>6</v>
      </c>
      <c r="AF128" s="1" t="n">
        <v>10</v>
      </c>
      <c r="AG128" s="1" t="n">
        <f aca="false">AF128-AE128</f>
        <v>4</v>
      </c>
    </row>
    <row r="129" customFormat="false" ht="16" hidden="false" customHeight="false" outlineLevel="0" collapsed="false">
      <c r="D129" s="1" t="n">
        <v>2</v>
      </c>
      <c r="E129" s="1" t="n">
        <v>2</v>
      </c>
      <c r="F129" s="1" t="n">
        <f aca="false">E129-D129</f>
        <v>0</v>
      </c>
      <c r="G129" s="1" t="n">
        <v>2</v>
      </c>
      <c r="H129" s="1" t="n">
        <v>2</v>
      </c>
      <c r="I129" s="1" t="n">
        <f aca="false">H129-G129</f>
        <v>0</v>
      </c>
      <c r="J129" s="1" t="n">
        <v>2</v>
      </c>
      <c r="K129" s="1" t="n">
        <v>2</v>
      </c>
      <c r="L129" s="1" t="n">
        <f aca="false">K129-J129</f>
        <v>0</v>
      </c>
      <c r="M129" s="1" t="n">
        <v>3</v>
      </c>
      <c r="N129" s="1" t="n">
        <v>5</v>
      </c>
      <c r="O129" s="1" t="n">
        <f aca="false">N129-M129</f>
        <v>2</v>
      </c>
      <c r="P129" s="1" t="n">
        <v>1</v>
      </c>
      <c r="Q129" s="1" t="n">
        <v>2</v>
      </c>
      <c r="R129" s="1" t="n">
        <f aca="false">Q129-P129</f>
        <v>1</v>
      </c>
      <c r="S129" s="1" t="n">
        <v>4</v>
      </c>
      <c r="T129" s="1" t="n">
        <v>6</v>
      </c>
      <c r="U129" s="1" t="n">
        <f aca="false">T129-S129</f>
        <v>2</v>
      </c>
      <c r="V129" s="1" t="n">
        <v>2</v>
      </c>
      <c r="W129" s="1" t="n">
        <v>3</v>
      </c>
      <c r="X129" s="1" t="n">
        <f aca="false">W129-V129</f>
        <v>1</v>
      </c>
      <c r="Y129" s="1" t="n">
        <v>6</v>
      </c>
      <c r="Z129" s="1" t="n">
        <v>9</v>
      </c>
      <c r="AA129" s="1" t="n">
        <f aca="false">Z129-Y129</f>
        <v>3</v>
      </c>
      <c r="AB129" s="1" t="n">
        <v>1</v>
      </c>
      <c r="AC129" s="1" t="n">
        <v>2</v>
      </c>
      <c r="AD129" s="1" t="n">
        <f aca="false">AC129-AB129</f>
        <v>1</v>
      </c>
      <c r="AE129" s="1" t="n">
        <v>2</v>
      </c>
      <c r="AF129" s="1" t="n">
        <v>2</v>
      </c>
      <c r="AG129" s="1" t="n">
        <f aca="false">AF129-AE129</f>
        <v>0</v>
      </c>
    </row>
    <row r="130" customFormat="false" ht="16" hidden="false" customHeight="false" outlineLevel="0" collapsed="false">
      <c r="D130" s="1" t="n">
        <v>1</v>
      </c>
      <c r="E130" s="1" t="n">
        <v>2</v>
      </c>
      <c r="F130" s="1" t="n">
        <f aca="false">E130-D130</f>
        <v>1</v>
      </c>
      <c r="G130" s="1" t="n">
        <v>1</v>
      </c>
      <c r="H130" s="1" t="n">
        <v>1</v>
      </c>
      <c r="I130" s="1" t="n">
        <f aca="false">H130-G130</f>
        <v>0</v>
      </c>
      <c r="J130" s="1" t="n">
        <v>2</v>
      </c>
      <c r="K130" s="1" t="n">
        <v>2</v>
      </c>
      <c r="L130" s="1" t="n">
        <f aca="false">K130-J130</f>
        <v>0</v>
      </c>
      <c r="M130" s="1" t="n">
        <v>2</v>
      </c>
      <c r="N130" s="1" t="n">
        <v>5</v>
      </c>
      <c r="O130" s="1" t="n">
        <f aca="false">N130-M130</f>
        <v>3</v>
      </c>
      <c r="P130" s="1" t="n">
        <v>1</v>
      </c>
      <c r="Q130" s="1" t="n">
        <v>1</v>
      </c>
      <c r="R130" s="1" t="n">
        <f aca="false">Q130-P130</f>
        <v>0</v>
      </c>
      <c r="S130" s="1" t="n">
        <v>3</v>
      </c>
      <c r="T130" s="1" t="n">
        <v>7</v>
      </c>
      <c r="U130" s="1" t="n">
        <f aca="false">T130-S130</f>
        <v>4</v>
      </c>
      <c r="V130" s="1" t="n">
        <v>2</v>
      </c>
      <c r="W130" s="1" t="n">
        <v>3</v>
      </c>
      <c r="X130" s="1" t="n">
        <f aca="false">W130-V130</f>
        <v>1</v>
      </c>
      <c r="Y130" s="1" t="n">
        <v>2</v>
      </c>
      <c r="Z130" s="1" t="n">
        <v>6</v>
      </c>
      <c r="AA130" s="1" t="n">
        <f aca="false">Z130-Y130</f>
        <v>4</v>
      </c>
      <c r="AB130" s="1" t="n">
        <v>2</v>
      </c>
      <c r="AC130" s="1" t="n">
        <v>2</v>
      </c>
      <c r="AD130" s="1" t="n">
        <f aca="false">AC130-AB130</f>
        <v>0</v>
      </c>
      <c r="AE130" s="1" t="n">
        <v>6</v>
      </c>
      <c r="AF130" s="1" t="n">
        <v>10</v>
      </c>
      <c r="AG130" s="1" t="n">
        <f aca="false">AF130-AE130</f>
        <v>4</v>
      </c>
    </row>
    <row r="131" customFormat="false" ht="16" hidden="false" customHeight="false" outlineLevel="0" collapsed="false">
      <c r="D131" s="1" t="n">
        <v>3</v>
      </c>
      <c r="E131" s="1" t="n">
        <v>3</v>
      </c>
      <c r="F131" s="1" t="n">
        <f aca="false">E131-D131</f>
        <v>0</v>
      </c>
      <c r="G131" s="1" t="n">
        <v>2</v>
      </c>
      <c r="H131" s="1" t="n">
        <v>2</v>
      </c>
      <c r="I131" s="1" t="n">
        <f aca="false">H131-G131</f>
        <v>0</v>
      </c>
      <c r="J131" s="1" t="n">
        <v>2</v>
      </c>
      <c r="K131" s="1" t="n">
        <v>2</v>
      </c>
      <c r="L131" s="1" t="n">
        <f aca="false">K131-J131</f>
        <v>0</v>
      </c>
      <c r="M131" s="1" t="n">
        <v>2</v>
      </c>
      <c r="N131" s="1" t="n">
        <v>2</v>
      </c>
      <c r="O131" s="1" t="n">
        <f aca="false">N131-M131</f>
        <v>0</v>
      </c>
      <c r="P131" s="1" t="n">
        <v>1</v>
      </c>
      <c r="Q131" s="1" t="n">
        <v>1</v>
      </c>
      <c r="R131" s="1" t="n">
        <f aca="false">Q131-P131</f>
        <v>0</v>
      </c>
      <c r="S131" s="1" t="n">
        <v>5</v>
      </c>
      <c r="T131" s="1" t="n">
        <v>12</v>
      </c>
      <c r="U131" s="1" t="n">
        <f aca="false">T131-S131</f>
        <v>7</v>
      </c>
      <c r="V131" s="1" t="n">
        <v>2</v>
      </c>
      <c r="W131" s="1" t="n">
        <v>3</v>
      </c>
      <c r="X131" s="1" t="n">
        <f aca="false">W131-V131</f>
        <v>1</v>
      </c>
      <c r="Y131" s="1" t="n">
        <v>1</v>
      </c>
      <c r="Z131" s="1" t="n">
        <v>6</v>
      </c>
      <c r="AA131" s="1" t="n">
        <f aca="false">Z131-Y131</f>
        <v>5</v>
      </c>
      <c r="AB131" s="1" t="n">
        <v>1</v>
      </c>
      <c r="AC131" s="1" t="n">
        <v>3</v>
      </c>
      <c r="AD131" s="1" t="n">
        <f aca="false">AC131-AB131</f>
        <v>2</v>
      </c>
      <c r="AE131" s="1" t="n">
        <v>6</v>
      </c>
      <c r="AF131" s="1" t="n">
        <v>12</v>
      </c>
      <c r="AG131" s="1" t="n">
        <f aca="false">AF131-AE131</f>
        <v>6</v>
      </c>
    </row>
    <row r="132" customFormat="false" ht="16" hidden="false" customHeight="false" outlineLevel="0" collapsed="false">
      <c r="D132" s="1" t="n">
        <v>3</v>
      </c>
      <c r="E132" s="1" t="n">
        <v>3</v>
      </c>
      <c r="F132" s="1" t="n">
        <f aca="false">E132-D132</f>
        <v>0</v>
      </c>
      <c r="G132" s="1" t="n">
        <v>2</v>
      </c>
      <c r="H132" s="1" t="n">
        <v>2</v>
      </c>
      <c r="I132" s="1" t="n">
        <f aca="false">H132-G132</f>
        <v>0</v>
      </c>
      <c r="J132" s="1" t="n">
        <v>1</v>
      </c>
      <c r="K132" s="1" t="n">
        <v>1</v>
      </c>
      <c r="L132" s="1" t="n">
        <f aca="false">K132-J132</f>
        <v>0</v>
      </c>
      <c r="M132" s="1" t="n">
        <v>2</v>
      </c>
      <c r="N132" s="1" t="n">
        <v>6</v>
      </c>
      <c r="O132" s="1" t="n">
        <f aca="false">N132-M132</f>
        <v>4</v>
      </c>
      <c r="P132" s="1" t="n">
        <v>2</v>
      </c>
      <c r="Q132" s="1" t="n">
        <v>5</v>
      </c>
      <c r="R132" s="1" t="n">
        <f aca="false">Q132-P132</f>
        <v>3</v>
      </c>
      <c r="S132" s="1" t="n">
        <v>3</v>
      </c>
      <c r="T132" s="1" t="n">
        <v>9</v>
      </c>
      <c r="U132" s="1" t="n">
        <f aca="false">T132-S132</f>
        <v>6</v>
      </c>
      <c r="V132" s="1" t="n">
        <v>2</v>
      </c>
      <c r="W132" s="1" t="n">
        <v>3</v>
      </c>
      <c r="X132" s="1" t="n">
        <f aca="false">W132-V132</f>
        <v>1</v>
      </c>
      <c r="Y132" s="1" t="n">
        <v>2</v>
      </c>
      <c r="Z132" s="1" t="n">
        <v>8</v>
      </c>
      <c r="AA132" s="1" t="n">
        <f aca="false">Z132-Y132</f>
        <v>6</v>
      </c>
      <c r="AB132" s="1" t="n">
        <v>1</v>
      </c>
      <c r="AC132" s="1" t="n">
        <v>1</v>
      </c>
      <c r="AD132" s="1" t="n">
        <f aca="false">AC132-AB132</f>
        <v>0</v>
      </c>
      <c r="AE132" s="1" t="n">
        <v>8</v>
      </c>
      <c r="AF132" s="1" t="n">
        <v>12</v>
      </c>
      <c r="AG132" s="1" t="n">
        <f aca="false">AF132-AE132</f>
        <v>4</v>
      </c>
    </row>
    <row r="133" customFormat="false" ht="16" hidden="false" customHeight="false" outlineLevel="0" collapsed="false">
      <c r="D133" s="1" t="n">
        <v>1</v>
      </c>
      <c r="E133" s="1" t="n">
        <v>1</v>
      </c>
      <c r="F133" s="1" t="n">
        <f aca="false">E133-D133</f>
        <v>0</v>
      </c>
      <c r="G133" s="1" t="n">
        <v>2</v>
      </c>
      <c r="H133" s="1" t="n">
        <v>3</v>
      </c>
      <c r="I133" s="1" t="n">
        <f aca="false">H133-G133</f>
        <v>1</v>
      </c>
      <c r="J133" s="1" t="n">
        <v>2</v>
      </c>
      <c r="K133" s="1" t="n">
        <v>2</v>
      </c>
      <c r="L133" s="1" t="n">
        <f aca="false">K133-J133</f>
        <v>0</v>
      </c>
      <c r="M133" s="1" t="n">
        <v>4</v>
      </c>
      <c r="N133" s="1" t="n">
        <v>4</v>
      </c>
      <c r="O133" s="1" t="n">
        <f aca="false">N133-M133</f>
        <v>0</v>
      </c>
      <c r="P133" s="1" t="n">
        <v>2</v>
      </c>
      <c r="Q133" s="1" t="n">
        <v>3</v>
      </c>
      <c r="R133" s="1" t="n">
        <f aca="false">Q133-P133</f>
        <v>1</v>
      </c>
      <c r="S133" s="1" t="n">
        <v>1</v>
      </c>
      <c r="T133" s="1" t="n">
        <v>5</v>
      </c>
      <c r="U133" s="1" t="n">
        <f aca="false">T133-S133</f>
        <v>4</v>
      </c>
      <c r="V133" s="1" t="n">
        <v>2</v>
      </c>
      <c r="W133" s="1" t="n">
        <v>5</v>
      </c>
      <c r="X133" s="1" t="n">
        <f aca="false">W133-V133</f>
        <v>3</v>
      </c>
      <c r="Y133" s="1" t="n">
        <v>1</v>
      </c>
      <c r="Z133" s="1" t="n">
        <v>5</v>
      </c>
      <c r="AA133" s="1" t="n">
        <f aca="false">Z133-Y133</f>
        <v>4</v>
      </c>
      <c r="AB133" s="1" t="n">
        <v>2</v>
      </c>
      <c r="AC133" s="1" t="n">
        <v>4</v>
      </c>
      <c r="AD133" s="1" t="n">
        <f aca="false">AC133-AB133</f>
        <v>2</v>
      </c>
      <c r="AE133" s="1" t="n">
        <v>8</v>
      </c>
      <c r="AF133" s="1" t="n">
        <v>14</v>
      </c>
      <c r="AG133" s="1" t="n">
        <f aca="false">AF133-AE133</f>
        <v>6</v>
      </c>
    </row>
    <row r="134" customFormat="false" ht="16" hidden="false" customHeight="false" outlineLevel="0" collapsed="false">
      <c r="D134" s="1" t="n">
        <v>2</v>
      </c>
      <c r="E134" s="1" t="n">
        <v>2</v>
      </c>
      <c r="F134" s="1" t="n">
        <f aca="false">E134-D134</f>
        <v>0</v>
      </c>
      <c r="G134" s="1" t="n">
        <v>1</v>
      </c>
      <c r="H134" s="1" t="n">
        <v>2</v>
      </c>
      <c r="I134" s="1" t="n">
        <f aca="false">H134-G134</f>
        <v>1</v>
      </c>
      <c r="J134" s="1" t="n">
        <v>2</v>
      </c>
      <c r="K134" s="1" t="n">
        <v>2</v>
      </c>
      <c r="L134" s="1" t="n">
        <f aca="false">K134-J134</f>
        <v>0</v>
      </c>
      <c r="M134" s="1" t="n">
        <v>3</v>
      </c>
      <c r="N134" s="1" t="n">
        <v>3</v>
      </c>
      <c r="O134" s="1" t="n">
        <f aca="false">N134-M134</f>
        <v>0</v>
      </c>
      <c r="P134" s="1" t="n">
        <v>2</v>
      </c>
      <c r="Q134" s="1" t="n">
        <v>4</v>
      </c>
      <c r="R134" s="1" t="n">
        <f aca="false">Q134-P134</f>
        <v>2</v>
      </c>
      <c r="S134" s="1" t="n">
        <v>6</v>
      </c>
      <c r="T134" s="1" t="n">
        <v>10</v>
      </c>
      <c r="U134" s="1" t="n">
        <f aca="false">T134-S134</f>
        <v>4</v>
      </c>
      <c r="V134" s="1" t="n">
        <v>2</v>
      </c>
      <c r="W134" s="1" t="n">
        <v>2</v>
      </c>
      <c r="X134" s="1" t="n">
        <f aca="false">W134-V134</f>
        <v>0</v>
      </c>
      <c r="Y134" s="1" t="n">
        <v>2</v>
      </c>
      <c r="Z134" s="1" t="n">
        <v>2</v>
      </c>
      <c r="AA134" s="1" t="n">
        <f aca="false">Z134-Y134</f>
        <v>0</v>
      </c>
      <c r="AB134" s="1" t="n">
        <v>5</v>
      </c>
      <c r="AC134" s="1" t="n">
        <v>7</v>
      </c>
      <c r="AD134" s="1" t="n">
        <f aca="false">AC134-AB134</f>
        <v>2</v>
      </c>
      <c r="AE134" s="1" t="n">
        <v>10</v>
      </c>
      <c r="AF134" s="1" t="n">
        <v>16</v>
      </c>
      <c r="AG134" s="1" t="n">
        <f aca="false">AF134-AE134</f>
        <v>6</v>
      </c>
    </row>
    <row r="135" customFormat="false" ht="16" hidden="false" customHeight="false" outlineLevel="0" collapsed="false">
      <c r="D135" s="1" t="n">
        <v>2</v>
      </c>
      <c r="E135" s="1" t="n">
        <v>2</v>
      </c>
      <c r="F135" s="1" t="n">
        <f aca="false">E135-D135</f>
        <v>0</v>
      </c>
      <c r="G135" s="1" t="n">
        <v>2</v>
      </c>
      <c r="H135" s="1" t="n">
        <v>2</v>
      </c>
      <c r="I135" s="1" t="n">
        <f aca="false">H135-G135</f>
        <v>0</v>
      </c>
      <c r="J135" s="1" t="n">
        <v>2</v>
      </c>
      <c r="K135" s="1" t="n">
        <v>2</v>
      </c>
      <c r="L135" s="1" t="n">
        <f aca="false">K135-J135</f>
        <v>0</v>
      </c>
      <c r="M135" s="1" t="n">
        <v>4</v>
      </c>
      <c r="N135" s="1" t="n">
        <v>4</v>
      </c>
      <c r="O135" s="1" t="n">
        <f aca="false">N135-M135</f>
        <v>0</v>
      </c>
      <c r="P135" s="1" t="n">
        <v>1</v>
      </c>
      <c r="Q135" s="1" t="n">
        <v>3</v>
      </c>
      <c r="R135" s="1" t="n">
        <f aca="false">Q135-P135</f>
        <v>2</v>
      </c>
      <c r="S135" s="1" t="n">
        <v>2</v>
      </c>
      <c r="T135" s="1" t="n">
        <v>2</v>
      </c>
      <c r="U135" s="1" t="n">
        <f aca="false">T135-S135</f>
        <v>0</v>
      </c>
      <c r="V135" s="1" t="n">
        <v>2</v>
      </c>
      <c r="W135" s="1" t="n">
        <v>4</v>
      </c>
      <c r="X135" s="1" t="n">
        <f aca="false">W135-V135</f>
        <v>2</v>
      </c>
      <c r="Y135" s="1" t="n">
        <v>2</v>
      </c>
      <c r="Z135" s="1" t="n">
        <v>10</v>
      </c>
      <c r="AA135" s="1" t="n">
        <f aca="false">Z135-Y135</f>
        <v>8</v>
      </c>
      <c r="AB135" s="1" t="n">
        <v>4</v>
      </c>
      <c r="AC135" s="1" t="n">
        <v>4</v>
      </c>
      <c r="AD135" s="1" t="n">
        <f aca="false">AC135-AB135</f>
        <v>0</v>
      </c>
      <c r="AE135" s="1" t="n">
        <v>2</v>
      </c>
      <c r="AF135" s="1" t="n">
        <v>2</v>
      </c>
      <c r="AG135" s="1" t="n">
        <f aca="false">AF135-AE135</f>
        <v>0</v>
      </c>
    </row>
    <row r="136" customFormat="false" ht="16" hidden="false" customHeight="false" outlineLevel="0" collapsed="false">
      <c r="D136" s="1" t="n">
        <v>4</v>
      </c>
      <c r="E136" s="1" t="n">
        <v>4</v>
      </c>
      <c r="F136" s="1" t="n">
        <f aca="false">E136-D136</f>
        <v>0</v>
      </c>
      <c r="G136" s="1" t="n">
        <v>4</v>
      </c>
      <c r="H136" s="1" t="n">
        <v>4</v>
      </c>
      <c r="I136" s="1" t="n">
        <f aca="false">H136-G136</f>
        <v>0</v>
      </c>
      <c r="J136" s="1" t="n">
        <v>2</v>
      </c>
      <c r="K136" s="1" t="n">
        <v>2</v>
      </c>
      <c r="L136" s="1" t="n">
        <f aca="false">K136-J136</f>
        <v>0</v>
      </c>
      <c r="M136" s="1" t="n">
        <v>3</v>
      </c>
      <c r="N136" s="1" t="n">
        <v>4</v>
      </c>
      <c r="O136" s="1" t="n">
        <f aca="false">N136-M136</f>
        <v>1</v>
      </c>
      <c r="P136" s="1" t="n">
        <v>1</v>
      </c>
      <c r="Q136" s="1" t="n">
        <v>1</v>
      </c>
      <c r="R136" s="1" t="n">
        <f aca="false">Q136-P136</f>
        <v>0</v>
      </c>
      <c r="S136" s="1" t="n">
        <v>2</v>
      </c>
      <c r="T136" s="1" t="n">
        <v>2</v>
      </c>
      <c r="U136" s="1" t="n">
        <f aca="false">T136-S136</f>
        <v>0</v>
      </c>
      <c r="V136" s="1" t="n">
        <v>2</v>
      </c>
      <c r="W136" s="1" t="n">
        <v>4</v>
      </c>
      <c r="X136" s="1" t="n">
        <f aca="false">W136-V136</f>
        <v>2</v>
      </c>
      <c r="Y136" s="1" t="n">
        <v>4</v>
      </c>
      <c r="Z136" s="1" t="n">
        <v>12</v>
      </c>
      <c r="AA136" s="1" t="n">
        <f aca="false">Z136-Y136</f>
        <v>8</v>
      </c>
      <c r="AB136" s="1" t="n">
        <v>4</v>
      </c>
      <c r="AC136" s="1" t="n">
        <v>6</v>
      </c>
      <c r="AD136" s="1" t="n">
        <f aca="false">AC136-AB136</f>
        <v>2</v>
      </c>
      <c r="AE136" s="1" t="n">
        <v>2</v>
      </c>
      <c r="AF136" s="1" t="n">
        <v>4</v>
      </c>
      <c r="AG136" s="1" t="n">
        <f aca="false">AF136-AE136</f>
        <v>2</v>
      </c>
    </row>
    <row r="137" customFormat="false" ht="16" hidden="false" customHeight="false" outlineLevel="0" collapsed="false">
      <c r="D137" s="1" t="n">
        <v>2</v>
      </c>
      <c r="E137" s="1" t="n">
        <v>2</v>
      </c>
      <c r="F137" s="1" t="n">
        <f aca="false">E137-D137</f>
        <v>0</v>
      </c>
      <c r="G137" s="1" t="n">
        <v>1</v>
      </c>
      <c r="H137" s="1" t="n">
        <v>1</v>
      </c>
      <c r="I137" s="1" t="n">
        <f aca="false">H137-G137</f>
        <v>0</v>
      </c>
      <c r="J137" s="1" t="n">
        <v>2</v>
      </c>
      <c r="K137" s="1" t="n">
        <v>2</v>
      </c>
      <c r="L137" s="1" t="n">
        <f aca="false">K137-J137</f>
        <v>0</v>
      </c>
      <c r="M137" s="1" t="n">
        <v>2</v>
      </c>
      <c r="N137" s="1" t="n">
        <v>2</v>
      </c>
      <c r="O137" s="1" t="n">
        <f aca="false">N137-M137</f>
        <v>0</v>
      </c>
      <c r="P137" s="1" t="n">
        <v>1</v>
      </c>
      <c r="Q137" s="1" t="n">
        <v>2</v>
      </c>
      <c r="R137" s="1" t="n">
        <f aca="false">Q137-P137</f>
        <v>1</v>
      </c>
      <c r="S137" s="1" t="n">
        <v>7</v>
      </c>
      <c r="T137" s="1" t="n">
        <v>21</v>
      </c>
      <c r="U137" s="1" t="n">
        <f aca="false">T137-S137</f>
        <v>14</v>
      </c>
      <c r="V137" s="1" t="n">
        <v>2</v>
      </c>
      <c r="W137" s="1" t="n">
        <v>4</v>
      </c>
      <c r="X137" s="1" t="n">
        <f aca="false">W137-V137</f>
        <v>2</v>
      </c>
      <c r="Y137" s="1" t="n">
        <v>2</v>
      </c>
      <c r="Z137" s="1" t="n">
        <v>2</v>
      </c>
      <c r="AA137" s="1" t="n">
        <f aca="false">Z137-Y137</f>
        <v>0</v>
      </c>
      <c r="AB137" s="1" t="n">
        <v>4</v>
      </c>
      <c r="AC137" s="1" t="n">
        <v>4</v>
      </c>
      <c r="AD137" s="1" t="n">
        <f aca="false">AC137-AB137</f>
        <v>0</v>
      </c>
      <c r="AE137" s="1" t="n">
        <v>2</v>
      </c>
      <c r="AF137" s="1" t="n">
        <v>4</v>
      </c>
      <c r="AG137" s="1" t="n">
        <f aca="false">AF137-AE137</f>
        <v>2</v>
      </c>
    </row>
    <row r="138" customFormat="false" ht="16" hidden="false" customHeight="false" outlineLevel="0" collapsed="false">
      <c r="D138" s="1" t="n">
        <v>1</v>
      </c>
      <c r="E138" s="1" t="n">
        <v>1</v>
      </c>
      <c r="F138" s="1" t="n">
        <f aca="false">E138-D138</f>
        <v>0</v>
      </c>
      <c r="G138" s="1" t="n">
        <v>2</v>
      </c>
      <c r="H138" s="1" t="n">
        <v>2</v>
      </c>
      <c r="I138" s="1" t="n">
        <f aca="false">H138-G138</f>
        <v>0</v>
      </c>
      <c r="J138" s="4"/>
      <c r="M138" s="1" t="n">
        <v>4</v>
      </c>
      <c r="N138" s="1" t="n">
        <v>4</v>
      </c>
      <c r="O138" s="1" t="n">
        <f aca="false">N138-M138</f>
        <v>0</v>
      </c>
      <c r="P138" s="1" t="n">
        <v>1</v>
      </c>
      <c r="Q138" s="1" t="n">
        <v>3</v>
      </c>
      <c r="R138" s="1" t="n">
        <f aca="false">Q138-P138</f>
        <v>2</v>
      </c>
      <c r="S138" s="1" t="n">
        <v>10</v>
      </c>
      <c r="T138" s="1" t="n">
        <v>26</v>
      </c>
      <c r="U138" s="1" t="n">
        <f aca="false">T138-S138</f>
        <v>16</v>
      </c>
      <c r="V138" s="1" t="n">
        <v>1</v>
      </c>
      <c r="W138" s="1" t="n">
        <v>2</v>
      </c>
      <c r="X138" s="1" t="n">
        <f aca="false">W138-V138</f>
        <v>1</v>
      </c>
      <c r="Y138" s="1" t="n">
        <v>2</v>
      </c>
      <c r="Z138" s="1" t="n">
        <v>6</v>
      </c>
      <c r="AA138" s="1" t="n">
        <f aca="false">Z138-Y138</f>
        <v>4</v>
      </c>
      <c r="AB138" s="1" t="n">
        <v>3</v>
      </c>
      <c r="AC138" s="1" t="n">
        <v>3</v>
      </c>
      <c r="AD138" s="1" t="n">
        <f aca="false">AC138-AB138</f>
        <v>0</v>
      </c>
      <c r="AE138" s="1" t="n">
        <v>2</v>
      </c>
      <c r="AF138" s="1" t="n">
        <v>2</v>
      </c>
      <c r="AG138" s="1" t="n">
        <f aca="false">AF138-AE138</f>
        <v>0</v>
      </c>
    </row>
    <row r="139" customFormat="false" ht="16" hidden="false" customHeight="false" outlineLevel="0" collapsed="false">
      <c r="D139" s="1" t="n">
        <v>2</v>
      </c>
      <c r="E139" s="1" t="n">
        <v>2</v>
      </c>
      <c r="F139" s="1" t="n">
        <f aca="false">E139-D139</f>
        <v>0</v>
      </c>
      <c r="G139" s="1" t="n">
        <v>2</v>
      </c>
      <c r="H139" s="1" t="n">
        <v>2</v>
      </c>
      <c r="I139" s="1" t="n">
        <f aca="false">H139-G139</f>
        <v>0</v>
      </c>
      <c r="M139" s="1" t="n">
        <v>2</v>
      </c>
      <c r="N139" s="1" t="n">
        <v>2</v>
      </c>
      <c r="O139" s="1" t="n">
        <f aca="false">N139-M139</f>
        <v>0</v>
      </c>
      <c r="P139" s="1" t="n">
        <v>1</v>
      </c>
      <c r="Q139" s="1" t="n">
        <v>2</v>
      </c>
      <c r="R139" s="1" t="n">
        <f aca="false">Q139-P139</f>
        <v>1</v>
      </c>
      <c r="S139" s="1" t="n">
        <v>6</v>
      </c>
      <c r="T139" s="1" t="n">
        <v>16</v>
      </c>
      <c r="U139" s="1" t="n">
        <f aca="false">T139-S139</f>
        <v>10</v>
      </c>
      <c r="V139" s="1" t="n">
        <v>1</v>
      </c>
      <c r="W139" s="1" t="n">
        <v>1</v>
      </c>
      <c r="X139" s="1" t="n">
        <f aca="false">W139-V139</f>
        <v>0</v>
      </c>
      <c r="Y139" s="1" t="n">
        <v>5</v>
      </c>
      <c r="Z139" s="1" t="n">
        <v>11</v>
      </c>
      <c r="AA139" s="1" t="n">
        <f aca="false">Z139-Y139</f>
        <v>6</v>
      </c>
      <c r="AB139" s="1" t="n">
        <v>2</v>
      </c>
      <c r="AC139" s="1" t="n">
        <v>2</v>
      </c>
      <c r="AD139" s="1" t="n">
        <f aca="false">AC139-AB139</f>
        <v>0</v>
      </c>
      <c r="AE139" s="1" t="n">
        <v>4</v>
      </c>
      <c r="AF139" s="1" t="n">
        <v>4</v>
      </c>
      <c r="AG139" s="1" t="n">
        <f aca="false">AF139-AE139</f>
        <v>0</v>
      </c>
    </row>
    <row r="140" customFormat="false" ht="16" hidden="false" customHeight="false" outlineLevel="0" collapsed="false">
      <c r="D140" s="1" t="n">
        <v>3</v>
      </c>
      <c r="E140" s="1" t="n">
        <v>3</v>
      </c>
      <c r="F140" s="1" t="n">
        <f aca="false">E140-D140</f>
        <v>0</v>
      </c>
      <c r="G140" s="1" t="n">
        <v>1</v>
      </c>
      <c r="H140" s="1" t="n">
        <v>1</v>
      </c>
      <c r="I140" s="1" t="n">
        <f aca="false">H140-G140</f>
        <v>0</v>
      </c>
      <c r="M140" s="1" t="n">
        <v>3</v>
      </c>
      <c r="N140" s="1" t="n">
        <v>3</v>
      </c>
      <c r="O140" s="1" t="n">
        <f aca="false">N140-M140</f>
        <v>0</v>
      </c>
      <c r="P140" s="1" t="n">
        <v>1</v>
      </c>
      <c r="Q140" s="1" t="n">
        <v>1</v>
      </c>
      <c r="R140" s="1" t="n">
        <f aca="false">Q140-P140</f>
        <v>0</v>
      </c>
      <c r="S140" s="1" t="n">
        <v>2</v>
      </c>
      <c r="T140" s="1" t="n">
        <v>8</v>
      </c>
      <c r="U140" s="1" t="n">
        <f aca="false">T140-S140</f>
        <v>6</v>
      </c>
      <c r="V140" s="1" t="n">
        <v>2</v>
      </c>
      <c r="W140" s="1" t="n">
        <v>4</v>
      </c>
      <c r="X140" s="1" t="n">
        <f aca="false">W140-V140</f>
        <v>2</v>
      </c>
      <c r="Y140" s="1" t="n">
        <v>2</v>
      </c>
      <c r="Z140" s="1" t="n">
        <v>5</v>
      </c>
      <c r="AA140" s="1" t="n">
        <f aca="false">Z140-Y140</f>
        <v>3</v>
      </c>
      <c r="AB140" s="1" t="n">
        <v>1</v>
      </c>
      <c r="AC140" s="1" t="n">
        <v>1</v>
      </c>
      <c r="AD140" s="1" t="n">
        <f aca="false">AC140-AB140</f>
        <v>0</v>
      </c>
      <c r="AE140" s="1" t="n">
        <v>8</v>
      </c>
      <c r="AF140" s="1" t="n">
        <v>12</v>
      </c>
      <c r="AG140" s="1" t="n">
        <f aca="false">AF140-AE140</f>
        <v>4</v>
      </c>
    </row>
    <row r="141" customFormat="false" ht="16" hidden="false" customHeight="false" outlineLevel="0" collapsed="false">
      <c r="D141" s="1" t="n">
        <v>2</v>
      </c>
      <c r="E141" s="1" t="n">
        <v>2</v>
      </c>
      <c r="F141" s="1" t="n">
        <f aca="false">E141-D141</f>
        <v>0</v>
      </c>
      <c r="G141" s="1" t="n">
        <v>2</v>
      </c>
      <c r="H141" s="1" t="n">
        <v>2</v>
      </c>
      <c r="I141" s="1" t="n">
        <f aca="false">H141-G141</f>
        <v>0</v>
      </c>
      <c r="M141" s="1" t="n">
        <v>4</v>
      </c>
      <c r="N141" s="1" t="n">
        <v>4</v>
      </c>
      <c r="O141" s="1" t="n">
        <f aca="false">N141-M141</f>
        <v>0</v>
      </c>
      <c r="P141" s="1" t="n">
        <v>2</v>
      </c>
      <c r="Q141" s="1" t="n">
        <v>2</v>
      </c>
      <c r="R141" s="1" t="n">
        <f aca="false">Q141-P141</f>
        <v>0</v>
      </c>
      <c r="S141" s="1" t="n">
        <v>4</v>
      </c>
      <c r="T141" s="1" t="n">
        <v>12</v>
      </c>
      <c r="U141" s="1" t="n">
        <f aca="false">T141-S141</f>
        <v>8</v>
      </c>
      <c r="V141" s="1" t="n">
        <v>2</v>
      </c>
      <c r="W141" s="1" t="n">
        <v>4</v>
      </c>
      <c r="X141" s="1" t="n">
        <f aca="false">W141-V141</f>
        <v>2</v>
      </c>
      <c r="Y141" s="1" t="n">
        <v>2</v>
      </c>
      <c r="Z141" s="1" t="n">
        <v>6</v>
      </c>
      <c r="AA141" s="1" t="n">
        <f aca="false">Z141-Y141</f>
        <v>4</v>
      </c>
      <c r="AB141" s="1" t="n">
        <v>4</v>
      </c>
      <c r="AC141" s="1" t="n">
        <v>5</v>
      </c>
      <c r="AD141" s="1" t="n">
        <f aca="false">AC141-AB141</f>
        <v>1</v>
      </c>
      <c r="AE141" s="1" t="n">
        <v>6</v>
      </c>
      <c r="AF141" s="1" t="n">
        <v>10</v>
      </c>
      <c r="AG141" s="1" t="n">
        <f aca="false">AF141-AE141</f>
        <v>4</v>
      </c>
    </row>
    <row r="142" customFormat="false" ht="16" hidden="false" customHeight="false" outlineLevel="0" collapsed="false">
      <c r="D142" s="1" t="n">
        <v>2</v>
      </c>
      <c r="E142" s="1" t="n">
        <v>4</v>
      </c>
      <c r="F142" s="1" t="n">
        <f aca="false">E142-D142</f>
        <v>2</v>
      </c>
      <c r="G142" s="1" t="n">
        <v>1</v>
      </c>
      <c r="H142" s="1" t="n">
        <v>1</v>
      </c>
      <c r="I142" s="1" t="n">
        <f aca="false">H142-G142</f>
        <v>0</v>
      </c>
      <c r="M142" s="1" t="n">
        <v>4</v>
      </c>
      <c r="N142" s="1" t="n">
        <v>4</v>
      </c>
      <c r="O142" s="1" t="n">
        <f aca="false">N142-M142</f>
        <v>0</v>
      </c>
      <c r="P142" s="1" t="n">
        <v>2</v>
      </c>
      <c r="Q142" s="1" t="n">
        <v>2</v>
      </c>
      <c r="R142" s="1" t="n">
        <f aca="false">Q142-P142</f>
        <v>0</v>
      </c>
      <c r="S142" s="1" t="n">
        <v>4</v>
      </c>
      <c r="T142" s="1" t="n">
        <v>12</v>
      </c>
      <c r="U142" s="1" t="n">
        <f aca="false">T142-S142</f>
        <v>8</v>
      </c>
      <c r="V142" s="1" t="n">
        <v>2</v>
      </c>
      <c r="W142" s="1" t="n">
        <v>3</v>
      </c>
      <c r="X142" s="1" t="n">
        <f aca="false">W142-V142</f>
        <v>1</v>
      </c>
      <c r="Y142" s="1" t="n">
        <v>6</v>
      </c>
      <c r="Z142" s="1" t="n">
        <v>14</v>
      </c>
      <c r="AA142" s="1" t="n">
        <f aca="false">Z142-Y142</f>
        <v>8</v>
      </c>
      <c r="AB142" s="1" t="n">
        <v>2</v>
      </c>
      <c r="AC142" s="1" t="n">
        <v>4</v>
      </c>
      <c r="AD142" s="1" t="n">
        <f aca="false">AC142-AB142</f>
        <v>2</v>
      </c>
      <c r="AE142" s="1" t="n">
        <v>2</v>
      </c>
      <c r="AF142" s="1" t="n">
        <v>4</v>
      </c>
      <c r="AG142" s="1" t="n">
        <f aca="false">AF142-AE142</f>
        <v>2</v>
      </c>
    </row>
    <row r="143" customFormat="false" ht="16" hidden="false" customHeight="false" outlineLevel="0" collapsed="false">
      <c r="D143" s="1" t="n">
        <v>1</v>
      </c>
      <c r="E143" s="1" t="n">
        <v>1</v>
      </c>
      <c r="F143" s="1" t="n">
        <f aca="false">E143-D143</f>
        <v>0</v>
      </c>
      <c r="G143" s="1" t="n">
        <v>3</v>
      </c>
      <c r="H143" s="1" t="n">
        <v>3</v>
      </c>
      <c r="I143" s="1" t="n">
        <f aca="false">H143-G143</f>
        <v>0</v>
      </c>
      <c r="M143" s="1" t="n">
        <v>2</v>
      </c>
      <c r="N143" s="1" t="n">
        <v>2</v>
      </c>
      <c r="O143" s="1" t="n">
        <f aca="false">N143-M143</f>
        <v>0</v>
      </c>
      <c r="P143" s="1" t="n">
        <v>1</v>
      </c>
      <c r="Q143" s="1" t="n">
        <v>2</v>
      </c>
      <c r="R143" s="1" t="n">
        <f aca="false">Q143-P143</f>
        <v>1</v>
      </c>
      <c r="S143" s="1" t="n">
        <v>2</v>
      </c>
      <c r="T143" s="1" t="n">
        <v>8</v>
      </c>
      <c r="U143" s="1" t="n">
        <f aca="false">T143-S143</f>
        <v>6</v>
      </c>
      <c r="V143" s="1" t="n">
        <v>2</v>
      </c>
      <c r="W143" s="1" t="n">
        <v>3</v>
      </c>
      <c r="X143" s="1" t="n">
        <f aca="false">W143-V143</f>
        <v>1</v>
      </c>
      <c r="Y143" s="1" t="n">
        <v>2</v>
      </c>
      <c r="Z143" s="1" t="n">
        <v>3</v>
      </c>
      <c r="AA143" s="1" t="n">
        <f aca="false">Z143-Y143</f>
        <v>1</v>
      </c>
      <c r="AB143" s="1" t="n">
        <v>4</v>
      </c>
      <c r="AC143" s="1" t="n">
        <v>7</v>
      </c>
      <c r="AD143" s="1" t="n">
        <f aca="false">AC143-AB143</f>
        <v>3</v>
      </c>
      <c r="AE143" s="1" t="n">
        <v>2</v>
      </c>
      <c r="AF143" s="1" t="n">
        <v>2</v>
      </c>
      <c r="AG143" s="1" t="n">
        <f aca="false">AF143-AE143</f>
        <v>0</v>
      </c>
    </row>
    <row r="144" customFormat="false" ht="16" hidden="false" customHeight="false" outlineLevel="0" collapsed="false">
      <c r="D144" s="1" t="n">
        <v>1</v>
      </c>
      <c r="E144" s="1" t="n">
        <v>1</v>
      </c>
      <c r="F144" s="1" t="n">
        <f aca="false">E144-D144</f>
        <v>0</v>
      </c>
      <c r="G144" s="1" t="n">
        <v>2</v>
      </c>
      <c r="H144" s="1" t="n">
        <v>3</v>
      </c>
      <c r="I144" s="1" t="n">
        <f aca="false">H144-G144</f>
        <v>1</v>
      </c>
      <c r="M144" s="1" t="n">
        <v>2</v>
      </c>
      <c r="N144" s="1" t="n">
        <v>2</v>
      </c>
      <c r="O144" s="1" t="n">
        <f aca="false">N144-M144</f>
        <v>0</v>
      </c>
      <c r="P144" s="1" t="n">
        <v>1</v>
      </c>
      <c r="Q144" s="1" t="n">
        <v>2</v>
      </c>
      <c r="R144" s="1" t="n">
        <f aca="false">Q144-P144</f>
        <v>1</v>
      </c>
      <c r="S144" s="1" t="n">
        <v>2</v>
      </c>
      <c r="T144" s="1" t="n">
        <v>10</v>
      </c>
      <c r="U144" s="1" t="n">
        <f aca="false">T144-S144</f>
        <v>8</v>
      </c>
      <c r="V144" s="1" t="n">
        <v>2</v>
      </c>
      <c r="W144" s="1" t="n">
        <v>4</v>
      </c>
      <c r="X144" s="1" t="n">
        <f aca="false">W144-V144</f>
        <v>2</v>
      </c>
      <c r="Y144" s="1" t="n">
        <v>3</v>
      </c>
      <c r="Z144" s="1" t="n">
        <v>9</v>
      </c>
      <c r="AA144" s="1" t="n">
        <f aca="false">Z144-Y144</f>
        <v>6</v>
      </c>
      <c r="AB144" s="1" t="n">
        <v>4</v>
      </c>
      <c r="AC144" s="1" t="n">
        <v>6</v>
      </c>
      <c r="AD144" s="1" t="n">
        <f aca="false">AC144-AB144</f>
        <v>2</v>
      </c>
      <c r="AE144" s="1" t="n">
        <v>2</v>
      </c>
      <c r="AF144" s="1" t="n">
        <v>2</v>
      </c>
      <c r="AG144" s="1" t="n">
        <f aca="false">AF144-AE144</f>
        <v>0</v>
      </c>
    </row>
    <row r="145" customFormat="false" ht="16" hidden="false" customHeight="false" outlineLevel="0" collapsed="false">
      <c r="D145" s="1" t="n">
        <v>1</v>
      </c>
      <c r="E145" s="1" t="n">
        <v>1</v>
      </c>
      <c r="F145" s="1" t="n">
        <f aca="false">E145-D145</f>
        <v>0</v>
      </c>
      <c r="G145" s="1" t="n">
        <v>1</v>
      </c>
      <c r="H145" s="1" t="n">
        <v>1</v>
      </c>
      <c r="I145" s="1" t="n">
        <f aca="false">H145-G145</f>
        <v>0</v>
      </c>
      <c r="M145" s="1" t="n">
        <v>2</v>
      </c>
      <c r="N145" s="1" t="n">
        <v>2</v>
      </c>
      <c r="O145" s="1" t="n">
        <f aca="false">N145-M145</f>
        <v>0</v>
      </c>
      <c r="P145" s="1" t="n">
        <v>1</v>
      </c>
      <c r="Q145" s="1" t="n">
        <v>1</v>
      </c>
      <c r="R145" s="1" t="n">
        <f aca="false">Q145-P145</f>
        <v>0</v>
      </c>
      <c r="S145" s="1" t="n">
        <v>1</v>
      </c>
      <c r="T145" s="1" t="n">
        <v>3</v>
      </c>
      <c r="U145" s="1" t="n">
        <f aca="false">T145-S145</f>
        <v>2</v>
      </c>
      <c r="V145" s="1" t="n">
        <v>2</v>
      </c>
      <c r="W145" s="1" t="n">
        <v>5</v>
      </c>
      <c r="X145" s="1" t="n">
        <f aca="false">W145-V145</f>
        <v>3</v>
      </c>
      <c r="Y145" s="1" t="n">
        <v>4</v>
      </c>
      <c r="Z145" s="1" t="n">
        <v>12</v>
      </c>
      <c r="AA145" s="1" t="n">
        <f aca="false">Z145-Y145</f>
        <v>8</v>
      </c>
      <c r="AB145" s="1" t="n">
        <v>2</v>
      </c>
      <c r="AC145" s="1" t="n">
        <v>4</v>
      </c>
      <c r="AD145" s="1" t="n">
        <f aca="false">AC145-AB145</f>
        <v>2</v>
      </c>
      <c r="AE145" s="1" t="n">
        <v>2</v>
      </c>
      <c r="AF145" s="1" t="n">
        <v>4</v>
      </c>
      <c r="AG145" s="1" t="n">
        <f aca="false">AF145-AE145</f>
        <v>2</v>
      </c>
    </row>
    <row r="146" customFormat="false" ht="16" hidden="false" customHeight="false" outlineLevel="0" collapsed="false">
      <c r="D146" s="1" t="n">
        <v>1</v>
      </c>
      <c r="E146" s="1" t="n">
        <v>1</v>
      </c>
      <c r="F146" s="1" t="n">
        <f aca="false">E146-D146</f>
        <v>0</v>
      </c>
      <c r="G146" s="1" t="n">
        <v>2</v>
      </c>
      <c r="H146" s="1" t="n">
        <v>3</v>
      </c>
      <c r="I146" s="1" t="n">
        <f aca="false">H146-G146</f>
        <v>1</v>
      </c>
      <c r="M146" s="1" t="n">
        <v>2</v>
      </c>
      <c r="N146" s="1" t="n">
        <v>2</v>
      </c>
      <c r="O146" s="1" t="n">
        <f aca="false">N146-M146</f>
        <v>0</v>
      </c>
      <c r="P146" s="1" t="n">
        <v>1</v>
      </c>
      <c r="Q146" s="1" t="n">
        <v>1</v>
      </c>
      <c r="R146" s="1" t="n">
        <f aca="false">Q146-P146</f>
        <v>0</v>
      </c>
      <c r="S146" s="1" t="n">
        <v>1</v>
      </c>
      <c r="T146" s="1" t="n">
        <v>2</v>
      </c>
      <c r="U146" s="1" t="n">
        <f aca="false">T146-S146</f>
        <v>1</v>
      </c>
      <c r="V146" s="1" t="n">
        <v>2</v>
      </c>
      <c r="W146" s="1" t="n">
        <v>6</v>
      </c>
      <c r="X146" s="1" t="n">
        <f aca="false">W146-V146</f>
        <v>4</v>
      </c>
      <c r="Y146" s="1" t="n">
        <v>6</v>
      </c>
      <c r="Z146" s="1" t="n">
        <v>18</v>
      </c>
      <c r="AA146" s="1" t="n">
        <f aca="false">Z146-Y146</f>
        <v>12</v>
      </c>
      <c r="AB146" s="1" t="n">
        <v>1</v>
      </c>
      <c r="AC146" s="1" t="n">
        <v>1</v>
      </c>
      <c r="AD146" s="1" t="n">
        <f aca="false">AC146-AB146</f>
        <v>0</v>
      </c>
      <c r="AE146" s="1" t="n">
        <v>6</v>
      </c>
      <c r="AF146" s="1" t="n">
        <v>10</v>
      </c>
      <c r="AG146" s="1" t="n">
        <f aca="false">AF146-AE146</f>
        <v>4</v>
      </c>
    </row>
    <row r="147" customFormat="false" ht="16" hidden="false" customHeight="false" outlineLevel="0" collapsed="false">
      <c r="D147" s="1" t="n">
        <v>2</v>
      </c>
      <c r="E147" s="1" t="n">
        <v>2</v>
      </c>
      <c r="F147" s="1" t="n">
        <f aca="false">E147-D147</f>
        <v>0</v>
      </c>
      <c r="G147" s="1" t="n">
        <v>2</v>
      </c>
      <c r="H147" s="1" t="n">
        <v>2</v>
      </c>
      <c r="I147" s="1" t="n">
        <f aca="false">H147-G147</f>
        <v>0</v>
      </c>
      <c r="M147" s="1" t="n">
        <v>8</v>
      </c>
      <c r="N147" s="1" t="n">
        <v>8</v>
      </c>
      <c r="O147" s="1" t="n">
        <f aca="false">N147-M147</f>
        <v>0</v>
      </c>
      <c r="P147" s="1" t="n">
        <v>2</v>
      </c>
      <c r="Q147" s="1" t="n">
        <v>2</v>
      </c>
      <c r="R147" s="1" t="n">
        <f aca="false">Q147-P147</f>
        <v>0</v>
      </c>
      <c r="S147" s="1" t="n">
        <v>3</v>
      </c>
      <c r="T147" s="1" t="n">
        <v>5</v>
      </c>
      <c r="U147" s="1" t="n">
        <f aca="false">T147-S147</f>
        <v>2</v>
      </c>
      <c r="V147" s="1" t="n">
        <v>2</v>
      </c>
      <c r="W147" s="1" t="n">
        <v>6</v>
      </c>
      <c r="X147" s="1" t="n">
        <f aca="false">W147-V147</f>
        <v>4</v>
      </c>
      <c r="Y147" s="1" t="n">
        <v>6</v>
      </c>
      <c r="Z147" s="1" t="n">
        <v>13</v>
      </c>
      <c r="AA147" s="1" t="n">
        <f aca="false">Z147-Y147</f>
        <v>7</v>
      </c>
      <c r="AB147" s="1" t="n">
        <v>2</v>
      </c>
      <c r="AC147" s="1" t="n">
        <v>4</v>
      </c>
      <c r="AD147" s="1" t="n">
        <f aca="false">AC147-AB147</f>
        <v>2</v>
      </c>
      <c r="AE147" s="1" t="n">
        <v>6</v>
      </c>
      <c r="AF147" s="1" t="n">
        <v>10</v>
      </c>
      <c r="AG147" s="1" t="n">
        <f aca="false">AF147-AE147</f>
        <v>4</v>
      </c>
    </row>
    <row r="148" customFormat="false" ht="16" hidden="false" customHeight="false" outlineLevel="0" collapsed="false">
      <c r="D148" s="1" t="n">
        <v>2</v>
      </c>
      <c r="E148" s="1" t="n">
        <v>2</v>
      </c>
      <c r="F148" s="1" t="n">
        <f aca="false">E148-D148</f>
        <v>0</v>
      </c>
      <c r="G148" s="1" t="n">
        <v>2</v>
      </c>
      <c r="H148" s="1" t="n">
        <v>2</v>
      </c>
      <c r="I148" s="1" t="n">
        <f aca="false">H148-G148</f>
        <v>0</v>
      </c>
      <c r="M148" s="1" t="n">
        <v>3</v>
      </c>
      <c r="N148" s="1" t="n">
        <v>3</v>
      </c>
      <c r="O148" s="1" t="n">
        <f aca="false">N148-M148</f>
        <v>0</v>
      </c>
      <c r="P148" s="1" t="n">
        <v>1</v>
      </c>
      <c r="Q148" s="1" t="n">
        <v>1</v>
      </c>
      <c r="R148" s="1" t="n">
        <f aca="false">Q148-P148</f>
        <v>0</v>
      </c>
      <c r="S148" s="1" t="n">
        <v>2</v>
      </c>
      <c r="T148" s="1" t="n">
        <v>2</v>
      </c>
      <c r="U148" s="1" t="n">
        <f aca="false">T148-S148</f>
        <v>0</v>
      </c>
      <c r="V148" s="4"/>
      <c r="W148" s="4"/>
      <c r="X148" s="4"/>
      <c r="Y148" s="1" t="n">
        <v>2</v>
      </c>
      <c r="Z148" s="1" t="n">
        <v>4</v>
      </c>
      <c r="AA148" s="1" t="n">
        <f aca="false">Z148-Y148</f>
        <v>2</v>
      </c>
      <c r="AB148" s="1" t="n">
        <v>4</v>
      </c>
      <c r="AC148" s="1" t="n">
        <v>6</v>
      </c>
      <c r="AD148" s="1" t="n">
        <f aca="false">AC148-AB148</f>
        <v>2</v>
      </c>
      <c r="AE148" s="1" t="n">
        <v>8</v>
      </c>
      <c r="AF148" s="1" t="n">
        <v>16</v>
      </c>
      <c r="AG148" s="1" t="n">
        <f aca="false">AF148-AE148</f>
        <v>8</v>
      </c>
    </row>
    <row r="149" customFormat="false" ht="16" hidden="false" customHeight="false" outlineLevel="0" collapsed="false">
      <c r="D149" s="1" t="n">
        <v>2</v>
      </c>
      <c r="E149" s="1" t="n">
        <v>2</v>
      </c>
      <c r="F149" s="1" t="n">
        <f aca="false">E149-D149</f>
        <v>0</v>
      </c>
      <c r="G149" s="1" t="n">
        <v>2</v>
      </c>
      <c r="H149" s="1" t="n">
        <v>3</v>
      </c>
      <c r="I149" s="1" t="n">
        <f aca="false">H149-G149</f>
        <v>1</v>
      </c>
      <c r="M149" s="1" t="n">
        <v>4</v>
      </c>
      <c r="N149" s="1" t="n">
        <v>4</v>
      </c>
      <c r="O149" s="1" t="n">
        <f aca="false">N149-M149</f>
        <v>0</v>
      </c>
      <c r="P149" s="1" t="n">
        <v>2</v>
      </c>
      <c r="Q149" s="1" t="n">
        <v>2</v>
      </c>
      <c r="R149" s="1" t="n">
        <f aca="false">Q149-P149</f>
        <v>0</v>
      </c>
      <c r="S149" s="1" t="n">
        <v>2</v>
      </c>
      <c r="T149" s="1" t="n">
        <v>2</v>
      </c>
      <c r="U149" s="1" t="n">
        <f aca="false">T149-S149</f>
        <v>0</v>
      </c>
      <c r="Y149" s="1" t="n">
        <v>1</v>
      </c>
      <c r="Z149" s="1" t="n">
        <v>3</v>
      </c>
      <c r="AA149" s="1" t="n">
        <f aca="false">Z149-Y149</f>
        <v>2</v>
      </c>
      <c r="AB149" s="1" t="n">
        <v>3</v>
      </c>
      <c r="AC149" s="1" t="n">
        <v>5</v>
      </c>
      <c r="AD149" s="1" t="n">
        <f aca="false">AC149-AB149</f>
        <v>2</v>
      </c>
      <c r="AE149" s="1" t="n">
        <v>8</v>
      </c>
      <c r="AF149" s="1" t="n">
        <v>12</v>
      </c>
      <c r="AG149" s="1" t="n">
        <f aca="false">AF149-AE149</f>
        <v>4</v>
      </c>
    </row>
    <row r="150" customFormat="false" ht="16" hidden="false" customHeight="false" outlineLevel="0" collapsed="false">
      <c r="D150" s="1" t="n">
        <v>3</v>
      </c>
      <c r="E150" s="1" t="n">
        <v>3</v>
      </c>
      <c r="F150" s="1" t="n">
        <f aca="false">E150-D150</f>
        <v>0</v>
      </c>
      <c r="G150" s="1" t="n">
        <v>3</v>
      </c>
      <c r="H150" s="1" t="n">
        <v>3</v>
      </c>
      <c r="I150" s="1" t="n">
        <f aca="false">H150-G150</f>
        <v>0</v>
      </c>
      <c r="M150" s="1" t="n">
        <v>3</v>
      </c>
      <c r="N150" s="1" t="n">
        <v>3</v>
      </c>
      <c r="O150" s="1" t="n">
        <f aca="false">N150-M150</f>
        <v>0</v>
      </c>
      <c r="P150" s="1" t="n">
        <v>2</v>
      </c>
      <c r="Q150" s="1" t="n">
        <v>4</v>
      </c>
      <c r="R150" s="1" t="n">
        <f aca="false">Q150-P150</f>
        <v>2</v>
      </c>
      <c r="S150" s="1" t="n">
        <v>1</v>
      </c>
      <c r="T150" s="1" t="n">
        <v>1</v>
      </c>
      <c r="U150" s="1" t="n">
        <f aca="false">T150-S150</f>
        <v>0</v>
      </c>
      <c r="Y150" s="1" t="n">
        <v>3</v>
      </c>
      <c r="Z150" s="1" t="n">
        <v>5</v>
      </c>
      <c r="AA150" s="1" t="n">
        <f aca="false">Z150-Y150</f>
        <v>2</v>
      </c>
      <c r="AB150" s="1" t="n">
        <v>4</v>
      </c>
      <c r="AC150" s="1" t="n">
        <v>6</v>
      </c>
      <c r="AD150" s="1" t="n">
        <f aca="false">AC150-AB150</f>
        <v>2</v>
      </c>
      <c r="AE150" s="1" t="n">
        <v>6</v>
      </c>
      <c r="AF150" s="1" t="n">
        <v>9</v>
      </c>
      <c r="AG150" s="1" t="n">
        <f aca="false">AF150-AE150</f>
        <v>3</v>
      </c>
    </row>
    <row r="151" customFormat="false" ht="16" hidden="false" customHeight="false" outlineLevel="0" collapsed="false">
      <c r="D151" s="1" t="n">
        <v>4</v>
      </c>
      <c r="E151" s="1" t="n">
        <v>4</v>
      </c>
      <c r="F151" s="1" t="n">
        <f aca="false">E151-D151</f>
        <v>0</v>
      </c>
      <c r="G151" s="1" t="n">
        <v>5</v>
      </c>
      <c r="H151" s="1" t="n">
        <v>5</v>
      </c>
      <c r="I151" s="1" t="n">
        <f aca="false">H151-G151</f>
        <v>0</v>
      </c>
      <c r="M151" s="1" t="n">
        <v>1</v>
      </c>
      <c r="N151" s="1" t="n">
        <v>4</v>
      </c>
      <c r="O151" s="1" t="n">
        <f aca="false">N151-M151</f>
        <v>3</v>
      </c>
      <c r="P151" s="1" t="n">
        <v>2</v>
      </c>
      <c r="Q151" s="1" t="n">
        <v>2</v>
      </c>
      <c r="R151" s="1" t="n">
        <f aca="false">Q151-P151</f>
        <v>0</v>
      </c>
      <c r="S151" s="1" t="n">
        <v>1</v>
      </c>
      <c r="T151" s="1" t="n">
        <v>1</v>
      </c>
      <c r="U151" s="1" t="n">
        <f aca="false">T151-S151</f>
        <v>0</v>
      </c>
      <c r="Y151" s="1" t="n">
        <v>4</v>
      </c>
      <c r="Z151" s="1" t="n">
        <v>4</v>
      </c>
      <c r="AA151" s="1" t="n">
        <f aca="false">Z151-Y151</f>
        <v>0</v>
      </c>
      <c r="AB151" s="1" t="n">
        <v>3</v>
      </c>
      <c r="AC151" s="1" t="n">
        <v>3</v>
      </c>
      <c r="AD151" s="1" t="n">
        <f aca="false">AC151-AB151</f>
        <v>0</v>
      </c>
      <c r="AE151" s="1" t="n">
        <v>10</v>
      </c>
      <c r="AF151" s="1" t="n">
        <v>18</v>
      </c>
      <c r="AG151" s="1" t="n">
        <f aca="false">AF151-AE151</f>
        <v>8</v>
      </c>
    </row>
    <row r="152" customFormat="false" ht="16" hidden="false" customHeight="false" outlineLevel="0" collapsed="false">
      <c r="D152" s="1" t="n">
        <v>2</v>
      </c>
      <c r="E152" s="1" t="n">
        <v>2</v>
      </c>
      <c r="F152" s="1" t="n">
        <f aca="false">E152-D152</f>
        <v>0</v>
      </c>
      <c r="G152" s="1" t="n">
        <v>2</v>
      </c>
      <c r="H152" s="1" t="n">
        <v>2</v>
      </c>
      <c r="I152" s="1" t="n">
        <f aca="false">H152-G152</f>
        <v>0</v>
      </c>
      <c r="M152" s="1" t="n">
        <v>2</v>
      </c>
      <c r="N152" s="1" t="n">
        <v>2</v>
      </c>
      <c r="O152" s="1" t="n">
        <f aca="false">N152-M152</f>
        <v>0</v>
      </c>
      <c r="P152" s="1" t="n">
        <v>1</v>
      </c>
      <c r="Q152" s="1" t="n">
        <v>1</v>
      </c>
      <c r="R152" s="1" t="n">
        <f aca="false">Q152-P152</f>
        <v>0</v>
      </c>
      <c r="S152" s="1" t="n">
        <v>1</v>
      </c>
      <c r="T152" s="1" t="n">
        <v>2</v>
      </c>
      <c r="U152" s="1" t="n">
        <f aca="false">T152-S152</f>
        <v>1</v>
      </c>
      <c r="Y152" s="1" t="n">
        <v>8</v>
      </c>
      <c r="Z152" s="1" t="n">
        <v>12</v>
      </c>
      <c r="AA152" s="1" t="n">
        <f aca="false">Z152-Y152</f>
        <v>4</v>
      </c>
      <c r="AB152" s="1" t="n">
        <v>4</v>
      </c>
      <c r="AC152" s="1" t="n">
        <v>4</v>
      </c>
      <c r="AD152" s="1" t="n">
        <f aca="false">AC152-AB152</f>
        <v>0</v>
      </c>
      <c r="AE152" s="1" t="n">
        <v>12</v>
      </c>
      <c r="AF152" s="1" t="n">
        <v>26</v>
      </c>
      <c r="AG152" s="1" t="n">
        <f aca="false">AF152-AE152</f>
        <v>14</v>
      </c>
    </row>
    <row r="153" customFormat="false" ht="16" hidden="false" customHeight="false" outlineLevel="0" collapsed="false">
      <c r="D153" s="1" t="n">
        <v>2</v>
      </c>
      <c r="E153" s="1" t="n">
        <v>2</v>
      </c>
      <c r="F153" s="1" t="n">
        <f aca="false">E153-D153</f>
        <v>0</v>
      </c>
      <c r="G153" s="1" t="n">
        <v>2</v>
      </c>
      <c r="H153" s="1" t="n">
        <v>2</v>
      </c>
      <c r="I153" s="1" t="n">
        <f aca="false">H153-G153</f>
        <v>0</v>
      </c>
      <c r="M153" s="1" t="n">
        <v>3</v>
      </c>
      <c r="N153" s="1" t="n">
        <v>3</v>
      </c>
      <c r="O153" s="1" t="n">
        <f aca="false">N153-M153</f>
        <v>0</v>
      </c>
      <c r="P153" s="1" t="n">
        <v>2</v>
      </c>
      <c r="Q153" s="1" t="n">
        <v>2</v>
      </c>
      <c r="R153" s="1" t="n">
        <f aca="false">Q153-P153</f>
        <v>0</v>
      </c>
      <c r="S153" s="1" t="n">
        <v>3</v>
      </c>
      <c r="T153" s="1" t="n">
        <v>3</v>
      </c>
      <c r="U153" s="1" t="n">
        <f aca="false">T153-S153</f>
        <v>0</v>
      </c>
      <c r="Y153" s="1" t="n">
        <v>2</v>
      </c>
      <c r="Z153" s="1" t="n">
        <v>5</v>
      </c>
      <c r="AA153" s="1" t="n">
        <f aca="false">Z153-Y153</f>
        <v>3</v>
      </c>
      <c r="AB153" s="1" t="n">
        <v>2</v>
      </c>
      <c r="AC153" s="1" t="n">
        <v>4</v>
      </c>
      <c r="AD153" s="1" t="n">
        <f aca="false">AC153-AB153</f>
        <v>2</v>
      </c>
      <c r="AE153" s="1" t="n">
        <v>10</v>
      </c>
      <c r="AF153" s="1" t="n">
        <v>16</v>
      </c>
      <c r="AG153" s="1" t="n">
        <f aca="false">AF153-AE153</f>
        <v>6</v>
      </c>
    </row>
    <row r="154" customFormat="false" ht="16" hidden="false" customHeight="false" outlineLevel="0" collapsed="false">
      <c r="D154" s="1" t="n">
        <v>3</v>
      </c>
      <c r="E154" s="1" t="n">
        <v>3</v>
      </c>
      <c r="F154" s="1" t="n">
        <f aca="false">E154-D154</f>
        <v>0</v>
      </c>
      <c r="G154" s="1" t="n">
        <v>2</v>
      </c>
      <c r="H154" s="1" t="n">
        <v>2</v>
      </c>
      <c r="I154" s="1" t="n">
        <f aca="false">H154-G154</f>
        <v>0</v>
      </c>
      <c r="M154" s="1" t="n">
        <v>6</v>
      </c>
      <c r="N154" s="1" t="n">
        <v>8</v>
      </c>
      <c r="O154" s="1" t="n">
        <f aca="false">N154-M154</f>
        <v>2</v>
      </c>
      <c r="P154" s="1" t="n">
        <v>2</v>
      </c>
      <c r="Q154" s="1" t="n">
        <v>2</v>
      </c>
      <c r="R154" s="1" t="n">
        <f aca="false">Q154-P154</f>
        <v>0</v>
      </c>
      <c r="S154" s="1" t="n">
        <v>4</v>
      </c>
      <c r="T154" s="1" t="n">
        <v>4</v>
      </c>
      <c r="U154" s="1" t="n">
        <f aca="false">T154-S154</f>
        <v>0</v>
      </c>
      <c r="Y154" s="1" t="n">
        <v>4</v>
      </c>
      <c r="Z154" s="1" t="n">
        <v>6</v>
      </c>
      <c r="AA154" s="1" t="n">
        <f aca="false">Z154-Y154</f>
        <v>2</v>
      </c>
      <c r="AB154" s="1" t="n">
        <v>4</v>
      </c>
      <c r="AC154" s="1" t="n">
        <v>6</v>
      </c>
      <c r="AD154" s="1" t="n">
        <f aca="false">AC154-AB154</f>
        <v>2</v>
      </c>
      <c r="AE154" s="1" t="n">
        <v>4</v>
      </c>
      <c r="AF154" s="1" t="n">
        <v>4</v>
      </c>
      <c r="AG154" s="1" t="n">
        <f aca="false">AF154-AE154</f>
        <v>0</v>
      </c>
    </row>
    <row r="155" customFormat="false" ht="16" hidden="false" customHeight="false" outlineLevel="0" collapsed="false">
      <c r="D155" s="1" t="n">
        <v>3</v>
      </c>
      <c r="E155" s="1" t="n">
        <v>3</v>
      </c>
      <c r="F155" s="1" t="n">
        <f aca="false">E155-D155</f>
        <v>0</v>
      </c>
      <c r="G155" s="1" t="n">
        <v>2</v>
      </c>
      <c r="H155" s="1" t="n">
        <v>2</v>
      </c>
      <c r="I155" s="1" t="n">
        <f aca="false">H155-G155</f>
        <v>0</v>
      </c>
      <c r="M155" s="1" t="n">
        <v>4</v>
      </c>
      <c r="N155" s="1" t="n">
        <v>4</v>
      </c>
      <c r="O155" s="1" t="n">
        <f aca="false">N155-M155</f>
        <v>0</v>
      </c>
      <c r="P155" s="1" t="n">
        <v>1</v>
      </c>
      <c r="Q155" s="1" t="n">
        <v>3</v>
      </c>
      <c r="R155" s="1" t="n">
        <f aca="false">Q155-P155</f>
        <v>2</v>
      </c>
      <c r="S155" s="1" t="n">
        <v>4</v>
      </c>
      <c r="T155" s="1" t="n">
        <v>4</v>
      </c>
      <c r="U155" s="1" t="n">
        <f aca="false">T155-S155</f>
        <v>0</v>
      </c>
      <c r="Y155" s="1" t="n">
        <v>1</v>
      </c>
      <c r="Z155" s="1" t="n">
        <v>5</v>
      </c>
      <c r="AA155" s="1" t="n">
        <f aca="false">Z155-Y155</f>
        <v>4</v>
      </c>
      <c r="AB155" s="1" t="n">
        <v>4</v>
      </c>
      <c r="AC155" s="1" t="n">
        <v>4</v>
      </c>
      <c r="AD155" s="1" t="n">
        <f aca="false">AC155-AB155</f>
        <v>0</v>
      </c>
      <c r="AE155" s="1" t="n">
        <v>2</v>
      </c>
      <c r="AF155" s="1" t="n">
        <v>4</v>
      </c>
      <c r="AG155" s="1" t="n">
        <f aca="false">AF155-AE155</f>
        <v>2</v>
      </c>
    </row>
    <row r="156" customFormat="false" ht="16" hidden="false" customHeight="false" outlineLevel="0" collapsed="false">
      <c r="D156" s="1" t="n">
        <v>2</v>
      </c>
      <c r="E156" s="1" t="n">
        <v>2</v>
      </c>
      <c r="F156" s="1" t="n">
        <f aca="false">E156-D156</f>
        <v>0</v>
      </c>
      <c r="G156" s="1" t="n">
        <v>1</v>
      </c>
      <c r="H156" s="1" t="n">
        <v>1</v>
      </c>
      <c r="I156" s="1" t="n">
        <f aca="false">H156-G156</f>
        <v>0</v>
      </c>
      <c r="M156" s="1" t="n">
        <v>5</v>
      </c>
      <c r="N156" s="1" t="n">
        <v>7</v>
      </c>
      <c r="O156" s="1" t="n">
        <f aca="false">N156-M156</f>
        <v>2</v>
      </c>
      <c r="P156" s="1" t="n">
        <v>2</v>
      </c>
      <c r="Q156" s="1" t="n">
        <v>4</v>
      </c>
      <c r="R156" s="1" t="n">
        <f aca="false">Q156-P156</f>
        <v>2</v>
      </c>
      <c r="S156" s="1" t="n">
        <v>4</v>
      </c>
      <c r="T156" s="1" t="n">
        <v>4</v>
      </c>
      <c r="U156" s="1" t="n">
        <f aca="false">T156-S156</f>
        <v>0</v>
      </c>
      <c r="Y156" s="1" t="n">
        <v>2</v>
      </c>
      <c r="Z156" s="1" t="n">
        <v>7</v>
      </c>
      <c r="AA156" s="1" t="n">
        <f aca="false">Z156-Y156</f>
        <v>5</v>
      </c>
      <c r="AB156" s="1" t="n">
        <v>2</v>
      </c>
      <c r="AC156" s="1" t="n">
        <v>2</v>
      </c>
      <c r="AD156" s="1" t="n">
        <f aca="false">AC156-AB156</f>
        <v>0</v>
      </c>
      <c r="AE156" s="1" t="n">
        <v>2</v>
      </c>
      <c r="AF156" s="1" t="n">
        <v>4</v>
      </c>
      <c r="AG156" s="1" t="n">
        <f aca="false">AF156-AE156</f>
        <v>2</v>
      </c>
    </row>
    <row r="157" customFormat="false" ht="16" hidden="false" customHeight="false" outlineLevel="0" collapsed="false">
      <c r="D157" s="1" t="n">
        <v>2</v>
      </c>
      <c r="E157" s="1" t="n">
        <v>2</v>
      </c>
      <c r="F157" s="1" t="n">
        <f aca="false">E157-D157</f>
        <v>0</v>
      </c>
      <c r="G157" s="1" t="n">
        <v>2</v>
      </c>
      <c r="H157" s="1" t="n">
        <v>2</v>
      </c>
      <c r="I157" s="1" t="n">
        <f aca="false">H157-G157</f>
        <v>0</v>
      </c>
      <c r="M157" s="1" t="n">
        <v>3</v>
      </c>
      <c r="N157" s="1" t="n">
        <v>3</v>
      </c>
      <c r="O157" s="1" t="n">
        <f aca="false">N157-M157</f>
        <v>0</v>
      </c>
      <c r="P157" s="1" t="n">
        <v>1</v>
      </c>
      <c r="Q157" s="1" t="n">
        <v>1</v>
      </c>
      <c r="R157" s="1" t="n">
        <f aca="false">Q157-P157</f>
        <v>0</v>
      </c>
      <c r="S157" s="1" t="n">
        <v>3</v>
      </c>
      <c r="T157" s="1" t="n">
        <v>5</v>
      </c>
      <c r="U157" s="1" t="n">
        <f aca="false">T157-S157</f>
        <v>2</v>
      </c>
      <c r="Y157" s="1" t="n">
        <v>2</v>
      </c>
      <c r="Z157" s="1" t="n">
        <v>8</v>
      </c>
      <c r="AA157" s="1" t="n">
        <f aca="false">Z157-Y157</f>
        <v>6</v>
      </c>
      <c r="AB157" s="1" t="n">
        <v>4</v>
      </c>
      <c r="AC157" s="1" t="n">
        <v>6</v>
      </c>
      <c r="AD157" s="1" t="n">
        <f aca="false">AC157-AB157</f>
        <v>2</v>
      </c>
      <c r="AE157" s="1" t="n">
        <v>2</v>
      </c>
      <c r="AF157" s="1" t="n">
        <v>5</v>
      </c>
      <c r="AG157" s="1" t="n">
        <f aca="false">AF157-AE157</f>
        <v>3</v>
      </c>
    </row>
    <row r="158" customFormat="false" ht="16" hidden="false" customHeight="false" outlineLevel="0" collapsed="false">
      <c r="D158" s="1" t="n">
        <v>2</v>
      </c>
      <c r="E158" s="1" t="n">
        <v>2</v>
      </c>
      <c r="F158" s="1" t="n">
        <f aca="false">E158-D158</f>
        <v>0</v>
      </c>
      <c r="G158" s="1" t="n">
        <v>4</v>
      </c>
      <c r="H158" s="1" t="n">
        <v>4</v>
      </c>
      <c r="I158" s="1" t="n">
        <f aca="false">H158-G158</f>
        <v>0</v>
      </c>
      <c r="M158" s="1" t="n">
        <v>3</v>
      </c>
      <c r="N158" s="1" t="n">
        <v>3</v>
      </c>
      <c r="O158" s="1" t="n">
        <f aca="false">N158-M158</f>
        <v>0</v>
      </c>
      <c r="P158" s="1" t="n">
        <v>2</v>
      </c>
      <c r="Q158" s="1" t="n">
        <v>2</v>
      </c>
      <c r="R158" s="1" t="n">
        <f aca="false">Q158-P158</f>
        <v>0</v>
      </c>
      <c r="S158" s="1" t="n">
        <v>2</v>
      </c>
      <c r="T158" s="1" t="n">
        <v>2</v>
      </c>
      <c r="U158" s="1" t="n">
        <f aca="false">T158-S158</f>
        <v>0</v>
      </c>
      <c r="Y158" s="1" t="n">
        <v>4</v>
      </c>
      <c r="Z158" s="1" t="n">
        <v>6</v>
      </c>
      <c r="AA158" s="1" t="n">
        <f aca="false">Z158-Y158</f>
        <v>2</v>
      </c>
      <c r="AB158" s="1" t="n">
        <v>4</v>
      </c>
      <c r="AC158" s="1" t="n">
        <v>4</v>
      </c>
      <c r="AD158" s="1" t="n">
        <f aca="false">AC158-AB158</f>
        <v>0</v>
      </c>
      <c r="AE158" s="1" t="n">
        <v>4</v>
      </c>
      <c r="AF158" s="1" t="n">
        <v>10</v>
      </c>
      <c r="AG158" s="1" t="n">
        <f aca="false">AF158-AE158</f>
        <v>6</v>
      </c>
    </row>
    <row r="159" customFormat="false" ht="16" hidden="false" customHeight="false" outlineLevel="0" collapsed="false">
      <c r="D159" s="1" t="n">
        <v>2</v>
      </c>
      <c r="E159" s="1" t="n">
        <v>2</v>
      </c>
      <c r="F159" s="1" t="n">
        <f aca="false">E159-D159</f>
        <v>0</v>
      </c>
      <c r="G159" s="1" t="n">
        <v>2</v>
      </c>
      <c r="H159" s="1" t="n">
        <v>2</v>
      </c>
      <c r="I159" s="1" t="n">
        <f aca="false">H159-G159</f>
        <v>0</v>
      </c>
      <c r="M159" s="1" t="n">
        <v>5</v>
      </c>
      <c r="N159" s="1" t="n">
        <v>6</v>
      </c>
      <c r="O159" s="1" t="n">
        <f aca="false">N159-M159</f>
        <v>1</v>
      </c>
      <c r="P159" s="1" t="n">
        <v>1</v>
      </c>
      <c r="Q159" s="1" t="n">
        <v>1</v>
      </c>
      <c r="R159" s="1" t="n">
        <f aca="false">Q159-P159</f>
        <v>0</v>
      </c>
      <c r="S159" s="1" t="n">
        <v>2</v>
      </c>
      <c r="T159" s="1" t="n">
        <v>2</v>
      </c>
      <c r="U159" s="1" t="n">
        <f aca="false">T159-S159</f>
        <v>0</v>
      </c>
      <c r="Y159" s="4"/>
      <c r="Z159" s="4"/>
      <c r="AA159" s="4"/>
      <c r="AB159" s="1" t="n">
        <v>2</v>
      </c>
      <c r="AC159" s="1" t="n">
        <v>4</v>
      </c>
      <c r="AD159" s="1" t="n">
        <f aca="false">AC159-AB159</f>
        <v>2</v>
      </c>
      <c r="AE159" s="1" t="n">
        <v>6</v>
      </c>
      <c r="AF159" s="1" t="n">
        <v>8</v>
      </c>
      <c r="AG159" s="1" t="n">
        <f aca="false">AF159-AE159</f>
        <v>2</v>
      </c>
    </row>
    <row r="160" customFormat="false" ht="16" hidden="false" customHeight="false" outlineLevel="0" collapsed="false">
      <c r="D160" s="1" t="n">
        <v>1</v>
      </c>
      <c r="E160" s="1" t="n">
        <v>1</v>
      </c>
      <c r="F160" s="1" t="n">
        <f aca="false">E160-D160</f>
        <v>0</v>
      </c>
      <c r="G160" s="1" t="n">
        <v>2</v>
      </c>
      <c r="H160" s="1" t="n">
        <v>2</v>
      </c>
      <c r="I160" s="1" t="n">
        <f aca="false">H160-G160</f>
        <v>0</v>
      </c>
      <c r="M160" s="1" t="n">
        <v>4</v>
      </c>
      <c r="N160" s="1" t="n">
        <v>4</v>
      </c>
      <c r="O160" s="1" t="n">
        <f aca="false">N160-M160</f>
        <v>0</v>
      </c>
      <c r="P160" s="1" t="n">
        <v>2</v>
      </c>
      <c r="Q160" s="1" t="n">
        <v>4</v>
      </c>
      <c r="R160" s="1" t="n">
        <f aca="false">Q160-P160</f>
        <v>2</v>
      </c>
      <c r="S160" s="1" t="n">
        <v>2</v>
      </c>
      <c r="T160" s="1" t="n">
        <v>2</v>
      </c>
      <c r="U160" s="1" t="n">
        <f aca="false">T160-S160</f>
        <v>0</v>
      </c>
      <c r="AB160" s="1" t="n">
        <v>3</v>
      </c>
      <c r="AC160" s="1" t="n">
        <v>3</v>
      </c>
      <c r="AD160" s="1" t="n">
        <f aca="false">AC160-AB160</f>
        <v>0</v>
      </c>
      <c r="AE160" s="1" t="n">
        <v>6</v>
      </c>
      <c r="AF160" s="1" t="n">
        <v>12</v>
      </c>
      <c r="AG160" s="1" t="n">
        <f aca="false">AF160-AE160</f>
        <v>6</v>
      </c>
    </row>
    <row r="161" customFormat="false" ht="16" hidden="false" customHeight="false" outlineLevel="0" collapsed="false">
      <c r="D161" s="1" t="n">
        <v>1</v>
      </c>
      <c r="E161" s="1" t="n">
        <v>1</v>
      </c>
      <c r="F161" s="1" t="n">
        <f aca="false">E161-D161</f>
        <v>0</v>
      </c>
      <c r="G161" s="1" t="n">
        <v>2</v>
      </c>
      <c r="H161" s="1" t="n">
        <v>3</v>
      </c>
      <c r="I161" s="1" t="n">
        <f aca="false">H161-G161</f>
        <v>1</v>
      </c>
      <c r="M161" s="1" t="n">
        <v>2</v>
      </c>
      <c r="N161" s="1" t="n">
        <v>2</v>
      </c>
      <c r="O161" s="1" t="n">
        <f aca="false">N161-M161</f>
        <v>0</v>
      </c>
      <c r="P161" s="4"/>
      <c r="Q161" s="4"/>
      <c r="R161" s="4"/>
      <c r="S161" s="1" t="n">
        <v>3</v>
      </c>
      <c r="T161" s="1" t="n">
        <v>6</v>
      </c>
      <c r="U161" s="1" t="n">
        <f aca="false">T161-S161</f>
        <v>3</v>
      </c>
      <c r="AB161" s="1" t="n">
        <v>2</v>
      </c>
      <c r="AC161" s="1" t="n">
        <v>3</v>
      </c>
      <c r="AD161" s="1" t="n">
        <f aca="false">AC161-AB161</f>
        <v>1</v>
      </c>
      <c r="AE161" s="1" t="n">
        <v>4</v>
      </c>
      <c r="AF161" s="1" t="n">
        <v>8</v>
      </c>
      <c r="AG161" s="1" t="n">
        <f aca="false">AF161-AE161</f>
        <v>4</v>
      </c>
    </row>
    <row r="162" customFormat="false" ht="16" hidden="false" customHeight="false" outlineLevel="0" collapsed="false">
      <c r="D162" s="1" t="n">
        <v>1</v>
      </c>
      <c r="E162" s="1" t="n">
        <v>1</v>
      </c>
      <c r="F162" s="1" t="n">
        <f aca="false">E162-D162</f>
        <v>0</v>
      </c>
      <c r="G162" s="1" t="n">
        <v>3</v>
      </c>
      <c r="H162" s="1" t="n">
        <v>3</v>
      </c>
      <c r="I162" s="1" t="n">
        <f aca="false">H162-G162</f>
        <v>0</v>
      </c>
      <c r="M162" s="1" t="n">
        <v>6</v>
      </c>
      <c r="N162" s="1" t="n">
        <v>6</v>
      </c>
      <c r="O162" s="1" t="n">
        <f aca="false">N162-M162</f>
        <v>0</v>
      </c>
      <c r="S162" s="1" t="n">
        <v>4</v>
      </c>
      <c r="T162" s="1" t="n">
        <v>8</v>
      </c>
      <c r="U162" s="1" t="n">
        <f aca="false">T162-S162</f>
        <v>4</v>
      </c>
      <c r="AB162" s="1" t="n">
        <v>2</v>
      </c>
      <c r="AC162" s="1" t="n">
        <v>3</v>
      </c>
      <c r="AD162" s="1" t="n">
        <f aca="false">AC162-AB162</f>
        <v>1</v>
      </c>
      <c r="AE162" s="1" t="n">
        <v>2</v>
      </c>
      <c r="AF162" s="1" t="n">
        <v>4</v>
      </c>
      <c r="AG162" s="1" t="n">
        <f aca="false">AF162-AE162</f>
        <v>2</v>
      </c>
    </row>
    <row r="163" customFormat="false" ht="16" hidden="false" customHeight="false" outlineLevel="0" collapsed="false">
      <c r="D163" s="1" t="n">
        <v>1</v>
      </c>
      <c r="E163" s="1" t="n">
        <v>1</v>
      </c>
      <c r="F163" s="1" t="n">
        <f aca="false">E163-D163</f>
        <v>0</v>
      </c>
      <c r="G163" s="1" t="n">
        <v>1</v>
      </c>
      <c r="H163" s="1" t="n">
        <v>1</v>
      </c>
      <c r="I163" s="1" t="n">
        <f aca="false">H163-G163</f>
        <v>0</v>
      </c>
      <c r="M163" s="1" t="n">
        <v>6</v>
      </c>
      <c r="N163" s="1" t="n">
        <v>7</v>
      </c>
      <c r="O163" s="1" t="n">
        <f aca="false">N163-M163</f>
        <v>1</v>
      </c>
      <c r="S163" s="1" t="n">
        <v>4</v>
      </c>
      <c r="T163" s="1" t="n">
        <v>6</v>
      </c>
      <c r="U163" s="1" t="n">
        <f aca="false">T163-S163</f>
        <v>2</v>
      </c>
      <c r="AB163" s="1" t="n">
        <v>3</v>
      </c>
      <c r="AC163" s="1" t="n">
        <v>3</v>
      </c>
      <c r="AD163" s="1" t="n">
        <f aca="false">AC163-AB163</f>
        <v>0</v>
      </c>
      <c r="AE163" s="1" t="n">
        <v>5</v>
      </c>
      <c r="AF163" s="1" t="n">
        <v>8</v>
      </c>
      <c r="AG163" s="1" t="n">
        <f aca="false">AF163-AE163</f>
        <v>3</v>
      </c>
    </row>
    <row r="164" customFormat="false" ht="16" hidden="false" customHeight="false" outlineLevel="0" collapsed="false">
      <c r="D164" s="1" t="n">
        <v>2</v>
      </c>
      <c r="E164" s="1" t="n">
        <v>2</v>
      </c>
      <c r="F164" s="1" t="n">
        <f aca="false">E164-D164</f>
        <v>0</v>
      </c>
      <c r="G164" s="1" t="n">
        <v>2</v>
      </c>
      <c r="H164" s="1" t="n">
        <v>2</v>
      </c>
      <c r="I164" s="1" t="n">
        <f aca="false">H164-G164</f>
        <v>0</v>
      </c>
      <c r="M164" s="1" t="n">
        <v>2</v>
      </c>
      <c r="N164" s="1" t="n">
        <v>3</v>
      </c>
      <c r="O164" s="1" t="n">
        <f aca="false">N164-M164</f>
        <v>1</v>
      </c>
      <c r="S164" s="1" t="n">
        <v>4</v>
      </c>
      <c r="T164" s="1" t="n">
        <v>4</v>
      </c>
      <c r="U164" s="1" t="n">
        <f aca="false">T164-S164</f>
        <v>0</v>
      </c>
      <c r="AB164" s="1" t="n">
        <v>2</v>
      </c>
      <c r="AC164" s="1" t="n">
        <v>5</v>
      </c>
      <c r="AD164" s="1" t="n">
        <f aca="false">AC164-AB164</f>
        <v>3</v>
      </c>
      <c r="AE164" s="1" t="n">
        <v>2</v>
      </c>
      <c r="AF164" s="1" t="n">
        <v>3</v>
      </c>
      <c r="AG164" s="1" t="n">
        <f aca="false">AF164-AE164</f>
        <v>1</v>
      </c>
    </row>
    <row r="165" customFormat="false" ht="16" hidden="false" customHeight="false" outlineLevel="0" collapsed="false">
      <c r="D165" s="1" t="n">
        <v>2</v>
      </c>
      <c r="E165" s="1" t="n">
        <v>2</v>
      </c>
      <c r="F165" s="1" t="n">
        <f aca="false">E165-D165</f>
        <v>0</v>
      </c>
      <c r="G165" s="1" t="n">
        <v>2</v>
      </c>
      <c r="H165" s="1" t="n">
        <v>3</v>
      </c>
      <c r="I165" s="1" t="n">
        <f aca="false">H165-G165</f>
        <v>1</v>
      </c>
      <c r="M165" s="1" t="n">
        <v>1</v>
      </c>
      <c r="N165" s="1" t="n">
        <v>1</v>
      </c>
      <c r="O165" s="1" t="n">
        <f aca="false">N165-M165</f>
        <v>0</v>
      </c>
      <c r="S165" s="1" t="n">
        <v>3</v>
      </c>
      <c r="T165" s="1" t="n">
        <v>6</v>
      </c>
      <c r="U165" s="1" t="n">
        <f aca="false">T165-S165</f>
        <v>3</v>
      </c>
      <c r="AB165" s="1" t="n">
        <v>1</v>
      </c>
      <c r="AC165" s="1" t="n">
        <v>2</v>
      </c>
      <c r="AD165" s="1" t="n">
        <f aca="false">AC165-AB165</f>
        <v>1</v>
      </c>
      <c r="AE165" s="1" t="n">
        <v>2</v>
      </c>
      <c r="AF165" s="1" t="n">
        <v>2</v>
      </c>
      <c r="AG165" s="1" t="n">
        <f aca="false">AF165-AE165</f>
        <v>0</v>
      </c>
    </row>
    <row r="166" customFormat="false" ht="16" hidden="false" customHeight="false" outlineLevel="0" collapsed="false">
      <c r="D166" s="1" t="n">
        <v>2</v>
      </c>
      <c r="E166" s="1" t="n">
        <v>2</v>
      </c>
      <c r="F166" s="1" t="n">
        <f aca="false">E166-D166</f>
        <v>0</v>
      </c>
      <c r="G166" s="1" t="n">
        <v>4</v>
      </c>
      <c r="H166" s="1" t="n">
        <v>4</v>
      </c>
      <c r="I166" s="1" t="n">
        <f aca="false">H166-G166</f>
        <v>0</v>
      </c>
      <c r="M166" s="1" t="n">
        <v>1</v>
      </c>
      <c r="N166" s="1" t="n">
        <v>2</v>
      </c>
      <c r="O166" s="1" t="n">
        <f aca="false">N166-M166</f>
        <v>1</v>
      </c>
      <c r="S166" s="1" t="n">
        <v>3</v>
      </c>
      <c r="T166" s="1" t="n">
        <v>9</v>
      </c>
      <c r="U166" s="1" t="n">
        <f aca="false">T166-S166</f>
        <v>6</v>
      </c>
      <c r="AB166" s="1" t="n">
        <v>1</v>
      </c>
      <c r="AC166" s="1" t="n">
        <v>3</v>
      </c>
      <c r="AD166" s="1" t="n">
        <f aca="false">AC166-AB166</f>
        <v>2</v>
      </c>
      <c r="AE166" s="1" t="n">
        <v>2</v>
      </c>
      <c r="AF166" s="1" t="n">
        <v>4</v>
      </c>
      <c r="AG166" s="1" t="n">
        <f aca="false">AF166-AE166</f>
        <v>2</v>
      </c>
    </row>
    <row r="167" customFormat="false" ht="16" hidden="false" customHeight="false" outlineLevel="0" collapsed="false">
      <c r="D167" s="1" t="n">
        <v>2</v>
      </c>
      <c r="E167" s="1" t="n">
        <v>2</v>
      </c>
      <c r="F167" s="1" t="n">
        <f aca="false">E167-D167</f>
        <v>0</v>
      </c>
      <c r="G167" s="1" t="n">
        <v>2</v>
      </c>
      <c r="H167" s="1" t="n">
        <v>2</v>
      </c>
      <c r="I167" s="1" t="n">
        <f aca="false">H167-G167</f>
        <v>0</v>
      </c>
      <c r="M167" s="1" t="n">
        <v>1</v>
      </c>
      <c r="N167" s="1" t="n">
        <v>1</v>
      </c>
      <c r="O167" s="1" t="n">
        <f aca="false">N167-M167</f>
        <v>0</v>
      </c>
      <c r="S167" s="1" t="n">
        <v>3</v>
      </c>
      <c r="T167" s="1" t="n">
        <v>3</v>
      </c>
      <c r="U167" s="1" t="n">
        <f aca="false">T167-S167</f>
        <v>0</v>
      </c>
      <c r="AB167" s="1" t="n">
        <v>4</v>
      </c>
      <c r="AC167" s="1" t="n">
        <v>7</v>
      </c>
      <c r="AD167" s="1" t="n">
        <f aca="false">AC167-AB167</f>
        <v>3</v>
      </c>
      <c r="AE167" s="1" t="n">
        <v>2</v>
      </c>
      <c r="AF167" s="1" t="n">
        <v>6</v>
      </c>
      <c r="AG167" s="1" t="n">
        <f aca="false">AF167-AE167</f>
        <v>4</v>
      </c>
    </row>
    <row r="168" customFormat="false" ht="16" hidden="false" customHeight="false" outlineLevel="0" collapsed="false">
      <c r="D168" s="1" t="n">
        <v>1</v>
      </c>
      <c r="E168" s="1" t="n">
        <v>1</v>
      </c>
      <c r="F168" s="1" t="n">
        <f aca="false">E168-D168</f>
        <v>0</v>
      </c>
      <c r="G168" s="1" t="n">
        <v>2</v>
      </c>
      <c r="H168" s="1" t="n">
        <v>2</v>
      </c>
      <c r="I168" s="1" t="n">
        <f aca="false">H168-G168</f>
        <v>0</v>
      </c>
      <c r="M168" s="1" t="n">
        <v>2</v>
      </c>
      <c r="N168" s="1" t="n">
        <v>2</v>
      </c>
      <c r="O168" s="1" t="n">
        <f aca="false">N168-M168</f>
        <v>0</v>
      </c>
      <c r="S168" s="1" t="n">
        <v>4</v>
      </c>
      <c r="T168" s="1" t="n">
        <v>4</v>
      </c>
      <c r="U168" s="1" t="n">
        <f aca="false">T168-S168</f>
        <v>0</v>
      </c>
      <c r="AB168" s="1" t="n">
        <v>2</v>
      </c>
      <c r="AC168" s="1" t="n">
        <v>6</v>
      </c>
      <c r="AD168" s="1" t="n">
        <f aca="false">AC168-AB168</f>
        <v>4</v>
      </c>
      <c r="AE168" s="1" t="n">
        <v>12</v>
      </c>
      <c r="AF168" s="1" t="n">
        <v>20</v>
      </c>
      <c r="AG168" s="1" t="n">
        <f aca="false">AF168-AE168</f>
        <v>8</v>
      </c>
    </row>
    <row r="169" customFormat="false" ht="16" hidden="false" customHeight="false" outlineLevel="0" collapsed="false">
      <c r="D169" s="1" t="n">
        <v>2</v>
      </c>
      <c r="E169" s="1" t="n">
        <v>2</v>
      </c>
      <c r="F169" s="1" t="n">
        <f aca="false">E169-D169</f>
        <v>0</v>
      </c>
      <c r="G169" s="1" t="n">
        <v>2</v>
      </c>
      <c r="H169" s="1" t="n">
        <v>2</v>
      </c>
      <c r="I169" s="1" t="n">
        <f aca="false">H169-G169</f>
        <v>0</v>
      </c>
      <c r="M169" s="1" t="n">
        <v>5</v>
      </c>
      <c r="N169" s="1" t="n">
        <v>5</v>
      </c>
      <c r="O169" s="1" t="n">
        <f aca="false">N169-M169</f>
        <v>0</v>
      </c>
      <c r="S169" s="1" t="n">
        <v>2</v>
      </c>
      <c r="T169" s="1" t="n">
        <v>2</v>
      </c>
      <c r="U169" s="1" t="n">
        <f aca="false">T169-S169</f>
        <v>0</v>
      </c>
      <c r="AB169" s="1" t="n">
        <v>3</v>
      </c>
      <c r="AC169" s="1" t="n">
        <v>3</v>
      </c>
      <c r="AD169" s="1" t="n">
        <f aca="false">AC169-AB169</f>
        <v>0</v>
      </c>
      <c r="AE169" s="1" t="n">
        <v>6</v>
      </c>
      <c r="AF169" s="1" t="n">
        <v>16</v>
      </c>
      <c r="AG169" s="1" t="n">
        <f aca="false">AF169-AE169</f>
        <v>10</v>
      </c>
    </row>
    <row r="170" customFormat="false" ht="16" hidden="false" customHeight="false" outlineLevel="0" collapsed="false">
      <c r="D170" s="1" t="n">
        <v>2</v>
      </c>
      <c r="E170" s="1" t="n">
        <v>2</v>
      </c>
      <c r="F170" s="1" t="n">
        <f aca="false">E170-D170</f>
        <v>0</v>
      </c>
      <c r="G170" s="1" t="n">
        <v>2</v>
      </c>
      <c r="H170" s="1" t="n">
        <v>3</v>
      </c>
      <c r="I170" s="1" t="n">
        <f aca="false">H170-G170</f>
        <v>1</v>
      </c>
      <c r="M170" s="1" t="n">
        <v>2</v>
      </c>
      <c r="N170" s="1" t="n">
        <v>3</v>
      </c>
      <c r="O170" s="1" t="n">
        <f aca="false">N170-M170</f>
        <v>1</v>
      </c>
      <c r="S170" s="1" t="n">
        <v>6</v>
      </c>
      <c r="T170" s="1" t="n">
        <v>8</v>
      </c>
      <c r="U170" s="1" t="n">
        <f aca="false">T170-S170</f>
        <v>2</v>
      </c>
      <c r="AB170" s="1" t="n">
        <v>6</v>
      </c>
      <c r="AC170" s="1" t="n">
        <v>9</v>
      </c>
      <c r="AD170" s="1" t="n">
        <f aca="false">AC170-AB170</f>
        <v>3</v>
      </c>
      <c r="AE170" s="1" t="n">
        <v>4</v>
      </c>
      <c r="AF170" s="1" t="n">
        <v>10</v>
      </c>
      <c r="AG170" s="1" t="n">
        <f aca="false">AF170-AE170</f>
        <v>6</v>
      </c>
    </row>
    <row r="171" customFormat="false" ht="16" hidden="false" customHeight="false" outlineLevel="0" collapsed="false">
      <c r="D171" s="1" t="n">
        <v>2</v>
      </c>
      <c r="E171" s="1" t="n">
        <v>2</v>
      </c>
      <c r="F171" s="1" t="n">
        <f aca="false">E171-D171</f>
        <v>0</v>
      </c>
      <c r="G171" s="1" t="n">
        <v>2</v>
      </c>
      <c r="H171" s="1" t="n">
        <v>2</v>
      </c>
      <c r="I171" s="1" t="n">
        <f aca="false">H171-G171</f>
        <v>0</v>
      </c>
      <c r="M171" s="1" t="n">
        <v>5</v>
      </c>
      <c r="N171" s="1" t="n">
        <v>6</v>
      </c>
      <c r="O171" s="1" t="n">
        <f aca="false">N171-M171</f>
        <v>1</v>
      </c>
      <c r="S171" s="1" t="n">
        <v>6</v>
      </c>
      <c r="T171" s="1" t="n">
        <v>8</v>
      </c>
      <c r="U171" s="1" t="n">
        <f aca="false">T171-S171</f>
        <v>2</v>
      </c>
      <c r="AB171" s="1" t="n">
        <v>3</v>
      </c>
      <c r="AC171" s="1" t="n">
        <v>3</v>
      </c>
      <c r="AD171" s="1" t="n">
        <f aca="false">AC171-AB171</f>
        <v>0</v>
      </c>
      <c r="AE171" s="1" t="n">
        <v>4</v>
      </c>
      <c r="AF171" s="1" t="n">
        <v>14</v>
      </c>
      <c r="AG171" s="1" t="n">
        <f aca="false">AF171-AE171</f>
        <v>10</v>
      </c>
    </row>
    <row r="172" customFormat="false" ht="16" hidden="false" customHeight="false" outlineLevel="0" collapsed="false">
      <c r="D172" s="1" t="n">
        <v>1</v>
      </c>
      <c r="E172" s="1" t="n">
        <v>1</v>
      </c>
      <c r="F172" s="1" t="n">
        <f aca="false">E172-D172</f>
        <v>0</v>
      </c>
      <c r="G172" s="1" t="n">
        <v>2</v>
      </c>
      <c r="H172" s="1" t="n">
        <v>3</v>
      </c>
      <c r="I172" s="1" t="n">
        <f aca="false">H172-G172</f>
        <v>1</v>
      </c>
      <c r="M172" s="1" t="n">
        <v>2</v>
      </c>
      <c r="N172" s="1" t="n">
        <v>4</v>
      </c>
      <c r="O172" s="1" t="n">
        <f aca="false">N172-M172</f>
        <v>2</v>
      </c>
      <c r="S172" s="1" t="n">
        <v>4</v>
      </c>
      <c r="T172" s="1" t="n">
        <v>4</v>
      </c>
      <c r="U172" s="1" t="n">
        <f aca="false">T172-S172</f>
        <v>0</v>
      </c>
      <c r="AB172" s="1" t="n">
        <v>1</v>
      </c>
      <c r="AC172" s="1" t="n">
        <v>3</v>
      </c>
      <c r="AD172" s="1" t="n">
        <f aca="false">AC172-AB172</f>
        <v>2</v>
      </c>
      <c r="AE172" s="1" t="n">
        <v>2</v>
      </c>
      <c r="AF172" s="1" t="n">
        <v>8</v>
      </c>
      <c r="AG172" s="1" t="n">
        <f aca="false">AF172-AE172</f>
        <v>6</v>
      </c>
    </row>
    <row r="173" customFormat="false" ht="16" hidden="false" customHeight="false" outlineLevel="0" collapsed="false">
      <c r="D173" s="1" t="n">
        <v>2</v>
      </c>
      <c r="E173" s="1" t="n">
        <v>2</v>
      </c>
      <c r="F173" s="1" t="n">
        <f aca="false">E173-D173</f>
        <v>0</v>
      </c>
      <c r="G173" s="1" t="n">
        <v>2</v>
      </c>
      <c r="H173" s="1" t="n">
        <v>2</v>
      </c>
      <c r="I173" s="1" t="n">
        <f aca="false">H173-G173</f>
        <v>0</v>
      </c>
      <c r="M173" s="1" t="n">
        <v>1</v>
      </c>
      <c r="N173" s="1" t="n">
        <v>2</v>
      </c>
      <c r="O173" s="1" t="n">
        <f aca="false">N173-M173</f>
        <v>1</v>
      </c>
      <c r="S173" s="1" t="n">
        <v>2</v>
      </c>
      <c r="T173" s="1" t="n">
        <v>6</v>
      </c>
      <c r="U173" s="1" t="n">
        <f aca="false">T173-S173</f>
        <v>4</v>
      </c>
      <c r="AB173" s="1" t="n">
        <v>1</v>
      </c>
      <c r="AC173" s="1" t="n">
        <v>4</v>
      </c>
      <c r="AD173" s="1" t="n">
        <f aca="false">AC173-AB173</f>
        <v>3</v>
      </c>
      <c r="AE173" s="1" t="n">
        <v>4</v>
      </c>
      <c r="AF173" s="1" t="n">
        <v>12</v>
      </c>
      <c r="AG173" s="1" t="n">
        <f aca="false">AF173-AE173</f>
        <v>8</v>
      </c>
    </row>
    <row r="174" customFormat="false" ht="16" hidden="false" customHeight="false" outlineLevel="0" collapsed="false">
      <c r="D174" s="1" t="n">
        <v>2</v>
      </c>
      <c r="E174" s="1" t="n">
        <v>2</v>
      </c>
      <c r="F174" s="1" t="n">
        <f aca="false">E174-D174</f>
        <v>0</v>
      </c>
      <c r="G174" s="1" t="n">
        <v>2</v>
      </c>
      <c r="H174" s="1" t="n">
        <v>2</v>
      </c>
      <c r="I174" s="1" t="n">
        <f aca="false">H174-G174</f>
        <v>0</v>
      </c>
      <c r="M174" s="1" t="n">
        <v>3</v>
      </c>
      <c r="N174" s="1" t="n">
        <v>3</v>
      </c>
      <c r="O174" s="1" t="n">
        <f aca="false">N174-M174</f>
        <v>0</v>
      </c>
      <c r="S174" s="1" t="n">
        <v>6</v>
      </c>
      <c r="T174" s="1" t="n">
        <v>10</v>
      </c>
      <c r="U174" s="1" t="n">
        <f aca="false">T174-S174</f>
        <v>4</v>
      </c>
      <c r="AB174" s="1" t="n">
        <v>2</v>
      </c>
      <c r="AC174" s="1" t="n">
        <v>5</v>
      </c>
      <c r="AD174" s="1" t="n">
        <f aca="false">AC174-AB174</f>
        <v>3</v>
      </c>
      <c r="AE174" s="1" t="n">
        <v>2</v>
      </c>
      <c r="AF174" s="1" t="n">
        <v>2</v>
      </c>
      <c r="AG174" s="1" t="n">
        <f aca="false">AF174-AE174</f>
        <v>0</v>
      </c>
    </row>
    <row r="175" customFormat="false" ht="16" hidden="false" customHeight="false" outlineLevel="0" collapsed="false">
      <c r="D175" s="1" t="n">
        <v>2</v>
      </c>
      <c r="E175" s="1" t="n">
        <v>2</v>
      </c>
      <c r="F175" s="1" t="n">
        <f aca="false">E175-D175</f>
        <v>0</v>
      </c>
      <c r="G175" s="1" t="n">
        <v>2</v>
      </c>
      <c r="H175" s="1" t="n">
        <v>2</v>
      </c>
      <c r="I175" s="1" t="n">
        <f aca="false">H175-G175</f>
        <v>0</v>
      </c>
      <c r="M175" s="1" t="n">
        <v>3</v>
      </c>
      <c r="N175" s="1" t="n">
        <v>3</v>
      </c>
      <c r="O175" s="1" t="n">
        <f aca="false">N175-M175</f>
        <v>0</v>
      </c>
      <c r="S175" s="1" t="n">
        <v>6</v>
      </c>
      <c r="T175" s="1" t="n">
        <v>12</v>
      </c>
      <c r="U175" s="1" t="n">
        <f aca="false">T175-S175</f>
        <v>6</v>
      </c>
      <c r="AB175" s="1" t="n">
        <v>3</v>
      </c>
      <c r="AC175" s="1" t="n">
        <v>7</v>
      </c>
      <c r="AD175" s="1" t="n">
        <f aca="false">AC175-AB175</f>
        <v>4</v>
      </c>
      <c r="AE175" s="1" t="n">
        <v>2</v>
      </c>
      <c r="AF175" s="1" t="n">
        <v>4</v>
      </c>
      <c r="AG175" s="1" t="n">
        <f aca="false">AF175-AE175</f>
        <v>2</v>
      </c>
    </row>
    <row r="176" customFormat="false" ht="16" hidden="false" customHeight="false" outlineLevel="0" collapsed="false">
      <c r="D176" s="1" t="n">
        <v>2</v>
      </c>
      <c r="E176" s="1" t="n">
        <v>2</v>
      </c>
      <c r="F176" s="1" t="n">
        <f aca="false">E176-D176</f>
        <v>0</v>
      </c>
      <c r="G176" s="1" t="n">
        <v>1</v>
      </c>
      <c r="H176" s="1" t="n">
        <v>2</v>
      </c>
      <c r="I176" s="1" t="n">
        <f aca="false">H176-G176</f>
        <v>1</v>
      </c>
      <c r="M176" s="1" t="n">
        <v>4</v>
      </c>
      <c r="N176" s="1" t="n">
        <v>6</v>
      </c>
      <c r="O176" s="1" t="n">
        <f aca="false">N176-M176</f>
        <v>2</v>
      </c>
      <c r="S176" s="1" t="n">
        <v>4</v>
      </c>
      <c r="T176" s="1" t="n">
        <v>4</v>
      </c>
      <c r="U176" s="1" t="n">
        <f aca="false">T176-S176</f>
        <v>0</v>
      </c>
      <c r="AB176" s="1" t="n">
        <v>2</v>
      </c>
      <c r="AC176" s="1" t="n">
        <v>2</v>
      </c>
      <c r="AD176" s="1" t="n">
        <f aca="false">AC176-AB176</f>
        <v>0</v>
      </c>
      <c r="AE176" s="1" t="n">
        <v>2</v>
      </c>
      <c r="AF176" s="1" t="n">
        <v>4</v>
      </c>
      <c r="AG176" s="1" t="n">
        <f aca="false">AF176-AE176</f>
        <v>2</v>
      </c>
    </row>
    <row r="177" customFormat="false" ht="16" hidden="false" customHeight="false" outlineLevel="0" collapsed="false">
      <c r="D177" s="4"/>
      <c r="E177" s="4"/>
      <c r="F177" s="4"/>
      <c r="G177" s="1" t="n">
        <v>3</v>
      </c>
      <c r="H177" s="1" t="n">
        <v>3</v>
      </c>
      <c r="I177" s="1" t="n">
        <f aca="false">H177-G177</f>
        <v>0</v>
      </c>
      <c r="M177" s="1" t="n">
        <v>2</v>
      </c>
      <c r="N177" s="1" t="n">
        <v>2</v>
      </c>
      <c r="O177" s="1" t="n">
        <f aca="false">N177-M177</f>
        <v>0</v>
      </c>
      <c r="S177" s="1" t="n">
        <v>4</v>
      </c>
      <c r="T177" s="1" t="n">
        <v>4</v>
      </c>
      <c r="U177" s="1" t="n">
        <f aca="false">T177-S177</f>
        <v>0</v>
      </c>
      <c r="AB177" s="1" t="n">
        <v>2</v>
      </c>
      <c r="AC177" s="1" t="n">
        <v>4</v>
      </c>
      <c r="AD177" s="1" t="n">
        <f aca="false">AC177-AB177</f>
        <v>2</v>
      </c>
      <c r="AE177" s="1" t="n">
        <v>2</v>
      </c>
      <c r="AF177" s="1" t="n">
        <v>4</v>
      </c>
      <c r="AG177" s="1" t="n">
        <f aca="false">AF177-AE177</f>
        <v>2</v>
      </c>
    </row>
    <row r="178" customFormat="false" ht="16" hidden="false" customHeight="false" outlineLevel="0" collapsed="false">
      <c r="G178" s="1" t="n">
        <v>2</v>
      </c>
      <c r="H178" s="1" t="n">
        <v>2</v>
      </c>
      <c r="I178" s="1" t="n">
        <f aca="false">H178-G178</f>
        <v>0</v>
      </c>
      <c r="M178" s="1" t="n">
        <v>4</v>
      </c>
      <c r="N178" s="1" t="n">
        <v>6</v>
      </c>
      <c r="O178" s="1" t="n">
        <f aca="false">N178-M178</f>
        <v>2</v>
      </c>
      <c r="S178" s="1" t="n">
        <v>2</v>
      </c>
      <c r="T178" s="1" t="n">
        <v>2</v>
      </c>
      <c r="U178" s="1" t="n">
        <f aca="false">T178-S178</f>
        <v>0</v>
      </c>
      <c r="AB178" s="1" t="n">
        <v>4</v>
      </c>
      <c r="AC178" s="1" t="n">
        <v>6</v>
      </c>
      <c r="AD178" s="1" t="n">
        <f aca="false">AC178-AB178</f>
        <v>2</v>
      </c>
      <c r="AE178" s="1" t="n">
        <v>1</v>
      </c>
      <c r="AF178" s="1" t="n">
        <v>1</v>
      </c>
      <c r="AG178" s="1" t="n">
        <f aca="false">AF178-AE178</f>
        <v>0</v>
      </c>
    </row>
    <row r="179" customFormat="false" ht="16" hidden="false" customHeight="false" outlineLevel="0" collapsed="false">
      <c r="G179" s="1" t="n">
        <v>1</v>
      </c>
      <c r="H179" s="1" t="n">
        <v>2</v>
      </c>
      <c r="I179" s="1" t="n">
        <f aca="false">H179-G179</f>
        <v>1</v>
      </c>
      <c r="M179" s="1" t="n">
        <v>4</v>
      </c>
      <c r="N179" s="1" t="n">
        <v>4</v>
      </c>
      <c r="O179" s="1" t="n">
        <f aca="false">N179-M179</f>
        <v>0</v>
      </c>
      <c r="S179" s="1" t="n">
        <v>2</v>
      </c>
      <c r="T179" s="1" t="n">
        <v>2</v>
      </c>
      <c r="U179" s="1" t="n">
        <f aca="false">T179-S179</f>
        <v>0</v>
      </c>
      <c r="AB179" s="1" t="n">
        <v>3</v>
      </c>
      <c r="AC179" s="1" t="n">
        <v>7</v>
      </c>
      <c r="AD179" s="1" t="n">
        <f aca="false">AC179-AB179</f>
        <v>4</v>
      </c>
      <c r="AE179" s="1" t="n">
        <v>1</v>
      </c>
      <c r="AF179" s="1" t="n">
        <v>3</v>
      </c>
      <c r="AG179" s="1" t="n">
        <f aca="false">AF179-AE179</f>
        <v>2</v>
      </c>
    </row>
    <row r="180" customFormat="false" ht="16" hidden="false" customHeight="false" outlineLevel="0" collapsed="false">
      <c r="G180" s="1" t="n">
        <v>2</v>
      </c>
      <c r="H180" s="1" t="n">
        <v>2</v>
      </c>
      <c r="I180" s="1" t="n">
        <f aca="false">H180-G180</f>
        <v>0</v>
      </c>
      <c r="M180" s="1" t="n">
        <v>2</v>
      </c>
      <c r="N180" s="1" t="n">
        <v>4</v>
      </c>
      <c r="O180" s="1" t="n">
        <f aca="false">N180-M180</f>
        <v>2</v>
      </c>
      <c r="S180" s="1" t="n">
        <v>2</v>
      </c>
      <c r="T180" s="1" t="n">
        <v>4</v>
      </c>
      <c r="U180" s="1" t="n">
        <f aca="false">T180-S180</f>
        <v>2</v>
      </c>
      <c r="AB180" s="1" t="n">
        <v>2</v>
      </c>
      <c r="AC180" s="1" t="n">
        <v>3</v>
      </c>
      <c r="AD180" s="1" t="n">
        <f aca="false">AC180-AB180</f>
        <v>1</v>
      </c>
      <c r="AE180" s="1" t="n">
        <v>4</v>
      </c>
      <c r="AF180" s="1" t="n">
        <v>10</v>
      </c>
      <c r="AG180" s="1" t="n">
        <f aca="false">AF180-AE180</f>
        <v>6</v>
      </c>
    </row>
    <row r="181" customFormat="false" ht="16" hidden="false" customHeight="false" outlineLevel="0" collapsed="false">
      <c r="G181" s="1" t="n">
        <v>0</v>
      </c>
      <c r="H181" s="1" t="n">
        <v>1</v>
      </c>
      <c r="I181" s="1" t="n">
        <f aca="false">H181-G181</f>
        <v>1</v>
      </c>
      <c r="M181" s="1" t="n">
        <v>3</v>
      </c>
      <c r="N181" s="1" t="n">
        <v>5</v>
      </c>
      <c r="O181" s="1" t="n">
        <f aca="false">N181-M181</f>
        <v>2</v>
      </c>
      <c r="S181" s="1" t="n">
        <v>4</v>
      </c>
      <c r="T181" s="1" t="n">
        <v>6</v>
      </c>
      <c r="U181" s="1" t="n">
        <f aca="false">T181-S181</f>
        <v>2</v>
      </c>
      <c r="AB181" s="1" t="n">
        <v>2</v>
      </c>
      <c r="AC181" s="1" t="n">
        <v>4</v>
      </c>
      <c r="AD181" s="1" t="n">
        <f aca="false">AC181-AB181</f>
        <v>2</v>
      </c>
      <c r="AE181" s="1" t="n">
        <v>1</v>
      </c>
      <c r="AF181" s="1" t="n">
        <v>1</v>
      </c>
      <c r="AG181" s="1" t="n">
        <f aca="false">AF181-AE181</f>
        <v>0</v>
      </c>
    </row>
    <row r="182" customFormat="false" ht="16" hidden="false" customHeight="false" outlineLevel="0" collapsed="false">
      <c r="G182" s="1" t="n">
        <v>2</v>
      </c>
      <c r="H182" s="1" t="n">
        <v>2</v>
      </c>
      <c r="I182" s="1" t="n">
        <f aca="false">H182-G182</f>
        <v>0</v>
      </c>
      <c r="M182" s="1" t="n">
        <v>4</v>
      </c>
      <c r="N182" s="1" t="n">
        <v>4</v>
      </c>
      <c r="O182" s="1" t="n">
        <f aca="false">N182-M182</f>
        <v>0</v>
      </c>
      <c r="S182" s="1" t="n">
        <v>4</v>
      </c>
      <c r="T182" s="1" t="n">
        <v>6</v>
      </c>
      <c r="U182" s="1" t="n">
        <f aca="false">T182-S182</f>
        <v>2</v>
      </c>
      <c r="AB182" s="1" t="n">
        <v>2</v>
      </c>
      <c r="AC182" s="1" t="n">
        <v>5</v>
      </c>
      <c r="AD182" s="1" t="n">
        <f aca="false">AC182-AB182</f>
        <v>3</v>
      </c>
      <c r="AE182" s="1" t="n">
        <v>2</v>
      </c>
      <c r="AF182" s="1" t="n">
        <v>6</v>
      </c>
      <c r="AG182" s="1" t="n">
        <f aca="false">AF182-AE182</f>
        <v>4</v>
      </c>
    </row>
    <row r="183" customFormat="false" ht="16" hidden="false" customHeight="false" outlineLevel="0" collapsed="false">
      <c r="G183" s="1" t="n">
        <v>1</v>
      </c>
      <c r="H183" s="1" t="n">
        <v>2</v>
      </c>
      <c r="I183" s="1" t="n">
        <f aca="false">H183-G183</f>
        <v>1</v>
      </c>
      <c r="M183" s="1" t="n">
        <v>2</v>
      </c>
      <c r="N183" s="1" t="n">
        <v>2</v>
      </c>
      <c r="O183" s="1" t="n">
        <f aca="false">N183-M183</f>
        <v>0</v>
      </c>
      <c r="S183" s="1" t="n">
        <v>6</v>
      </c>
      <c r="T183" s="1" t="n">
        <v>8</v>
      </c>
      <c r="U183" s="1" t="n">
        <f aca="false">T183-S183</f>
        <v>2</v>
      </c>
      <c r="AB183" s="1" t="n">
        <v>2</v>
      </c>
      <c r="AC183" s="1" t="n">
        <v>2</v>
      </c>
      <c r="AD183" s="1" t="n">
        <f aca="false">AC183-AB183</f>
        <v>0</v>
      </c>
      <c r="AE183" s="1" t="n">
        <v>10</v>
      </c>
      <c r="AF183" s="1" t="n">
        <v>14</v>
      </c>
      <c r="AG183" s="1" t="n">
        <f aca="false">AF183-AE183</f>
        <v>4</v>
      </c>
    </row>
    <row r="184" customFormat="false" ht="16" hidden="false" customHeight="false" outlineLevel="0" collapsed="false">
      <c r="G184" s="1" t="n">
        <v>2</v>
      </c>
      <c r="H184" s="1" t="n">
        <v>2</v>
      </c>
      <c r="I184" s="1" t="n">
        <f aca="false">H184-G184</f>
        <v>0</v>
      </c>
      <c r="M184" s="1" t="n">
        <v>3</v>
      </c>
      <c r="N184" s="1" t="n">
        <v>3</v>
      </c>
      <c r="O184" s="1" t="n">
        <f aca="false">N184-M184</f>
        <v>0</v>
      </c>
      <c r="S184" s="1" t="n">
        <v>6</v>
      </c>
      <c r="T184" s="1" t="n">
        <v>8</v>
      </c>
      <c r="U184" s="1" t="n">
        <f aca="false">T184-S184</f>
        <v>2</v>
      </c>
      <c r="AB184" s="1" t="n">
        <v>8</v>
      </c>
      <c r="AC184" s="1" t="n">
        <v>11</v>
      </c>
      <c r="AD184" s="1" t="n">
        <f aca="false">AC184-AB184</f>
        <v>3</v>
      </c>
      <c r="AE184" s="1" t="n">
        <v>4</v>
      </c>
      <c r="AF184" s="1" t="n">
        <v>8</v>
      </c>
      <c r="AG184" s="1" t="n">
        <f aca="false">AF184-AE184</f>
        <v>4</v>
      </c>
    </row>
    <row r="185" customFormat="false" ht="16" hidden="false" customHeight="false" outlineLevel="0" collapsed="false">
      <c r="G185" s="1" t="n">
        <v>2</v>
      </c>
      <c r="H185" s="1" t="n">
        <v>2</v>
      </c>
      <c r="I185" s="1" t="n">
        <f aca="false">H185-G185</f>
        <v>0</v>
      </c>
      <c r="M185" s="1" t="n">
        <v>3</v>
      </c>
      <c r="N185" s="1" t="n">
        <v>3</v>
      </c>
      <c r="O185" s="1" t="n">
        <f aca="false">N185-M185</f>
        <v>0</v>
      </c>
      <c r="S185" s="1" t="n">
        <v>3</v>
      </c>
      <c r="T185" s="1" t="n">
        <v>3</v>
      </c>
      <c r="U185" s="1" t="n">
        <f aca="false">T185-S185</f>
        <v>0</v>
      </c>
      <c r="AB185" s="1" t="n">
        <v>4</v>
      </c>
      <c r="AC185" s="1" t="n">
        <v>6</v>
      </c>
      <c r="AD185" s="1" t="n">
        <f aca="false">AC185-AB185</f>
        <v>2</v>
      </c>
      <c r="AE185" s="1" t="n">
        <v>6</v>
      </c>
      <c r="AF185" s="1" t="n">
        <v>10</v>
      </c>
      <c r="AG185" s="1" t="n">
        <f aca="false">AF185-AE185</f>
        <v>4</v>
      </c>
    </row>
    <row r="186" customFormat="false" ht="16" hidden="false" customHeight="false" outlineLevel="0" collapsed="false">
      <c r="G186" s="1" t="n">
        <v>1</v>
      </c>
      <c r="H186" s="1" t="n">
        <v>2</v>
      </c>
      <c r="I186" s="1" t="n">
        <f aca="false">H186-G186</f>
        <v>1</v>
      </c>
      <c r="M186" s="1" t="n">
        <v>4</v>
      </c>
      <c r="N186" s="1" t="n">
        <v>4</v>
      </c>
      <c r="O186" s="1" t="n">
        <f aca="false">N186-M186</f>
        <v>0</v>
      </c>
      <c r="S186" s="1" t="n">
        <v>2</v>
      </c>
      <c r="T186" s="1" t="n">
        <v>2</v>
      </c>
      <c r="U186" s="1" t="n">
        <f aca="false">T186-S186</f>
        <v>0</v>
      </c>
      <c r="AB186" s="1" t="n">
        <v>2</v>
      </c>
      <c r="AC186" s="1" t="n">
        <v>6</v>
      </c>
      <c r="AD186" s="1" t="n">
        <f aca="false">AC186-AB186</f>
        <v>4</v>
      </c>
      <c r="AE186" s="1" t="n">
        <v>10</v>
      </c>
      <c r="AF186" s="1" t="n">
        <v>10</v>
      </c>
      <c r="AG186" s="1" t="n">
        <f aca="false">AF186-AE186</f>
        <v>0</v>
      </c>
    </row>
    <row r="187" customFormat="false" ht="16" hidden="false" customHeight="false" outlineLevel="0" collapsed="false">
      <c r="G187" s="1" t="n">
        <v>1</v>
      </c>
      <c r="H187" s="1" t="n">
        <v>1</v>
      </c>
      <c r="I187" s="1" t="n">
        <f aca="false">H187-G187</f>
        <v>0</v>
      </c>
      <c r="M187" s="1" t="n">
        <v>3</v>
      </c>
      <c r="N187" s="1" t="n">
        <v>3</v>
      </c>
      <c r="O187" s="1" t="n">
        <f aca="false">N187-M187</f>
        <v>0</v>
      </c>
      <c r="S187" s="1" t="n">
        <v>2</v>
      </c>
      <c r="T187" s="1" t="n">
        <v>4</v>
      </c>
      <c r="U187" s="1" t="n">
        <f aca="false">T187-S187</f>
        <v>2</v>
      </c>
      <c r="AB187" s="1" t="n">
        <v>3</v>
      </c>
      <c r="AC187" s="1" t="n">
        <v>5</v>
      </c>
      <c r="AD187" s="1" t="n">
        <f aca="false">AC187-AB187</f>
        <v>2</v>
      </c>
      <c r="AE187" s="1" t="n">
        <v>4</v>
      </c>
      <c r="AF187" s="1" t="n">
        <v>10</v>
      </c>
      <c r="AG187" s="1" t="n">
        <f aca="false">AF187-AE187</f>
        <v>6</v>
      </c>
    </row>
    <row r="188" customFormat="false" ht="16" hidden="false" customHeight="false" outlineLevel="0" collapsed="false">
      <c r="G188" s="1" t="n">
        <v>1</v>
      </c>
      <c r="H188" s="1" t="n">
        <v>2</v>
      </c>
      <c r="I188" s="1" t="n">
        <f aca="false">H188-G188</f>
        <v>1</v>
      </c>
      <c r="M188" s="1" t="n">
        <v>3</v>
      </c>
      <c r="N188" s="1" t="n">
        <v>3</v>
      </c>
      <c r="O188" s="1" t="n">
        <f aca="false">N188-M188</f>
        <v>0</v>
      </c>
      <c r="S188" s="1" t="n">
        <v>2</v>
      </c>
      <c r="T188" s="1" t="n">
        <v>4</v>
      </c>
      <c r="U188" s="1" t="n">
        <f aca="false">T188-S188</f>
        <v>2</v>
      </c>
      <c r="AB188" s="1" t="n">
        <v>3</v>
      </c>
      <c r="AC188" s="1" t="n">
        <v>5</v>
      </c>
      <c r="AD188" s="1" t="n">
        <f aca="false">AC188-AB188</f>
        <v>2</v>
      </c>
      <c r="AE188" s="1" t="n">
        <v>3</v>
      </c>
      <c r="AF188" s="1" t="n">
        <v>5</v>
      </c>
      <c r="AG188" s="1" t="n">
        <f aca="false">AF188-AE188</f>
        <v>2</v>
      </c>
    </row>
    <row r="189" customFormat="false" ht="16" hidden="false" customHeight="false" outlineLevel="0" collapsed="false">
      <c r="G189" s="1" t="n">
        <v>1</v>
      </c>
      <c r="H189" s="1" t="n">
        <v>1</v>
      </c>
      <c r="I189" s="1" t="n">
        <f aca="false">H189-G189</f>
        <v>0</v>
      </c>
      <c r="M189" s="1" t="n">
        <v>2</v>
      </c>
      <c r="N189" s="1" t="n">
        <v>2</v>
      </c>
      <c r="O189" s="1" t="n">
        <f aca="false">N189-M189</f>
        <v>0</v>
      </c>
      <c r="S189" s="1" t="n">
        <v>2</v>
      </c>
      <c r="T189" s="1" t="n">
        <v>4</v>
      </c>
      <c r="U189" s="1" t="n">
        <f aca="false">T189-S189</f>
        <v>2</v>
      </c>
      <c r="AB189" s="1" t="n">
        <v>2</v>
      </c>
      <c r="AC189" s="1" t="n">
        <v>2</v>
      </c>
      <c r="AD189" s="1" t="n">
        <f aca="false">AC189-AB189</f>
        <v>0</v>
      </c>
      <c r="AE189" s="1" t="n">
        <v>10</v>
      </c>
      <c r="AF189" s="1" t="n">
        <v>12</v>
      </c>
      <c r="AG189" s="1" t="n">
        <f aca="false">AF189-AE189</f>
        <v>2</v>
      </c>
    </row>
    <row r="190" customFormat="false" ht="16" hidden="false" customHeight="false" outlineLevel="0" collapsed="false">
      <c r="G190" s="1" t="n">
        <v>2</v>
      </c>
      <c r="H190" s="1" t="n">
        <v>2</v>
      </c>
      <c r="I190" s="1" t="n">
        <f aca="false">H190-G190</f>
        <v>0</v>
      </c>
      <c r="M190" s="1" t="n">
        <v>1</v>
      </c>
      <c r="N190" s="1" t="n">
        <v>1</v>
      </c>
      <c r="O190" s="1" t="n">
        <f aca="false">N190-M190</f>
        <v>0</v>
      </c>
      <c r="S190" s="1" t="n">
        <v>4</v>
      </c>
      <c r="T190" s="1" t="n">
        <v>4</v>
      </c>
      <c r="U190" s="1" t="n">
        <f aca="false">T190-S190</f>
        <v>0</v>
      </c>
      <c r="AB190" s="1" t="n">
        <v>5</v>
      </c>
      <c r="AC190" s="1" t="n">
        <v>9</v>
      </c>
      <c r="AD190" s="1" t="n">
        <f aca="false">AC190-AB190</f>
        <v>4</v>
      </c>
      <c r="AE190" s="1" t="n">
        <v>10</v>
      </c>
      <c r="AF190" s="1" t="n">
        <v>10</v>
      </c>
      <c r="AG190" s="1" t="n">
        <f aca="false">AF190-AE190</f>
        <v>0</v>
      </c>
    </row>
    <row r="191" customFormat="false" ht="16" hidden="false" customHeight="false" outlineLevel="0" collapsed="false">
      <c r="G191" s="1" t="n">
        <v>2</v>
      </c>
      <c r="H191" s="1" t="n">
        <v>2</v>
      </c>
      <c r="I191" s="1" t="n">
        <f aca="false">H191-G191</f>
        <v>0</v>
      </c>
      <c r="M191" s="1" t="n">
        <v>1</v>
      </c>
      <c r="N191" s="1" t="n">
        <v>1</v>
      </c>
      <c r="O191" s="1" t="n">
        <f aca="false">N191-M191</f>
        <v>0</v>
      </c>
      <c r="S191" s="1" t="n">
        <v>2</v>
      </c>
      <c r="T191" s="1" t="n">
        <v>2</v>
      </c>
      <c r="U191" s="1" t="n">
        <f aca="false">T191-S191</f>
        <v>0</v>
      </c>
      <c r="AB191" s="1" t="n">
        <v>2</v>
      </c>
      <c r="AC191" s="1" t="n">
        <v>5</v>
      </c>
      <c r="AD191" s="1" t="n">
        <f aca="false">AC191-AB191</f>
        <v>3</v>
      </c>
      <c r="AE191" s="1" t="n">
        <v>6</v>
      </c>
      <c r="AF191" s="1" t="n">
        <v>9</v>
      </c>
      <c r="AG191" s="1" t="n">
        <f aca="false">AF191-AE191</f>
        <v>3</v>
      </c>
    </row>
    <row r="192" customFormat="false" ht="16" hidden="false" customHeight="false" outlineLevel="0" collapsed="false">
      <c r="G192" s="1" t="n">
        <v>2</v>
      </c>
      <c r="H192" s="1" t="n">
        <v>2</v>
      </c>
      <c r="I192" s="1" t="n">
        <f aca="false">H192-G192</f>
        <v>0</v>
      </c>
      <c r="M192" s="1" t="n">
        <v>6</v>
      </c>
      <c r="N192" s="1" t="n">
        <v>6</v>
      </c>
      <c r="O192" s="1" t="n">
        <f aca="false">N192-M192</f>
        <v>0</v>
      </c>
      <c r="S192" s="1" t="n">
        <v>2</v>
      </c>
      <c r="T192" s="1" t="n">
        <v>4</v>
      </c>
      <c r="U192" s="1" t="n">
        <f aca="false">T192-S192</f>
        <v>2</v>
      </c>
      <c r="AB192" s="1" t="n">
        <v>2</v>
      </c>
      <c r="AC192" s="1" t="n">
        <v>4</v>
      </c>
      <c r="AD192" s="1" t="n">
        <f aca="false">AC192-AB192</f>
        <v>2</v>
      </c>
      <c r="AE192" s="1" t="n">
        <v>5</v>
      </c>
      <c r="AF192" s="1" t="n">
        <v>8</v>
      </c>
      <c r="AG192" s="1" t="n">
        <f aca="false">AF192-AE192</f>
        <v>3</v>
      </c>
    </row>
    <row r="193" customFormat="false" ht="16" hidden="false" customHeight="false" outlineLevel="0" collapsed="false">
      <c r="G193" s="1" t="n">
        <v>2</v>
      </c>
      <c r="H193" s="1" t="n">
        <v>3</v>
      </c>
      <c r="I193" s="1" t="n">
        <f aca="false">H193-G193</f>
        <v>1</v>
      </c>
      <c r="M193" s="1" t="n">
        <v>4</v>
      </c>
      <c r="N193" s="1" t="n">
        <v>4</v>
      </c>
      <c r="O193" s="1" t="n">
        <f aca="false">N193-M193</f>
        <v>0</v>
      </c>
      <c r="S193" s="1" t="n">
        <v>4</v>
      </c>
      <c r="T193" s="1" t="n">
        <v>4</v>
      </c>
      <c r="U193" s="1" t="n">
        <f aca="false">T193-S193</f>
        <v>0</v>
      </c>
      <c r="AB193" s="1" t="n">
        <v>3</v>
      </c>
      <c r="AC193" s="1" t="n">
        <v>3</v>
      </c>
      <c r="AD193" s="1" t="n">
        <f aca="false">AC193-AB193</f>
        <v>0</v>
      </c>
      <c r="AE193" s="1" t="n">
        <v>2</v>
      </c>
      <c r="AF193" s="1" t="n">
        <v>2</v>
      </c>
      <c r="AG193" s="1" t="n">
        <f aca="false">AF193-AE193</f>
        <v>0</v>
      </c>
    </row>
    <row r="194" customFormat="false" ht="16" hidden="false" customHeight="false" outlineLevel="0" collapsed="false">
      <c r="G194" s="1" t="n">
        <v>4</v>
      </c>
      <c r="H194" s="1" t="n">
        <v>4</v>
      </c>
      <c r="I194" s="1" t="n">
        <f aca="false">H194-G194</f>
        <v>0</v>
      </c>
      <c r="M194" s="1" t="n">
        <v>4</v>
      </c>
      <c r="N194" s="1" t="n">
        <v>4</v>
      </c>
      <c r="O194" s="1" t="n">
        <f aca="false">N194-M194</f>
        <v>0</v>
      </c>
      <c r="S194" s="1" t="n">
        <v>2</v>
      </c>
      <c r="T194" s="1" t="n">
        <v>2</v>
      </c>
      <c r="U194" s="1" t="n">
        <f aca="false">T194-S194</f>
        <v>0</v>
      </c>
      <c r="AB194" s="1" t="n">
        <v>2</v>
      </c>
      <c r="AC194" s="1" t="n">
        <v>3</v>
      </c>
      <c r="AD194" s="1" t="n">
        <f aca="false">AC194-AB194</f>
        <v>1</v>
      </c>
      <c r="AE194" s="1" t="n">
        <v>2</v>
      </c>
      <c r="AF194" s="1" t="n">
        <v>6</v>
      </c>
      <c r="AG194" s="1" t="n">
        <f aca="false">AF194-AE194</f>
        <v>4</v>
      </c>
    </row>
    <row r="195" customFormat="false" ht="16" hidden="false" customHeight="false" outlineLevel="0" collapsed="false">
      <c r="G195" s="1" t="n">
        <v>3</v>
      </c>
      <c r="H195" s="1" t="n">
        <v>4</v>
      </c>
      <c r="I195" s="1" t="n">
        <f aca="false">H195-G195</f>
        <v>1</v>
      </c>
      <c r="M195" s="1" t="n">
        <v>4</v>
      </c>
      <c r="N195" s="1" t="n">
        <v>4</v>
      </c>
      <c r="O195" s="1" t="n">
        <f aca="false">N195-M195</f>
        <v>0</v>
      </c>
      <c r="S195" s="1" t="n">
        <v>2</v>
      </c>
      <c r="T195" s="1" t="n">
        <v>3</v>
      </c>
      <c r="U195" s="1" t="n">
        <f aca="false">T195-S195</f>
        <v>1</v>
      </c>
      <c r="AB195" s="1" t="n">
        <v>5</v>
      </c>
      <c r="AC195" s="1" t="n">
        <v>7</v>
      </c>
      <c r="AD195" s="1" t="n">
        <f aca="false">AC195-AB195</f>
        <v>2</v>
      </c>
      <c r="AE195" s="1" t="n">
        <v>4</v>
      </c>
      <c r="AF195" s="1" t="n">
        <v>8</v>
      </c>
      <c r="AG195" s="1" t="n">
        <f aca="false">AF195-AE195</f>
        <v>4</v>
      </c>
    </row>
    <row r="196" customFormat="false" ht="16" hidden="false" customHeight="false" outlineLevel="0" collapsed="false">
      <c r="G196" s="1" t="n">
        <v>1</v>
      </c>
      <c r="H196" s="1" t="n">
        <v>1</v>
      </c>
      <c r="I196" s="1" t="n">
        <f aca="false">H196-G196</f>
        <v>0</v>
      </c>
      <c r="M196" s="1" t="n">
        <v>4</v>
      </c>
      <c r="N196" s="1" t="n">
        <v>4</v>
      </c>
      <c r="O196" s="1" t="n">
        <f aca="false">N196-M196</f>
        <v>0</v>
      </c>
      <c r="S196" s="1" t="n">
        <v>2</v>
      </c>
      <c r="T196" s="1" t="n">
        <v>4</v>
      </c>
      <c r="U196" s="1" t="n">
        <f aca="false">T196-S196</f>
        <v>2</v>
      </c>
      <c r="AB196" s="1" t="n">
        <v>2</v>
      </c>
      <c r="AC196" s="1" t="n">
        <v>2</v>
      </c>
      <c r="AD196" s="1" t="n">
        <f aca="false">AC196-AB196</f>
        <v>0</v>
      </c>
      <c r="AE196" s="1" t="n">
        <v>6</v>
      </c>
      <c r="AF196" s="1" t="n">
        <v>10</v>
      </c>
      <c r="AG196" s="1" t="n">
        <f aca="false">AF196-AE196</f>
        <v>4</v>
      </c>
    </row>
    <row r="197" customFormat="false" ht="16" hidden="false" customHeight="false" outlineLevel="0" collapsed="false">
      <c r="G197" s="1" t="n">
        <v>2</v>
      </c>
      <c r="H197" s="1" t="n">
        <v>2</v>
      </c>
      <c r="I197" s="1" t="n">
        <f aca="false">H197-G197</f>
        <v>0</v>
      </c>
      <c r="M197" s="1" t="n">
        <v>4</v>
      </c>
      <c r="N197" s="1" t="n">
        <v>4</v>
      </c>
      <c r="O197" s="1" t="n">
        <f aca="false">N197-M197</f>
        <v>0</v>
      </c>
      <c r="S197" s="1" t="n">
        <v>2</v>
      </c>
      <c r="T197" s="1" t="n">
        <v>6</v>
      </c>
      <c r="U197" s="1" t="n">
        <f aca="false">T197-S197</f>
        <v>4</v>
      </c>
      <c r="AB197" s="4"/>
      <c r="AC197" s="4"/>
      <c r="AD197" s="4"/>
      <c r="AE197" s="1" t="n">
        <v>6</v>
      </c>
      <c r="AF197" s="1" t="n">
        <v>6</v>
      </c>
      <c r="AG197" s="1" t="n">
        <f aca="false">AF197-AE197</f>
        <v>0</v>
      </c>
    </row>
    <row r="198" customFormat="false" ht="16" hidden="false" customHeight="false" outlineLevel="0" collapsed="false">
      <c r="G198" s="1" t="n">
        <v>4</v>
      </c>
      <c r="H198" s="1" t="n">
        <v>4</v>
      </c>
      <c r="I198" s="1" t="n">
        <f aca="false">H198-G198</f>
        <v>0</v>
      </c>
      <c r="M198" s="1" t="n">
        <v>4</v>
      </c>
      <c r="N198" s="1" t="n">
        <v>4</v>
      </c>
      <c r="O198" s="1" t="n">
        <f aca="false">N198-M198</f>
        <v>0</v>
      </c>
      <c r="S198" s="1" t="n">
        <v>4</v>
      </c>
      <c r="T198" s="1" t="n">
        <v>8</v>
      </c>
      <c r="U198" s="1" t="n">
        <f aca="false">T198-S198</f>
        <v>4</v>
      </c>
      <c r="AE198" s="1" t="n">
        <v>6</v>
      </c>
      <c r="AF198" s="1" t="n">
        <v>6</v>
      </c>
      <c r="AG198" s="1" t="n">
        <f aca="false">AF198-AE198</f>
        <v>0</v>
      </c>
    </row>
    <row r="199" customFormat="false" ht="16" hidden="false" customHeight="false" outlineLevel="0" collapsed="false">
      <c r="G199" s="1" t="n">
        <v>1</v>
      </c>
      <c r="H199" s="1" t="n">
        <v>2</v>
      </c>
      <c r="I199" s="1" t="n">
        <f aca="false">H199-G199</f>
        <v>1</v>
      </c>
      <c r="S199" s="1" t="n">
        <v>2</v>
      </c>
      <c r="T199" s="1" t="n">
        <v>2</v>
      </c>
      <c r="U199" s="1" t="n">
        <f aca="false">T199-S199</f>
        <v>0</v>
      </c>
      <c r="AE199" s="1" t="n">
        <v>6</v>
      </c>
      <c r="AF199" s="1" t="n">
        <v>6</v>
      </c>
      <c r="AG199" s="1" t="n">
        <f aca="false">AF199-AE199</f>
        <v>0</v>
      </c>
    </row>
    <row r="200" customFormat="false" ht="16" hidden="false" customHeight="false" outlineLevel="0" collapsed="false">
      <c r="G200" s="1" t="n">
        <v>2</v>
      </c>
      <c r="H200" s="1" t="n">
        <v>2</v>
      </c>
      <c r="I200" s="1" t="n">
        <f aca="false">H200-G200</f>
        <v>0</v>
      </c>
      <c r="M200" s="4"/>
      <c r="N200" s="4"/>
      <c r="O200" s="4"/>
      <c r="S200" s="1" t="n">
        <v>6</v>
      </c>
      <c r="T200" s="1" t="n">
        <v>10</v>
      </c>
      <c r="U200" s="1" t="n">
        <f aca="false">T200-S200</f>
        <v>4</v>
      </c>
      <c r="AE200" s="1" t="n">
        <v>6</v>
      </c>
      <c r="AF200" s="1" t="n">
        <v>6</v>
      </c>
      <c r="AG200" s="1" t="n">
        <f aca="false">AF200-AE200</f>
        <v>0</v>
      </c>
    </row>
    <row r="201" customFormat="false" ht="16" hidden="false" customHeight="false" outlineLevel="0" collapsed="false">
      <c r="G201" s="1" t="n">
        <v>2</v>
      </c>
      <c r="H201" s="1" t="n">
        <v>2</v>
      </c>
      <c r="I201" s="1" t="n">
        <f aca="false">H201-G201</f>
        <v>0</v>
      </c>
      <c r="S201" s="4"/>
      <c r="T201" s="4"/>
      <c r="U201" s="4"/>
      <c r="AE201" s="4"/>
      <c r="AF201" s="4"/>
    </row>
    <row r="202" customFormat="false" ht="16" hidden="false" customHeight="false" outlineLevel="0" collapsed="false">
      <c r="G202" s="1" t="n">
        <v>2</v>
      </c>
      <c r="H202" s="1" t="n">
        <v>2</v>
      </c>
      <c r="I202" s="1" t="n">
        <f aca="false">H202-G202</f>
        <v>0</v>
      </c>
    </row>
    <row r="203" customFormat="false" ht="16" hidden="false" customHeight="false" outlineLevel="0" collapsed="false">
      <c r="G203" s="1" t="n">
        <v>2</v>
      </c>
      <c r="H203" s="1" t="n">
        <v>2</v>
      </c>
      <c r="I203" s="1" t="n">
        <f aca="false">H203-G203</f>
        <v>0</v>
      </c>
    </row>
    <row r="204" customFormat="false" ht="16" hidden="false" customHeight="false" outlineLevel="0" collapsed="false">
      <c r="G204" s="1" t="n">
        <v>1</v>
      </c>
      <c r="H204" s="1" t="n">
        <v>2</v>
      </c>
      <c r="I204" s="1" t="n">
        <f aca="false">H204-G204</f>
        <v>1</v>
      </c>
    </row>
    <row r="205" customFormat="false" ht="16" hidden="false" customHeight="false" outlineLevel="0" collapsed="false">
      <c r="G205" s="1" t="n">
        <v>2</v>
      </c>
      <c r="H205" s="1" t="n">
        <v>2</v>
      </c>
      <c r="I205" s="1" t="n">
        <f aca="false">H205-G205</f>
        <v>0</v>
      </c>
    </row>
    <row r="206" customFormat="false" ht="16" hidden="false" customHeight="false" outlineLevel="0" collapsed="false">
      <c r="G206" s="1" t="n">
        <v>2</v>
      </c>
      <c r="H206" s="1" t="n">
        <v>3</v>
      </c>
      <c r="I206" s="1" t="n">
        <f aca="false">H206-G206</f>
        <v>1</v>
      </c>
    </row>
    <row r="207" customFormat="false" ht="16" hidden="false" customHeight="false" outlineLevel="0" collapsed="false">
      <c r="G207" s="1" t="n">
        <v>1</v>
      </c>
      <c r="H207" s="1" t="n">
        <v>1</v>
      </c>
      <c r="I207" s="1" t="n">
        <f aca="false">H207-G207</f>
        <v>0</v>
      </c>
    </row>
    <row r="208" customFormat="false" ht="16" hidden="false" customHeight="false" outlineLevel="0" collapsed="false">
      <c r="G208" s="1" t="n">
        <v>1</v>
      </c>
      <c r="H208" s="1" t="n">
        <v>1</v>
      </c>
      <c r="I208" s="1" t="n">
        <f aca="false">H208-G208</f>
        <v>0</v>
      </c>
    </row>
    <row r="209" customFormat="false" ht="16" hidden="false" customHeight="false" outlineLevel="0" collapsed="false">
      <c r="G209" s="1" t="n">
        <v>2</v>
      </c>
      <c r="H209" s="1" t="n">
        <v>2</v>
      </c>
      <c r="I209" s="1" t="n">
        <f aca="false">H209-G209</f>
        <v>0</v>
      </c>
    </row>
    <row r="210" customFormat="false" ht="16" hidden="false" customHeight="false" outlineLevel="0" collapsed="false">
      <c r="G210" s="1" t="n">
        <v>1</v>
      </c>
      <c r="H210" s="1" t="n">
        <v>2</v>
      </c>
      <c r="I210" s="1" t="n">
        <f aca="false">H210-G210</f>
        <v>1</v>
      </c>
    </row>
    <row r="211" customFormat="false" ht="16" hidden="false" customHeight="false" outlineLevel="0" collapsed="false">
      <c r="G211" s="1" t="n">
        <v>1</v>
      </c>
      <c r="H211" s="1" t="n">
        <v>1</v>
      </c>
      <c r="I211" s="1" t="n">
        <f aca="false">H211-G211</f>
        <v>0</v>
      </c>
    </row>
    <row r="212" customFormat="false" ht="16" hidden="false" customHeight="false" outlineLevel="0" collapsed="false">
      <c r="G212" s="1" t="n">
        <v>3</v>
      </c>
      <c r="H212" s="1" t="n">
        <v>3</v>
      </c>
      <c r="I212" s="1" t="n">
        <f aca="false">H212-G212</f>
        <v>0</v>
      </c>
    </row>
    <row r="213" customFormat="false" ht="16" hidden="false" customHeight="false" outlineLevel="0" collapsed="false">
      <c r="G213" s="1" t="n">
        <v>1</v>
      </c>
      <c r="H213" s="1" t="n">
        <v>1</v>
      </c>
      <c r="I213" s="1" t="n">
        <f aca="false">H213-G213</f>
        <v>0</v>
      </c>
    </row>
    <row r="214" customFormat="false" ht="16" hidden="false" customHeight="false" outlineLevel="0" collapsed="false">
      <c r="G214" s="1" t="n">
        <v>3</v>
      </c>
      <c r="H214" s="1" t="n">
        <v>3</v>
      </c>
      <c r="I214" s="1" t="n">
        <f aca="false">H214-G214</f>
        <v>0</v>
      </c>
    </row>
    <row r="215" customFormat="false" ht="16" hidden="false" customHeight="false" outlineLevel="0" collapsed="false">
      <c r="G215" s="1" t="n">
        <v>2</v>
      </c>
      <c r="H215" s="1" t="n">
        <v>3</v>
      </c>
      <c r="I215" s="1" t="n">
        <f aca="false">H215-G215</f>
        <v>1</v>
      </c>
    </row>
    <row r="216" customFormat="false" ht="16" hidden="false" customHeight="false" outlineLevel="0" collapsed="false">
      <c r="G216" s="1" t="n">
        <v>1</v>
      </c>
      <c r="H216" s="1" t="n">
        <v>1</v>
      </c>
      <c r="I216" s="1" t="n">
        <f aca="false">H216-G216</f>
        <v>0</v>
      </c>
    </row>
    <row r="217" customFormat="false" ht="16" hidden="false" customHeight="false" outlineLevel="0" collapsed="false">
      <c r="G217" s="1" t="n">
        <v>1</v>
      </c>
      <c r="H217" s="1" t="n">
        <v>3</v>
      </c>
      <c r="I217" s="1" t="n">
        <f aca="false">H217-G217</f>
        <v>2</v>
      </c>
    </row>
    <row r="218" customFormat="false" ht="16" hidden="false" customHeight="false" outlineLevel="0" collapsed="false">
      <c r="G218" s="1" t="n">
        <v>1</v>
      </c>
      <c r="H218" s="1" t="n">
        <v>2</v>
      </c>
      <c r="I218" s="1" t="n">
        <f aca="false">H218-G218</f>
        <v>1</v>
      </c>
    </row>
    <row r="219" customFormat="false" ht="16" hidden="false" customHeight="false" outlineLevel="0" collapsed="false">
      <c r="G219" s="1" t="n">
        <v>3</v>
      </c>
      <c r="H219" s="1" t="n">
        <v>3</v>
      </c>
      <c r="I219" s="1" t="n">
        <f aca="false">H219-G219</f>
        <v>0</v>
      </c>
    </row>
    <row r="220" customFormat="false" ht="16" hidden="false" customHeight="false" outlineLevel="0" collapsed="false">
      <c r="G220" s="1" t="n">
        <v>3</v>
      </c>
      <c r="H220" s="1" t="n">
        <v>3</v>
      </c>
      <c r="I220" s="1" t="n">
        <f aca="false">H220-G220</f>
        <v>0</v>
      </c>
    </row>
    <row r="221" customFormat="false" ht="16" hidden="false" customHeight="false" outlineLevel="0" collapsed="false">
      <c r="G221" s="1" t="n">
        <v>2</v>
      </c>
      <c r="H221" s="1" t="n">
        <v>3</v>
      </c>
      <c r="I221" s="1" t="n">
        <f aca="false">H221-G221</f>
        <v>1</v>
      </c>
    </row>
    <row r="222" customFormat="false" ht="16" hidden="false" customHeight="false" outlineLevel="0" collapsed="false">
      <c r="G222" s="1" t="n">
        <v>2</v>
      </c>
      <c r="H222" s="1" t="n">
        <v>2</v>
      </c>
      <c r="I222" s="1" t="n">
        <f aca="false">H222-G222</f>
        <v>0</v>
      </c>
    </row>
    <row r="223" customFormat="false" ht="16" hidden="false" customHeight="false" outlineLevel="0" collapsed="false">
      <c r="G223" s="1" t="n">
        <v>3</v>
      </c>
      <c r="H223" s="1" t="n">
        <v>4</v>
      </c>
      <c r="I223" s="1" t="n">
        <f aca="false">H223-G223</f>
        <v>1</v>
      </c>
    </row>
    <row r="224" customFormat="false" ht="16" hidden="false" customHeight="false" outlineLevel="0" collapsed="false">
      <c r="G224" s="1" t="n">
        <v>2</v>
      </c>
      <c r="H224" s="1" t="n">
        <v>2</v>
      </c>
      <c r="I224" s="1" t="n">
        <f aca="false">H224-G224</f>
        <v>0</v>
      </c>
    </row>
    <row r="225" customFormat="false" ht="16" hidden="false" customHeight="false" outlineLevel="0" collapsed="false">
      <c r="G225" s="1" t="n">
        <v>2</v>
      </c>
      <c r="H225" s="1" t="n">
        <v>2</v>
      </c>
      <c r="I225" s="1" t="n">
        <f aca="false">H225-G225</f>
        <v>0</v>
      </c>
    </row>
    <row r="226" customFormat="false" ht="16" hidden="false" customHeight="false" outlineLevel="0" collapsed="false">
      <c r="G226" s="1" t="n">
        <v>2</v>
      </c>
      <c r="H226" s="1" t="n">
        <v>2</v>
      </c>
      <c r="I226" s="1" t="n">
        <f aca="false">H226-G226</f>
        <v>0</v>
      </c>
    </row>
    <row r="227" customFormat="false" ht="16" hidden="false" customHeight="false" outlineLevel="0" collapsed="false">
      <c r="G227" s="1" t="n">
        <v>3</v>
      </c>
      <c r="H227" s="1" t="n">
        <v>3</v>
      </c>
      <c r="I227" s="1" t="n">
        <f aca="false">H227-G227</f>
        <v>0</v>
      </c>
    </row>
    <row r="228" customFormat="false" ht="16" hidden="false" customHeight="false" outlineLevel="0" collapsed="false">
      <c r="G228" s="1" t="n">
        <v>2</v>
      </c>
      <c r="H228" s="1" t="n">
        <v>2</v>
      </c>
      <c r="I228" s="1" t="n">
        <f aca="false">H228-G228</f>
        <v>0</v>
      </c>
    </row>
    <row r="229" customFormat="false" ht="16" hidden="false" customHeight="false" outlineLevel="0" collapsed="false">
      <c r="G229" s="1" t="n">
        <v>2</v>
      </c>
      <c r="H229" s="1" t="n">
        <v>2</v>
      </c>
      <c r="I229" s="1" t="n">
        <f aca="false">H229-G229</f>
        <v>0</v>
      </c>
    </row>
    <row r="230" customFormat="false" ht="16" hidden="false" customHeight="false" outlineLevel="0" collapsed="false">
      <c r="G230" s="1" t="n">
        <v>2</v>
      </c>
      <c r="H230" s="1" t="n">
        <v>2</v>
      </c>
      <c r="I230" s="1" t="n">
        <f aca="false">H230-G230</f>
        <v>0</v>
      </c>
    </row>
    <row r="231" customFormat="false" ht="16" hidden="false" customHeight="false" outlineLevel="0" collapsed="false">
      <c r="G231" s="1" t="n">
        <v>2</v>
      </c>
      <c r="H231" s="1" t="n">
        <v>2</v>
      </c>
      <c r="I231" s="1" t="n">
        <f aca="false">H231-G231</f>
        <v>0</v>
      </c>
    </row>
    <row r="232" customFormat="false" ht="16" hidden="false" customHeight="false" outlineLevel="0" collapsed="false">
      <c r="G232" s="1" t="n">
        <v>1</v>
      </c>
      <c r="H232" s="1" t="n">
        <v>2</v>
      </c>
      <c r="I232" s="1" t="n">
        <f aca="false">H232-G232</f>
        <v>1</v>
      </c>
    </row>
    <row r="233" customFormat="false" ht="16" hidden="false" customHeight="false" outlineLevel="0" collapsed="false">
      <c r="G233" s="4"/>
      <c r="H233" s="4"/>
      <c r="I23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10.50390625" defaultRowHeight="16" zeroHeight="false" outlineLevelRow="0" outlineLevelCol="0"/>
  <sheetData>
    <row r="1" customFormat="false" ht="16" hidden="false" customHeight="false" outlineLevel="0" collapsed="false">
      <c r="B1" s="1" t="n">
        <f aca="false">0.8/B2</f>
        <v>0.0140350877192982</v>
      </c>
      <c r="D1" s="1" t="n">
        <f aca="false">0.8/D2</f>
        <v>0.00963855421686747</v>
      </c>
      <c r="F1" s="1" t="n">
        <f aca="false">0.8/F2</f>
        <v>0.0125</v>
      </c>
      <c r="H1" s="1" t="n">
        <f aca="false">0.8/H2</f>
        <v>0.0121212121212121</v>
      </c>
      <c r="J1" s="1" t="n">
        <f aca="false">0.8/J2</f>
        <v>0.010958904109589</v>
      </c>
      <c r="L1" s="1" t="n">
        <f aca="false">0.8/L2</f>
        <v>0.0105263157894737</v>
      </c>
      <c r="O1" s="1" t="n">
        <f aca="false">0.8/O2</f>
        <v>0.0140350877192982</v>
      </c>
      <c r="Q1" s="1" t="n">
        <f aca="false">0.8/Q2</f>
        <v>0.00952380952380953</v>
      </c>
      <c r="S1" s="1" t="n">
        <f aca="false">0.8/S2</f>
        <v>0.0145454545454545</v>
      </c>
      <c r="U1" s="1" t="n">
        <f aca="false">0.8/U2</f>
        <v>0.0156862745098039</v>
      </c>
      <c r="W1" s="1" t="n">
        <f aca="false">0.8/W2</f>
        <v>0.0205128205128205</v>
      </c>
      <c r="Y1" s="1" t="n">
        <f aca="false">0.8/Y2</f>
        <v>0.0205128205128205</v>
      </c>
      <c r="AC1" s="1" t="n">
        <f aca="false">0.8/AC2</f>
        <v>0.00761904761904762</v>
      </c>
      <c r="AE1" s="1" t="n">
        <f aca="false">0.8/AE2</f>
        <v>0.0153846153846154</v>
      </c>
      <c r="AG1" s="1" t="n">
        <f aca="false">0.8/AG2</f>
        <v>0.0150943396226415</v>
      </c>
      <c r="AI1" s="1" t="n">
        <f aca="false">0.8/AI2</f>
        <v>0.0228571428571429</v>
      </c>
      <c r="AK1" s="1" t="n">
        <f aca="false">0.8/AK2</f>
        <v>0.0135593220338983</v>
      </c>
      <c r="AN1" s="1" t="n">
        <f aca="false">0.8/AN2</f>
        <v>0.00769230769230769</v>
      </c>
      <c r="AP1" s="1" t="n">
        <f aca="false">0.8/AP2</f>
        <v>0.0170212765957447</v>
      </c>
      <c r="AR1" s="1" t="n">
        <f aca="false">0.8/AR2</f>
        <v>0.0242424242424242</v>
      </c>
      <c r="AT1" s="1" t="n">
        <f aca="false">0.8/AT2</f>
        <v>0.0347826086956522</v>
      </c>
      <c r="AV1" s="1" t="n">
        <f aca="false">0.8/AV2</f>
        <v>0.0285714285714286</v>
      </c>
      <c r="AZ1" s="1" t="n">
        <f aca="false">0.8/AZ2</f>
        <v>0.0170212765957447</v>
      </c>
      <c r="BB1" s="1" t="n">
        <f aca="false">0.8/BB2</f>
        <v>0.0307692307692308</v>
      </c>
      <c r="BE1" s="1" t="n">
        <f aca="false">0.8/BE2</f>
        <v>0.0242424242424242</v>
      </c>
      <c r="BG1" s="1" t="n">
        <f aca="false">0.8/BG2</f>
        <v>0.0666666666666667</v>
      </c>
    </row>
    <row r="2" customFormat="false" ht="16" hidden="false" customHeight="false" outlineLevel="0" collapsed="false">
      <c r="B2" s="1" t="n">
        <f aca="false">COUNTIF(C11:C1000,2)</f>
        <v>57</v>
      </c>
      <c r="D2" s="1" t="n">
        <f aca="false">COUNTIF(E11:E1000,2)</f>
        <v>83</v>
      </c>
      <c r="F2" s="1" t="n">
        <f aca="false">COUNTIF(G11:G1000,2)</f>
        <v>64</v>
      </c>
      <c r="H2" s="1" t="n">
        <f aca="false">COUNTIF(I11:I1000,2)</f>
        <v>66</v>
      </c>
      <c r="J2" s="1" t="n">
        <f aca="false">COUNTIF(K11:K1000,2)</f>
        <v>73</v>
      </c>
      <c r="L2" s="1" t="n">
        <f aca="false">COUNTIF(M11:M1000,2)</f>
        <v>76</v>
      </c>
      <c r="O2" s="1" t="n">
        <f aca="false">COUNTIF(P11:P1000,2)</f>
        <v>57</v>
      </c>
      <c r="Q2" s="1" t="n">
        <f aca="false">COUNTIF(R11:R1000,2)</f>
        <v>84</v>
      </c>
      <c r="S2" s="1" t="n">
        <f aca="false">COUNTIF(T11:T1000,2)</f>
        <v>55</v>
      </c>
      <c r="U2" s="1" t="n">
        <f aca="false">COUNTIF(V11:V1000,2)</f>
        <v>51</v>
      </c>
      <c r="W2" s="1" t="n">
        <f aca="false">COUNTIF(X11:X1000,2)</f>
        <v>39</v>
      </c>
      <c r="Y2" s="1" t="n">
        <f aca="false">COUNTIF(Z11:Z1000,4)</f>
        <v>39</v>
      </c>
      <c r="AC2" s="1" t="n">
        <f aca="false">COUNTIF(AD11:AD1000,2)</f>
        <v>105</v>
      </c>
      <c r="AE2" s="1" t="n">
        <f aca="false">COUNTIF(AF11:AF1000,2)</f>
        <v>52</v>
      </c>
      <c r="AG2" s="1" t="n">
        <f aca="false">COUNTIF(AH11:AH1000,2)</f>
        <v>53</v>
      </c>
      <c r="AI2" s="1" t="n">
        <f aca="false">COUNTIF(AJ11:AJ1000,2)</f>
        <v>35</v>
      </c>
      <c r="AK2" s="1" t="n">
        <f aca="false">COUNTIF(AL11:AL1000,2)</f>
        <v>59</v>
      </c>
      <c r="AN2" s="1" t="n">
        <f aca="false">COUNTIF(AO11:AO1000,2)</f>
        <v>104</v>
      </c>
      <c r="AP2" s="1" t="n">
        <f aca="false">COUNTIF(AQ11:AQ1000,2)</f>
        <v>47</v>
      </c>
      <c r="AR2" s="1" t="n">
        <f aca="false">COUNTIF(AS11:AS1000,4)</f>
        <v>33</v>
      </c>
      <c r="AT2" s="1" t="n">
        <f aca="false">COUNTIF(AU11:AU1000,8)</f>
        <v>23</v>
      </c>
      <c r="AV2" s="1" t="n">
        <f aca="false">COUNTIF(AW11:AW1000,10)</f>
        <v>28</v>
      </c>
      <c r="AZ2" s="1" t="n">
        <f aca="false">COUNTIF(BA11:BA1000,1)</f>
        <v>47</v>
      </c>
      <c r="BB2" s="1" t="n">
        <f aca="false">COUNTIF(BC11:BC1000,2)</f>
        <v>26</v>
      </c>
      <c r="BE2" s="1" t="n">
        <f aca="false">COUNTIF(BF11:BF1000,2)</f>
        <v>33</v>
      </c>
      <c r="BG2" s="1" t="n">
        <f aca="false">COUNTIF(BH11:BH1000,6)</f>
        <v>12</v>
      </c>
    </row>
    <row r="3" customFormat="false" ht="16" hidden="false" customHeight="false" outlineLevel="0" collapsed="false">
      <c r="B3" s="1" t="n">
        <v>1</v>
      </c>
      <c r="D3" s="1" t="n">
        <v>2</v>
      </c>
      <c r="F3" s="1" t="n">
        <v>3</v>
      </c>
      <c r="H3" s="1" t="n">
        <v>4</v>
      </c>
      <c r="J3" s="1" t="n">
        <v>5</v>
      </c>
      <c r="L3" s="1" t="n">
        <v>6</v>
      </c>
      <c r="O3" s="1" t="n">
        <v>1</v>
      </c>
      <c r="Q3" s="1" t="n">
        <v>2</v>
      </c>
      <c r="S3" s="1" t="n">
        <v>3</v>
      </c>
      <c r="U3" s="1" t="n">
        <v>4</v>
      </c>
      <c r="W3" s="1" t="n">
        <v>5</v>
      </c>
      <c r="Y3" s="1" t="n">
        <v>6</v>
      </c>
      <c r="AC3" s="1" t="n">
        <v>1</v>
      </c>
      <c r="AE3" s="1" t="n">
        <v>2</v>
      </c>
      <c r="AG3" s="1" t="n">
        <v>3</v>
      </c>
      <c r="AI3" s="1" t="n">
        <v>4</v>
      </c>
      <c r="AK3" s="1" t="n">
        <v>5</v>
      </c>
      <c r="AN3" s="1" t="n">
        <v>1</v>
      </c>
      <c r="AP3" s="1" t="n">
        <v>2</v>
      </c>
      <c r="AR3" s="1" t="n">
        <v>3</v>
      </c>
      <c r="AT3" s="1" t="n">
        <v>4</v>
      </c>
      <c r="AV3" s="1" t="n">
        <v>5</v>
      </c>
      <c r="AZ3" s="1" t="n">
        <v>1</v>
      </c>
      <c r="BB3" s="1" t="n">
        <v>2</v>
      </c>
      <c r="BE3" s="1" t="n">
        <v>1</v>
      </c>
      <c r="BG3" s="1" t="n">
        <v>2</v>
      </c>
    </row>
    <row r="5" customFormat="false" ht="16" hidden="false" customHeight="false" outlineLevel="0" collapsed="false">
      <c r="A5" s="1" t="s">
        <v>80</v>
      </c>
      <c r="N5" s="1" t="s">
        <v>81</v>
      </c>
      <c r="AB5" s="1" t="s">
        <v>82</v>
      </c>
      <c r="AM5" s="1" t="s">
        <v>83</v>
      </c>
      <c r="AY5" s="1" t="s">
        <v>84</v>
      </c>
      <c r="BD5" s="1" t="s">
        <v>85</v>
      </c>
    </row>
    <row r="6" customFormat="false" ht="16" hidden="false" customHeight="false" outlineLevel="0" collapsed="false">
      <c r="BA6" s="1" t="n">
        <f aca="false">SUM(BA11:BA95)</f>
        <v>144</v>
      </c>
      <c r="BC6" s="1" t="n">
        <f aca="false">SUM(BC11:BC64)</f>
        <v>167</v>
      </c>
      <c r="BF6" s="1" t="n">
        <f aca="false">SUM(BF11:BF95)</f>
        <v>258</v>
      </c>
      <c r="BH6" s="1" t="n">
        <f aca="false">SUM(BH11:BH64)</f>
        <v>398</v>
      </c>
    </row>
    <row r="7" customFormat="false" ht="16" hidden="false" customHeight="false" outlineLevel="0" collapsed="false">
      <c r="BF7" s="1" t="n">
        <f aca="false">BF6/BA6</f>
        <v>1.79166666666667</v>
      </c>
      <c r="BH7" s="1" t="n">
        <f aca="false">BH6/BC6</f>
        <v>2.38323353293413</v>
      </c>
    </row>
    <row r="9" customFormat="false" ht="16" hidden="false" customHeight="false" outlineLevel="0" collapsed="false">
      <c r="B9" s="1" t="s">
        <v>86</v>
      </c>
      <c r="D9" s="1" t="s">
        <v>87</v>
      </c>
      <c r="F9" s="1" t="s">
        <v>88</v>
      </c>
      <c r="H9" s="1" t="s">
        <v>89</v>
      </c>
      <c r="J9" s="1" t="s">
        <v>90</v>
      </c>
      <c r="L9" s="1" t="s">
        <v>91</v>
      </c>
      <c r="O9" s="1" t="s">
        <v>86</v>
      </c>
      <c r="Q9" s="1" t="s">
        <v>87</v>
      </c>
      <c r="S9" s="1" t="s">
        <v>88</v>
      </c>
      <c r="U9" s="1" t="s">
        <v>89</v>
      </c>
      <c r="W9" s="1" t="s">
        <v>90</v>
      </c>
      <c r="Y9" s="1" t="s">
        <v>91</v>
      </c>
      <c r="AC9" s="1" t="s">
        <v>87</v>
      </c>
      <c r="AE9" s="1" t="s">
        <v>88</v>
      </c>
      <c r="AG9" s="1" t="s">
        <v>89</v>
      </c>
      <c r="AI9" s="1" t="s">
        <v>90</v>
      </c>
      <c r="AK9" s="1" t="s">
        <v>91</v>
      </c>
      <c r="AN9" s="1" t="s">
        <v>87</v>
      </c>
      <c r="AP9" s="1" t="s">
        <v>88</v>
      </c>
      <c r="AR9" s="1" t="s">
        <v>89</v>
      </c>
      <c r="AT9" s="1" t="s">
        <v>90</v>
      </c>
      <c r="AV9" s="1" t="s">
        <v>91</v>
      </c>
      <c r="AZ9" s="1" t="s">
        <v>92</v>
      </c>
      <c r="BB9" s="1" t="s">
        <v>91</v>
      </c>
      <c r="BE9" s="1" t="s">
        <v>92</v>
      </c>
      <c r="BG9" s="1" t="s">
        <v>91</v>
      </c>
    </row>
    <row r="10" customFormat="false" ht="16" hidden="false" customHeight="false" outlineLevel="0" collapsed="false">
      <c r="B10" s="1" t="s">
        <v>93</v>
      </c>
      <c r="C10" s="1" t="s">
        <v>94</v>
      </c>
      <c r="D10" s="1" t="s">
        <v>93</v>
      </c>
      <c r="E10" s="1" t="s">
        <v>94</v>
      </c>
      <c r="F10" s="1" t="s">
        <v>93</v>
      </c>
      <c r="G10" s="1" t="s">
        <v>94</v>
      </c>
      <c r="H10" s="1" t="s">
        <v>93</v>
      </c>
      <c r="I10" s="1" t="s">
        <v>94</v>
      </c>
      <c r="J10" s="1" t="s">
        <v>93</v>
      </c>
      <c r="K10" s="1" t="s">
        <v>94</v>
      </c>
      <c r="L10" s="1" t="s">
        <v>93</v>
      </c>
      <c r="M10" s="1" t="s">
        <v>94</v>
      </c>
      <c r="O10" s="1" t="s">
        <v>93</v>
      </c>
      <c r="P10" s="1" t="s">
        <v>94</v>
      </c>
      <c r="Q10" s="1" t="s">
        <v>93</v>
      </c>
      <c r="R10" s="1" t="s">
        <v>94</v>
      </c>
      <c r="S10" s="1" t="s">
        <v>93</v>
      </c>
      <c r="T10" s="1" t="s">
        <v>94</v>
      </c>
      <c r="U10" s="1" t="s">
        <v>93</v>
      </c>
      <c r="V10" s="1" t="s">
        <v>94</v>
      </c>
      <c r="W10" s="1" t="s">
        <v>93</v>
      </c>
      <c r="X10" s="1" t="s">
        <v>94</v>
      </c>
      <c r="Y10" s="1" t="s">
        <v>93</v>
      </c>
      <c r="Z10" s="1" t="s">
        <v>94</v>
      </c>
      <c r="AC10" s="1" t="s">
        <v>93</v>
      </c>
      <c r="AE10" s="1" t="s">
        <v>93</v>
      </c>
      <c r="AG10" s="1" t="s">
        <v>93</v>
      </c>
      <c r="AI10" s="1" t="s">
        <v>93</v>
      </c>
      <c r="AK10" s="1" t="s">
        <v>93</v>
      </c>
      <c r="AN10" s="1" t="s">
        <v>93</v>
      </c>
      <c r="AP10" s="1" t="s">
        <v>93</v>
      </c>
      <c r="AR10" s="1" t="s">
        <v>93</v>
      </c>
      <c r="AT10" s="1" t="s">
        <v>93</v>
      </c>
      <c r="AV10" s="1" t="s">
        <v>93</v>
      </c>
      <c r="AZ10" s="1" t="s">
        <v>93</v>
      </c>
      <c r="BB10" s="1" t="s">
        <v>93</v>
      </c>
      <c r="BE10" s="1" t="s">
        <v>93</v>
      </c>
      <c r="BG10" s="1" t="s">
        <v>93</v>
      </c>
    </row>
    <row r="11" customFormat="false" ht="16" hidden="false" customHeight="false" outlineLevel="0" collapsed="false">
      <c r="A11" s="1" t="n">
        <v>1</v>
      </c>
      <c r="B11" s="1" t="n">
        <f aca="false">IF(C11=C10,B10+B$1,B$3-0.5*B$1*(COUNTIF(C$11:C$1000,C11)-1))</f>
        <v>0.614035087719298</v>
      </c>
      <c r="C11" s="1" t="n">
        <v>1</v>
      </c>
      <c r="D11" s="1" t="n">
        <f aca="false">IF(E11=E10,D10+D$1,D$3-0.5*D$1*(COUNTIF(E$11:E$1000,E11)-1))</f>
        <v>1.66265060240964</v>
      </c>
      <c r="E11" s="1" t="n">
        <v>1</v>
      </c>
      <c r="F11" s="1" t="n">
        <f aca="false">IF(G11=G10,F10+F$1,F$3-0.5*F$1*(COUNTIF(G$11:G$1000,G11)-1))</f>
        <v>2.80625</v>
      </c>
      <c r="G11" s="1" t="n">
        <v>1</v>
      </c>
      <c r="H11" s="1" t="n">
        <f aca="false">IF(I11=I10,H10+H$1,H$3-0.5*H$1*(COUNTIF(I$11:I$1000,I11)-1))</f>
        <v>3.6969696969697</v>
      </c>
      <c r="I11" s="1" t="n">
        <v>1</v>
      </c>
      <c r="J11" s="1" t="n">
        <f aca="false">IF(K11=K10,J10+J$1,J$3-0.5*J$1*(COUNTIF(K$11:K$1000,K11)-1))</f>
        <v>4.85753424657534</v>
      </c>
      <c r="K11" s="1" t="n">
        <v>1</v>
      </c>
      <c r="L11" s="1" t="n">
        <f aca="false">IF(M11=M10,L10+L$1,L$3-0.5*L$1*(COUNTIF(M$11:M$1000,M11)-1))</f>
        <v>5.81052631578947</v>
      </c>
      <c r="M11" s="1" t="n">
        <v>1</v>
      </c>
      <c r="O11" s="1" t="n">
        <f aca="false">IF(P11=P10,O10+O$1,O$3-0.5*O$1*(COUNTIF(P$11:P$1000,P11)-1))</f>
        <v>0.614035087719298</v>
      </c>
      <c r="P11" s="1" t="n">
        <v>1</v>
      </c>
      <c r="Q11" s="1" t="n">
        <f aca="false">IF(R11=R10,Q10+Q$1,Q$3-0.5*Q$1*(COUNTIF(R$11:R$1000,R11)-1))</f>
        <v>1.7</v>
      </c>
      <c r="R11" s="1" t="n">
        <v>1</v>
      </c>
      <c r="S11" s="1" t="n">
        <f aca="false">IF(T11=T10,S10+S$1,S$3-0.5*S$1*(COUNTIF(T$11:T$1000,T11)-1))</f>
        <v>2.85454545454545</v>
      </c>
      <c r="T11" s="1" t="n">
        <v>1</v>
      </c>
      <c r="U11" s="1" t="n">
        <f aca="false">IF(V11=V10,U10+U$1,U$3-0.5*U$1*(COUNTIF(V$11:V$1000,V11)-1))</f>
        <v>3.81960784313725</v>
      </c>
      <c r="V11" s="1" t="n">
        <v>1</v>
      </c>
      <c r="W11" s="1" t="n">
        <f aca="false">IF(X11=X10,W10+W$1,W$3-0.5*W$1*(COUNTIF(X$11:X$1000,X11)-1))</f>
        <v>4.8974358974359</v>
      </c>
      <c r="X11" s="1" t="n">
        <v>1</v>
      </c>
      <c r="Y11" s="1" t="n">
        <f aca="false">IF(Z11=Z10,Y10+Y$1,Y$3-0.5*Y$1*(COUNTIF(Z$11:Z$1000,Z11)-1))</f>
        <v>5.90769230769231</v>
      </c>
      <c r="Z11" s="1" t="n">
        <v>1</v>
      </c>
      <c r="AB11" s="1" t="n">
        <v>1</v>
      </c>
      <c r="AC11" s="1" t="n">
        <f aca="false">IF(AD11=AD10,AC10+AC$1,AC$3-0.5*AC$1*(COUNTIF(AD$11:AD$1000,AD11)-1))</f>
        <v>0.660952380952381</v>
      </c>
      <c r="AD11" s="1" t="n">
        <v>1</v>
      </c>
      <c r="AE11" s="1" t="n">
        <f aca="false">IF(AF11=AF10,AE10+AE$1,AE$3-0.5*AE$1*(COUNTIF(AF$11:AF$1000,AF11)-1))</f>
        <v>1.71538461538462</v>
      </c>
      <c r="AF11" s="1" t="n">
        <v>1</v>
      </c>
      <c r="AG11" s="1" t="n">
        <f aca="false">IF(AH11=AH10,AG10+AG$1,AG$3-0.5*AG$1*(COUNTIF(AH$11:AH$1000,AH11)-1))</f>
        <v>2.82641509433962</v>
      </c>
      <c r="AH11" s="1" t="n">
        <v>1</v>
      </c>
      <c r="AI11" s="1" t="n">
        <f aca="false">IF(AJ11=AJ10,AI10+AI$1,AI$3-0.5*AI$1*(COUNTIF(AJ$11:AJ$1000,AJ11)-1))</f>
        <v>3.88571428571429</v>
      </c>
      <c r="AJ11" s="1" t="n">
        <v>1</v>
      </c>
      <c r="AK11" s="1" t="n">
        <f aca="false">IF(AL11=AL10,AK10+AK$1,AK$3-0.5*AK$1*(COUNTIF(AL$11:AL$1000,AL11)-1))</f>
        <v>4.91864406779661</v>
      </c>
      <c r="AL11" s="1" t="n">
        <v>1</v>
      </c>
      <c r="AN11" s="1" t="n">
        <f aca="false">IF(AO11=AO10,AN10+AN$1,AN$3-0.5*AN$1*(COUNTIF(AO$11:AO$1000,AO11)-1))</f>
        <v>0.703846153846154</v>
      </c>
      <c r="AO11" s="1" t="n">
        <v>1</v>
      </c>
      <c r="AP11" s="1" t="n">
        <f aca="false">IF(AQ11=AQ10,AP10+AP$1,AP$3-0.5*AP$1*(COUNTIF(AQ$11:AQ$1000,AQ11)-1))</f>
        <v>1.85531914893617</v>
      </c>
      <c r="AQ11" s="1" t="n">
        <v>1</v>
      </c>
      <c r="AR11" s="1" t="n">
        <f aca="false">IF(AS11=AS10,AR10+AR$1,AR$3-0.5*AR$1*(COUNTIF(AS$11:AS$1000,AS11)-1))</f>
        <v>2.89090909090909</v>
      </c>
      <c r="AS11" s="1" t="n">
        <v>1</v>
      </c>
      <c r="AT11" s="1" t="n">
        <f aca="false">IF(AU11=AU10,AT10+AT$1,AT$3-0.5*AT$1*(COUNTIF(AU$11:AU$1000,AU11)-1))</f>
        <v>3.96521739130435</v>
      </c>
      <c r="AU11" s="1" t="n">
        <v>1</v>
      </c>
      <c r="AV11" s="1" t="n">
        <f aca="false">IF(AW11=AW10,AV10+AV$1,AV$3-0.5*AV$1*(COUNTIF(AW$11:AW$1000,AW11)-1))</f>
        <v>4.97142857142857</v>
      </c>
      <c r="AW11" s="1" t="n">
        <v>1</v>
      </c>
      <c r="AY11" s="1" t="n">
        <v>1</v>
      </c>
      <c r="AZ11" s="1" t="n">
        <f aca="false">IF(BA11=BA10,AZ10+AZ$1,AZ$3-0.5*AZ$1*(COUNTIF(BA$11:BA$1000,BA11)-1))</f>
        <v>0.608510638297872</v>
      </c>
      <c r="BA11" s="1" t="n">
        <v>1</v>
      </c>
      <c r="BB11" s="1" t="n">
        <f aca="false">IF(BC11=BC10,BB10+BB$1,BB$3-0.5*BB$1*(COUNTIF(BC$11:BC$1000,BC11)-1))</f>
        <v>1.93846153846154</v>
      </c>
      <c r="BC11" s="1" t="n">
        <v>1</v>
      </c>
      <c r="BE11" s="1" t="n">
        <f aca="false">IF(BF11=BF10,BE10+BE$1,BE$3-0.5*BE$1*(COUNTIF(BF$11:BF$1000,BF11)-1))</f>
        <v>0.915151515151515</v>
      </c>
      <c r="BF11" s="1" t="n">
        <v>1</v>
      </c>
      <c r="BG11" s="1" t="n">
        <f aca="false">IF(BH11=BH10,BG10+BG$1,BG$3-0.5*BG$1*(COUNTIF(BH$11:BH$1000,BH11)-1))</f>
        <v>1.9</v>
      </c>
      <c r="BH11" s="1" t="n">
        <v>2</v>
      </c>
    </row>
    <row r="12" customFormat="false" ht="16" hidden="false" customHeight="false" outlineLevel="0" collapsed="false">
      <c r="A12" s="1" t="n">
        <v>2</v>
      </c>
      <c r="B12" s="1" t="n">
        <f aca="false">IF(C12=C11,B11+B$1,B$3-0.5*B$1*(COUNTIF(C$11:C$1000,C12)-1))</f>
        <v>0.628070175438596</v>
      </c>
      <c r="C12" s="1" t="n">
        <v>1</v>
      </c>
      <c r="D12" s="1" t="n">
        <f aca="false">IF(E12=E11,D11+D$1,D$3-0.5*D$1*(COUNTIF(E$11:E$1000,E12)-1))</f>
        <v>1.67228915662651</v>
      </c>
      <c r="E12" s="1" t="n">
        <v>1</v>
      </c>
      <c r="F12" s="1" t="n">
        <f aca="false">IF(G12=G11,F11+F$1,F$3-0.5*F$1*(COUNTIF(G$11:G$1000,G12)-1))</f>
        <v>2.81875</v>
      </c>
      <c r="G12" s="1" t="n">
        <v>1</v>
      </c>
      <c r="H12" s="1" t="n">
        <f aca="false">IF(I12=I11,H11+H$1,H$3-0.5*H$1*(COUNTIF(I$11:I$1000,I12)-1))</f>
        <v>3.70909090909091</v>
      </c>
      <c r="I12" s="1" t="n">
        <v>1</v>
      </c>
      <c r="J12" s="1" t="n">
        <f aca="false">IF(K12=K11,J11+J$1,J$3-0.5*J$1*(COUNTIF(K$11:K$1000,K12)-1))</f>
        <v>4.86849315068493</v>
      </c>
      <c r="K12" s="1" t="n">
        <v>1</v>
      </c>
      <c r="L12" s="1" t="n">
        <f aca="false">IF(M12=M11,L11+L$1,L$3-0.5*L$1*(COUNTIF(M$11:M$1000,M12)-1))</f>
        <v>5.82105263157895</v>
      </c>
      <c r="M12" s="1" t="n">
        <v>1</v>
      </c>
      <c r="O12" s="1" t="n">
        <f aca="false">IF(P12=P11,O11+O$1,O$3-0.5*O$1*(COUNTIF(P$11:P$1000,P12)-1))</f>
        <v>0.628070175438596</v>
      </c>
      <c r="P12" s="1" t="n">
        <v>1</v>
      </c>
      <c r="Q12" s="1" t="n">
        <f aca="false">IF(R12=R11,Q11+Q$1,Q$3-0.5*Q$1*(COUNTIF(R$11:R$1000,R12)-1))</f>
        <v>1.70952380952381</v>
      </c>
      <c r="R12" s="1" t="n">
        <v>1</v>
      </c>
      <c r="S12" s="1" t="n">
        <f aca="false">IF(T12=T11,S11+S$1,S$3-0.5*S$1*(COUNTIF(T$11:T$1000,T12)-1))</f>
        <v>2.86909090909091</v>
      </c>
      <c r="T12" s="1" t="n">
        <v>1</v>
      </c>
      <c r="U12" s="1" t="n">
        <f aca="false">IF(V12=V11,U11+U$1,U$3-0.5*U$1*(COUNTIF(V$11:V$1000,V12)-1))</f>
        <v>3.83529411764706</v>
      </c>
      <c r="V12" s="1" t="n">
        <v>1</v>
      </c>
      <c r="W12" s="1" t="n">
        <f aca="false">IF(X12=X11,W11+W$1,W$3-0.5*W$1*(COUNTIF(X$11:X$1000,X12)-1))</f>
        <v>4.91794871794872</v>
      </c>
      <c r="X12" s="1" t="n">
        <v>1</v>
      </c>
      <c r="Y12" s="1" t="n">
        <f aca="false">IF(Z12=Z11,Y11+Y$1,Y$3-0.5*Y$1*(COUNTIF(Z$11:Z$1000,Z12)-1))</f>
        <v>5.92820512820513</v>
      </c>
      <c r="Z12" s="1" t="n">
        <v>1</v>
      </c>
      <c r="AB12" s="1" t="n">
        <v>2</v>
      </c>
      <c r="AC12" s="1" t="n">
        <f aca="false">IF(AD12=AD11,AC11+AC$1,AC$3-0.5*AC$1*(COUNTIF(AD$11:AD$1000,AD12)-1))</f>
        <v>0.668571428571429</v>
      </c>
      <c r="AD12" s="1" t="n">
        <v>1</v>
      </c>
      <c r="AE12" s="1" t="n">
        <f aca="false">IF(AF12=AF11,AE11+AE$1,AE$3-0.5*AE$1*(COUNTIF(AF$11:AF$1000,AF12)-1))</f>
        <v>1.73076923076923</v>
      </c>
      <c r="AF12" s="1" t="n">
        <v>1</v>
      </c>
      <c r="AG12" s="1" t="n">
        <f aca="false">IF(AH12=AH11,AG11+AG$1,AG$3-0.5*AG$1*(COUNTIF(AH$11:AH$1000,AH12)-1))</f>
        <v>2.84150943396226</v>
      </c>
      <c r="AH12" s="1" t="n">
        <v>1</v>
      </c>
      <c r="AI12" s="1" t="n">
        <f aca="false">IF(AJ12=AJ11,AI11+AI$1,AI$3-0.5*AI$1*(COUNTIF(AJ$11:AJ$1000,AJ12)-1))</f>
        <v>3.90857142857143</v>
      </c>
      <c r="AJ12" s="1" t="n">
        <v>1</v>
      </c>
      <c r="AK12" s="1" t="n">
        <f aca="false">IF(AL12=AL11,AK11+AK$1,AK$3-0.5*AK$1*(COUNTIF(AL$11:AL$1000,AL12)-1))</f>
        <v>4.93220338983051</v>
      </c>
      <c r="AL12" s="1" t="n">
        <v>1</v>
      </c>
      <c r="AN12" s="1" t="n">
        <f aca="false">IF(AO12=AO11,AN11+AN$1,AN$3-0.5*AN$1*(COUNTIF(AO$11:AO$1000,AO12)-1))</f>
        <v>0.711538461538461</v>
      </c>
      <c r="AO12" s="1" t="n">
        <v>1</v>
      </c>
      <c r="AP12" s="1" t="n">
        <f aca="false">IF(AQ12=AQ11,AP11+AP$1,AP$3-0.5*AP$1*(COUNTIF(AQ$11:AQ$1000,AQ12)-1))</f>
        <v>1.87234042553192</v>
      </c>
      <c r="AQ12" s="1" t="n">
        <v>1</v>
      </c>
      <c r="AR12" s="1" t="n">
        <f aca="false">IF(AS12=AS11,AR11+AR$1,AR$3-0.5*AR$1*(COUNTIF(AS$11:AS$1000,AS12)-1))</f>
        <v>2.91515151515152</v>
      </c>
      <c r="AS12" s="1" t="n">
        <v>1</v>
      </c>
      <c r="AT12" s="1" t="n">
        <f aca="false">IF(AU12=AU11,AT11+AT$1,AT$3-0.5*AT$1*(COUNTIF(AU$11:AU$1000,AU12)-1))</f>
        <v>4</v>
      </c>
      <c r="AU12" s="1" t="n">
        <v>1</v>
      </c>
      <c r="AV12" s="1" t="n">
        <f aca="false">IF(AW12=AW11,AV11+AV$1,AV$3-0.5*AV$1*(COUNTIF(AW$11:AW$1000,AW12)-1))</f>
        <v>5</v>
      </c>
      <c r="AW12" s="1" t="n">
        <v>1</v>
      </c>
      <c r="AY12" s="1" t="n">
        <v>2</v>
      </c>
      <c r="AZ12" s="1" t="n">
        <f aca="false">IF(BA12=BA11,AZ11+AZ$1,AZ$3-0.5*AZ$1*(COUNTIF(BA$11:BA$1000,BA12)-1))</f>
        <v>0.625531914893617</v>
      </c>
      <c r="BA12" s="1" t="n">
        <v>1</v>
      </c>
      <c r="BB12" s="1" t="n">
        <f aca="false">IF(BC12=BC11,BB11+BB$1,BB$3-0.5*BB$1*(COUNTIF(BC$11:BC$1000,BC12)-1))</f>
        <v>1.96923076923077</v>
      </c>
      <c r="BC12" s="1" t="n">
        <v>1</v>
      </c>
      <c r="BE12" s="1" t="n">
        <f aca="false">IF(BF12=BF11,BE11+BE$1,BE$3-0.5*BE$1*(COUNTIF(BF$11:BF$1000,BF12)-1))</f>
        <v>0.939393939393939</v>
      </c>
      <c r="BF12" s="1" t="n">
        <v>1</v>
      </c>
      <c r="BG12" s="1" t="n">
        <f aca="false">IF(BH12=BH11,BG11+BG$1,BG$3-0.5*BG$1*(COUNTIF(BH$11:BH$1000,BH12)-1))</f>
        <v>1.96666666666667</v>
      </c>
      <c r="BH12" s="1" t="n">
        <v>2</v>
      </c>
    </row>
    <row r="13" customFormat="false" ht="16" hidden="false" customHeight="false" outlineLevel="0" collapsed="false">
      <c r="A13" s="1" t="n">
        <v>3</v>
      </c>
      <c r="B13" s="1" t="n">
        <f aca="false">IF(C13=C12,B12+B$1,B$3-0.5*B$1*(COUNTIF(C$11:C$1000,C13)-1))</f>
        <v>0.642105263157895</v>
      </c>
      <c r="C13" s="1" t="n">
        <v>1</v>
      </c>
      <c r="D13" s="1" t="n">
        <f aca="false">IF(E13=E12,D12+D$1,D$3-0.5*D$1*(COUNTIF(E$11:E$1000,E13)-1))</f>
        <v>1.68192771084337</v>
      </c>
      <c r="E13" s="1" t="n">
        <v>1</v>
      </c>
      <c r="F13" s="1" t="n">
        <f aca="false">IF(G13=G12,F12+F$1,F$3-0.5*F$1*(COUNTIF(G$11:G$1000,G13)-1))</f>
        <v>2.83125</v>
      </c>
      <c r="G13" s="1" t="n">
        <v>1</v>
      </c>
      <c r="H13" s="1" t="n">
        <f aca="false">IF(I13=I12,H12+H$1,H$3-0.5*H$1*(COUNTIF(I$11:I$1000,I13)-1))</f>
        <v>3.72121212121212</v>
      </c>
      <c r="I13" s="1" t="n">
        <v>1</v>
      </c>
      <c r="J13" s="1" t="n">
        <f aca="false">IF(K13=K12,J12+J$1,J$3-0.5*J$1*(COUNTIF(K$11:K$1000,K13)-1))</f>
        <v>4.87945205479452</v>
      </c>
      <c r="K13" s="1" t="n">
        <v>1</v>
      </c>
      <c r="L13" s="1" t="n">
        <f aca="false">IF(M13=M12,L12+L$1,L$3-0.5*L$1*(COUNTIF(M$11:M$1000,M13)-1))</f>
        <v>5.83157894736842</v>
      </c>
      <c r="M13" s="1" t="n">
        <v>1</v>
      </c>
      <c r="O13" s="1" t="n">
        <f aca="false">IF(P13=P12,O12+O$1,O$3-0.5*O$1*(COUNTIF(P$11:P$1000,P13)-1))</f>
        <v>0.642105263157895</v>
      </c>
      <c r="P13" s="1" t="n">
        <v>1</v>
      </c>
      <c r="Q13" s="1" t="n">
        <f aca="false">IF(R13=R12,Q12+Q$1,Q$3-0.5*Q$1*(COUNTIF(R$11:R$1000,R13)-1))</f>
        <v>1.71904761904762</v>
      </c>
      <c r="R13" s="1" t="n">
        <v>1</v>
      </c>
      <c r="S13" s="1" t="n">
        <f aca="false">IF(T13=T12,S12+S$1,S$3-0.5*S$1*(COUNTIF(T$11:T$1000,T13)-1))</f>
        <v>2.88363636363636</v>
      </c>
      <c r="T13" s="1" t="n">
        <v>1</v>
      </c>
      <c r="U13" s="1" t="n">
        <f aca="false">IF(V13=V12,U12+U$1,U$3-0.5*U$1*(COUNTIF(V$11:V$1000,V13)-1))</f>
        <v>3.85098039215686</v>
      </c>
      <c r="V13" s="1" t="n">
        <v>1</v>
      </c>
      <c r="W13" s="1" t="n">
        <f aca="false">IF(X13=X12,W12+W$1,W$3-0.5*W$1*(COUNTIF(X$11:X$1000,X13)-1))</f>
        <v>4.93846153846154</v>
      </c>
      <c r="X13" s="1" t="n">
        <v>1</v>
      </c>
      <c r="Y13" s="1" t="n">
        <f aca="false">IF(Z13=Z12,Y12+Y$1,Y$3-0.5*Y$1*(COUNTIF(Z$11:Z$1000,Z13)-1))</f>
        <v>5.94871794871795</v>
      </c>
      <c r="Z13" s="1" t="n">
        <v>1</v>
      </c>
      <c r="AB13" s="1" t="n">
        <v>3</v>
      </c>
      <c r="AC13" s="1" t="n">
        <f aca="false">IF(AD13=AD12,AC12+AC$1,AC$3-0.5*AC$1*(COUNTIF(AD$11:AD$1000,AD13)-1))</f>
        <v>0.676190476190476</v>
      </c>
      <c r="AD13" s="1" t="n">
        <v>1</v>
      </c>
      <c r="AE13" s="1" t="n">
        <f aca="false">IF(AF13=AF12,AE12+AE$1,AE$3-0.5*AE$1*(COUNTIF(AF$11:AF$1000,AF13)-1))</f>
        <v>1.74615384615385</v>
      </c>
      <c r="AF13" s="1" t="n">
        <v>1</v>
      </c>
      <c r="AG13" s="1" t="n">
        <f aca="false">IF(AH13=AH12,AG12+AG$1,AG$3-0.5*AG$1*(COUNTIF(AH$11:AH$1000,AH13)-1))</f>
        <v>2.85660377358491</v>
      </c>
      <c r="AH13" s="1" t="n">
        <v>1</v>
      </c>
      <c r="AI13" s="1" t="n">
        <f aca="false">IF(AJ13=AJ12,AI12+AI$1,AI$3-0.5*AI$1*(COUNTIF(AJ$11:AJ$1000,AJ13)-1))</f>
        <v>3.93142857142857</v>
      </c>
      <c r="AJ13" s="1" t="n">
        <v>1</v>
      </c>
      <c r="AK13" s="1" t="n">
        <f aca="false">IF(AL13=AL12,AK12+AK$1,AK$3-0.5*AK$1*(COUNTIF(AL$11:AL$1000,AL13)-1))</f>
        <v>4.94576271186441</v>
      </c>
      <c r="AL13" s="1" t="n">
        <v>1</v>
      </c>
      <c r="AN13" s="1" t="n">
        <f aca="false">IF(AO13=AO12,AN12+AN$1,AN$3-0.5*AN$1*(COUNTIF(AO$11:AO$1000,AO13)-1))</f>
        <v>0.719230769230769</v>
      </c>
      <c r="AO13" s="1" t="n">
        <v>1</v>
      </c>
      <c r="AP13" s="1" t="n">
        <f aca="false">IF(AQ13=AQ12,AP12+AP$1,AP$3-0.5*AP$1*(COUNTIF(AQ$11:AQ$1000,AQ13)-1))</f>
        <v>1.88936170212766</v>
      </c>
      <c r="AQ13" s="1" t="n">
        <v>1</v>
      </c>
      <c r="AR13" s="1" t="n">
        <f aca="false">IF(AS13=AS12,AR12+AR$1,AR$3-0.5*AR$1*(COUNTIF(AS$11:AS$1000,AS13)-1))</f>
        <v>2.93939393939394</v>
      </c>
      <c r="AS13" s="1" t="n">
        <v>1</v>
      </c>
      <c r="AT13" s="1" t="n">
        <f aca="false">IF(AU13=AU12,AT12+AT$1,AT$3-0.5*AT$1*(COUNTIF(AU$11:AU$1000,AU13)-1))</f>
        <v>4.03478260869565</v>
      </c>
      <c r="AU13" s="1" t="n">
        <v>1</v>
      </c>
      <c r="AV13" s="1" t="n">
        <f aca="false">IF(AW13=AW12,AV12+AV$1,AV$3-0.5*AV$1*(COUNTIF(AW$11:AW$1000,AW13)-1))</f>
        <v>5.02857142857143</v>
      </c>
      <c r="AW13" s="1" t="n">
        <v>1</v>
      </c>
      <c r="AY13" s="1" t="n">
        <v>3</v>
      </c>
      <c r="AZ13" s="1" t="n">
        <f aca="false">IF(BA13=BA12,AZ12+AZ$1,AZ$3-0.5*AZ$1*(COUNTIF(BA$11:BA$1000,BA13)-1))</f>
        <v>0.642553191489362</v>
      </c>
      <c r="BA13" s="1" t="n">
        <v>1</v>
      </c>
      <c r="BB13" s="1" t="n">
        <f aca="false">IF(BC13=BC12,BB12+BB$1,BB$3-0.5*BB$1*(COUNTIF(BC$11:BC$1000,BC13)-1))</f>
        <v>2</v>
      </c>
      <c r="BC13" s="1" t="n">
        <v>1</v>
      </c>
      <c r="BE13" s="1" t="n">
        <f aca="false">IF(BF13=BF12,BE12+BE$1,BE$3-0.5*BE$1*(COUNTIF(BF$11:BF$1000,BF13)-1))</f>
        <v>0.963636363636364</v>
      </c>
      <c r="BF13" s="1" t="n">
        <v>1</v>
      </c>
      <c r="BG13" s="1" t="n">
        <f aca="false">IF(BH13=BH12,BG12+BG$1,BG$3-0.5*BG$1*(COUNTIF(BH$11:BH$1000,BH13)-1))</f>
        <v>2.03333333333333</v>
      </c>
      <c r="BH13" s="1" t="n">
        <v>2</v>
      </c>
    </row>
    <row r="14" customFormat="false" ht="16" hidden="false" customHeight="false" outlineLevel="0" collapsed="false">
      <c r="A14" s="1" t="n">
        <v>4</v>
      </c>
      <c r="B14" s="1" t="n">
        <f aca="false">IF(C14=C13,B13+B$1,B$3-0.5*B$1*(COUNTIF(C$11:C$1000,C14)-1))</f>
        <v>0.656140350877193</v>
      </c>
      <c r="C14" s="1" t="n">
        <v>1</v>
      </c>
      <c r="D14" s="1" t="n">
        <f aca="false">IF(E14=E13,D13+D$1,D$3-0.5*D$1*(COUNTIF(E$11:E$1000,E14)-1))</f>
        <v>1.69156626506024</v>
      </c>
      <c r="E14" s="1" t="n">
        <v>1</v>
      </c>
      <c r="F14" s="1" t="n">
        <f aca="false">IF(G14=G13,F13+F$1,F$3-0.5*F$1*(COUNTIF(G$11:G$1000,G14)-1))</f>
        <v>2.84375</v>
      </c>
      <c r="G14" s="1" t="n">
        <v>1</v>
      </c>
      <c r="H14" s="1" t="n">
        <f aca="false">IF(I14=I13,H13+H$1,H$3-0.5*H$1*(COUNTIF(I$11:I$1000,I14)-1))</f>
        <v>3.73333333333333</v>
      </c>
      <c r="I14" s="1" t="n">
        <v>1</v>
      </c>
      <c r="J14" s="1" t="n">
        <f aca="false">IF(K14=K13,J13+J$1,J$3-0.5*J$1*(COUNTIF(K$11:K$1000,K14)-1))</f>
        <v>4.89041095890411</v>
      </c>
      <c r="K14" s="1" t="n">
        <v>1</v>
      </c>
      <c r="L14" s="1" t="n">
        <f aca="false">IF(M14=M13,L13+L$1,L$3-0.5*L$1*(COUNTIF(M$11:M$1000,M14)-1))</f>
        <v>5.84210526315789</v>
      </c>
      <c r="M14" s="1" t="n">
        <v>1</v>
      </c>
      <c r="O14" s="1" t="n">
        <f aca="false">IF(P14=P13,O13+O$1,O$3-0.5*O$1*(COUNTIF(P$11:P$1000,P14)-1))</f>
        <v>0.656140350877193</v>
      </c>
      <c r="P14" s="1" t="n">
        <v>1</v>
      </c>
      <c r="Q14" s="1" t="n">
        <f aca="false">IF(R14=R13,Q13+Q$1,Q$3-0.5*Q$1*(COUNTIF(R$11:R$1000,R14)-1))</f>
        <v>1.72857142857143</v>
      </c>
      <c r="R14" s="1" t="n">
        <v>1</v>
      </c>
      <c r="S14" s="1" t="n">
        <f aca="false">IF(T14=T13,S13+S$1,S$3-0.5*S$1*(COUNTIF(T$11:T$1000,T14)-1))</f>
        <v>2.89818181818182</v>
      </c>
      <c r="T14" s="1" t="n">
        <v>1</v>
      </c>
      <c r="U14" s="1" t="n">
        <f aca="false">IF(V14=V13,U13+U$1,U$3-0.5*U$1*(COUNTIF(V$11:V$1000,V14)-1))</f>
        <v>3.86666666666667</v>
      </c>
      <c r="V14" s="1" t="n">
        <v>1</v>
      </c>
      <c r="W14" s="1" t="n">
        <f aca="false">IF(X14=X13,W13+W$1,W$3-0.5*W$1*(COUNTIF(X$11:X$1000,X14)-1))</f>
        <v>4.95897435897436</v>
      </c>
      <c r="X14" s="1" t="n">
        <v>1</v>
      </c>
      <c r="Y14" s="1" t="n">
        <f aca="false">IF(Z14=Z13,Y13+Y$1,Y$3-0.5*Y$1*(COUNTIF(Z$11:Z$1000,Z14)-1))</f>
        <v>5.96923076923077</v>
      </c>
      <c r="Z14" s="1" t="n">
        <v>1</v>
      </c>
      <c r="AB14" s="1" t="n">
        <v>4</v>
      </c>
      <c r="AC14" s="1" t="n">
        <f aca="false">IF(AD14=AD13,AC13+AC$1,AC$3-0.5*AC$1*(COUNTIF(AD$11:AD$1000,AD14)-1))</f>
        <v>0.683809523809524</v>
      </c>
      <c r="AD14" s="1" t="n">
        <v>1</v>
      </c>
      <c r="AE14" s="1" t="n">
        <f aca="false">IF(AF14=AF13,AE13+AE$1,AE$3-0.5*AE$1*(COUNTIF(AF$11:AF$1000,AF14)-1))</f>
        <v>1.76153846153846</v>
      </c>
      <c r="AF14" s="1" t="n">
        <v>1</v>
      </c>
      <c r="AG14" s="1" t="n">
        <f aca="false">IF(AH14=AH13,AG13+AG$1,AG$3-0.5*AG$1*(COUNTIF(AH$11:AH$1000,AH14)-1))</f>
        <v>2.87169811320755</v>
      </c>
      <c r="AH14" s="1" t="n">
        <v>1</v>
      </c>
      <c r="AI14" s="1" t="n">
        <f aca="false">IF(AJ14=AJ13,AI13+AI$1,AI$3-0.5*AI$1*(COUNTIF(AJ$11:AJ$1000,AJ14)-1))</f>
        <v>3.95428571428571</v>
      </c>
      <c r="AJ14" s="1" t="n">
        <v>1</v>
      </c>
      <c r="AK14" s="1" t="n">
        <f aca="false">IF(AL14=AL13,AK13+AK$1,AK$3-0.5*AK$1*(COUNTIF(AL$11:AL$1000,AL14)-1))</f>
        <v>4.95932203389831</v>
      </c>
      <c r="AL14" s="1" t="n">
        <v>1</v>
      </c>
      <c r="AN14" s="1" t="n">
        <f aca="false">IF(AO14=AO13,AN13+AN$1,AN$3-0.5*AN$1*(COUNTIF(AO$11:AO$1000,AO14)-1))</f>
        <v>0.726923076923077</v>
      </c>
      <c r="AO14" s="1" t="n">
        <v>1</v>
      </c>
      <c r="AP14" s="1" t="n">
        <f aca="false">IF(AQ14=AQ13,AP13+AP$1,AP$3-0.5*AP$1*(COUNTIF(AQ$11:AQ$1000,AQ14)-1))</f>
        <v>1.9063829787234</v>
      </c>
      <c r="AQ14" s="1" t="n">
        <v>1</v>
      </c>
      <c r="AR14" s="1" t="n">
        <f aca="false">IF(AS14=AS13,AR13+AR$1,AR$3-0.5*AR$1*(COUNTIF(AS$11:AS$1000,AS14)-1))</f>
        <v>2.96363636363636</v>
      </c>
      <c r="AS14" s="1" t="n">
        <v>1</v>
      </c>
      <c r="AT14" s="1" t="n">
        <f aca="false">IF(AU14=AU13,AT13+AT$1,AT$3-0.5*AT$1*(COUNTIF(AU$11:AU$1000,AU14)-1))</f>
        <v>3.87826086956522</v>
      </c>
      <c r="AU14" s="1" t="n">
        <v>2</v>
      </c>
      <c r="AV14" s="1" t="n">
        <f aca="false">IF(AW14=AW13,AV13+AV$1,AV$3-0.5*AV$1*(COUNTIF(AW$11:AW$1000,AW14)-1))</f>
        <v>4.77142857142857</v>
      </c>
      <c r="AW14" s="1" t="n">
        <v>2</v>
      </c>
      <c r="AY14" s="1" t="n">
        <v>4</v>
      </c>
      <c r="AZ14" s="1" t="n">
        <f aca="false">IF(BA14=BA13,AZ13+AZ$1,AZ$3-0.5*AZ$1*(COUNTIF(BA$11:BA$1000,BA14)-1))</f>
        <v>0.659574468085106</v>
      </c>
      <c r="BA14" s="1" t="n">
        <v>1</v>
      </c>
      <c r="BB14" s="1" t="n">
        <f aca="false">IF(BC14=BC13,BB13+BB$1,BB$3-0.5*BB$1*(COUNTIF(BC$11:BC$1000,BC14)-1))</f>
        <v>2.03076923076923</v>
      </c>
      <c r="BC14" s="1" t="n">
        <v>1</v>
      </c>
      <c r="BE14" s="1" t="n">
        <f aca="false">IF(BF14=BF13,BE13+BE$1,BE$3-0.5*BE$1*(COUNTIF(BF$11:BF$1000,BF14)-1))</f>
        <v>0.987878787878788</v>
      </c>
      <c r="BF14" s="1" t="n">
        <v>1</v>
      </c>
      <c r="BG14" s="1" t="n">
        <f aca="false">IF(BH14=BH13,BG13+BG$1,BG$3-0.5*BG$1*(COUNTIF(BH$11:BH$1000,BH14)-1))</f>
        <v>2.1</v>
      </c>
      <c r="BH14" s="1" t="n">
        <v>2</v>
      </c>
    </row>
    <row r="15" customFormat="false" ht="16" hidden="false" customHeight="false" outlineLevel="0" collapsed="false">
      <c r="A15" s="1" t="n">
        <v>5</v>
      </c>
      <c r="B15" s="1" t="n">
        <f aca="false">IF(C15=C14,B14+B$1,B$3-0.5*B$1*(COUNTIF(C$11:C$1000,C15)-1))</f>
        <v>0.670175438596491</v>
      </c>
      <c r="C15" s="1" t="n">
        <v>1</v>
      </c>
      <c r="D15" s="1" t="n">
        <f aca="false">IF(E15=E14,D14+D$1,D$3-0.5*D$1*(COUNTIF(E$11:E$1000,E15)-1))</f>
        <v>1.70120481927711</v>
      </c>
      <c r="E15" s="1" t="n">
        <v>1</v>
      </c>
      <c r="F15" s="1" t="n">
        <f aca="false">IF(G15=G14,F14+F$1,F$3-0.5*F$1*(COUNTIF(G$11:G$1000,G15)-1))</f>
        <v>2.85625</v>
      </c>
      <c r="G15" s="1" t="n">
        <v>1</v>
      </c>
      <c r="H15" s="1" t="n">
        <f aca="false">IF(I15=I14,H14+H$1,H$3-0.5*H$1*(COUNTIF(I$11:I$1000,I15)-1))</f>
        <v>3.74545454545455</v>
      </c>
      <c r="I15" s="1" t="n">
        <v>1</v>
      </c>
      <c r="J15" s="1" t="n">
        <f aca="false">IF(K15=K14,J14+J$1,J$3-0.5*J$1*(COUNTIF(K$11:K$1000,K15)-1))</f>
        <v>4.9013698630137</v>
      </c>
      <c r="K15" s="1" t="n">
        <v>1</v>
      </c>
      <c r="L15" s="1" t="n">
        <f aca="false">IF(M15=M14,L14+L$1,L$3-0.5*L$1*(COUNTIF(M$11:M$1000,M15)-1))</f>
        <v>5.85263157894737</v>
      </c>
      <c r="M15" s="1" t="n">
        <v>1</v>
      </c>
      <c r="O15" s="1" t="n">
        <f aca="false">IF(P15=P14,O14+O$1,O$3-0.5*O$1*(COUNTIF(P$11:P$1000,P15)-1))</f>
        <v>0.670175438596491</v>
      </c>
      <c r="P15" s="1" t="n">
        <v>1</v>
      </c>
      <c r="Q15" s="1" t="n">
        <f aca="false">IF(R15=R14,Q14+Q$1,Q$3-0.5*Q$1*(COUNTIF(R$11:R$1000,R15)-1))</f>
        <v>1.73809523809524</v>
      </c>
      <c r="R15" s="1" t="n">
        <v>1</v>
      </c>
      <c r="S15" s="1" t="n">
        <f aca="false">IF(T15=T14,S14+S$1,S$3-0.5*S$1*(COUNTIF(T$11:T$1000,T15)-1))</f>
        <v>2.91272727272727</v>
      </c>
      <c r="T15" s="1" t="n">
        <v>1</v>
      </c>
      <c r="U15" s="1" t="n">
        <f aca="false">IF(V15=V14,U14+U$1,U$3-0.5*U$1*(COUNTIF(V$11:V$1000,V15)-1))</f>
        <v>3.88235294117647</v>
      </c>
      <c r="V15" s="1" t="n">
        <v>1</v>
      </c>
      <c r="W15" s="1" t="n">
        <f aca="false">IF(X15=X14,W14+W$1,W$3-0.5*W$1*(COUNTIF(X$11:X$1000,X15)-1))</f>
        <v>4.97948717948718</v>
      </c>
      <c r="X15" s="1" t="n">
        <v>1</v>
      </c>
      <c r="Y15" s="1" t="n">
        <f aca="false">IF(Z15=Z14,Y14+Y$1,Y$3-0.5*Y$1*(COUNTIF(Z$11:Z$1000,Z15)-1))</f>
        <v>5.98974358974359</v>
      </c>
      <c r="Z15" s="1" t="n">
        <v>1</v>
      </c>
      <c r="AB15" s="1" t="n">
        <v>5</v>
      </c>
      <c r="AC15" s="1" t="n">
        <f aca="false">IF(AD15=AD14,AC14+AC$1,AC$3-0.5*AC$1*(COUNTIF(AD$11:AD$1000,AD15)-1))</f>
        <v>0.691428571428571</v>
      </c>
      <c r="AD15" s="1" t="n">
        <v>1</v>
      </c>
      <c r="AE15" s="1" t="n">
        <f aca="false">IF(AF15=AF14,AE14+AE$1,AE$3-0.5*AE$1*(COUNTIF(AF$11:AF$1000,AF15)-1))</f>
        <v>1.77692307692308</v>
      </c>
      <c r="AF15" s="1" t="n">
        <v>1</v>
      </c>
      <c r="AG15" s="1" t="n">
        <f aca="false">IF(AH15=AH14,AG14+AG$1,AG$3-0.5*AG$1*(COUNTIF(AH$11:AH$1000,AH15)-1))</f>
        <v>2.88679245283019</v>
      </c>
      <c r="AH15" s="1" t="n">
        <v>1</v>
      </c>
      <c r="AI15" s="1" t="n">
        <f aca="false">IF(AJ15=AJ14,AI14+AI$1,AI$3-0.5*AI$1*(COUNTIF(AJ$11:AJ$1000,AJ15)-1))</f>
        <v>3.97714285714286</v>
      </c>
      <c r="AJ15" s="1" t="n">
        <v>1</v>
      </c>
      <c r="AK15" s="1" t="n">
        <f aca="false">IF(AL15=AL14,AK14+AK$1,AK$3-0.5*AK$1*(COUNTIF(AL$11:AL$1000,AL15)-1))</f>
        <v>4.9728813559322</v>
      </c>
      <c r="AL15" s="1" t="n">
        <v>1</v>
      </c>
      <c r="AN15" s="1" t="n">
        <f aca="false">IF(AO15=AO14,AN14+AN$1,AN$3-0.5*AN$1*(COUNTIF(AO$11:AO$1000,AO15)-1))</f>
        <v>0.734615384615384</v>
      </c>
      <c r="AO15" s="1" t="n">
        <v>1</v>
      </c>
      <c r="AP15" s="1" t="n">
        <f aca="false">IF(AQ15=AQ14,AP14+AP$1,AP$3-0.5*AP$1*(COUNTIF(AQ$11:AQ$1000,AQ15)-1))</f>
        <v>1.92340425531915</v>
      </c>
      <c r="AQ15" s="1" t="n">
        <v>1</v>
      </c>
      <c r="AR15" s="1" t="n">
        <f aca="false">IF(AS15=AS14,AR14+AR$1,AR$3-0.5*AR$1*(COUNTIF(AS$11:AS$1000,AS15)-1))</f>
        <v>2.98787878787879</v>
      </c>
      <c r="AS15" s="1" t="n">
        <v>1</v>
      </c>
      <c r="AT15" s="1" t="n">
        <f aca="false">IF(AU15=AU14,AT14+AT$1,AT$3-0.5*AT$1*(COUNTIF(AU$11:AU$1000,AU15)-1))</f>
        <v>3.91304347826087</v>
      </c>
      <c r="AU15" s="1" t="n">
        <v>2</v>
      </c>
      <c r="AV15" s="1" t="n">
        <f aca="false">IF(AW15=AW14,AV14+AV$1,AV$3-0.5*AV$1*(COUNTIF(AW$11:AW$1000,AW15)-1))</f>
        <v>4.8</v>
      </c>
      <c r="AW15" s="1" t="n">
        <v>2</v>
      </c>
      <c r="AY15" s="1" t="n">
        <v>5</v>
      </c>
      <c r="AZ15" s="1" t="n">
        <f aca="false">IF(BA15=BA14,AZ14+AZ$1,AZ$3-0.5*AZ$1*(COUNTIF(BA$11:BA$1000,BA15)-1))</f>
        <v>0.676595744680851</v>
      </c>
      <c r="BA15" s="1" t="n">
        <v>1</v>
      </c>
      <c r="BB15" s="1" t="n">
        <f aca="false">IF(BC15=BC14,BB14+BB$1,BB$3-0.5*BB$1*(COUNTIF(BC$11:BC$1000,BC15)-1))</f>
        <v>2.06153846153846</v>
      </c>
      <c r="BC15" s="1" t="n">
        <v>1</v>
      </c>
      <c r="BE15" s="1" t="n">
        <f aca="false">IF(BF15=BF14,BE14+BE$1,BE$3-0.5*BE$1*(COUNTIF(BF$11:BF$1000,BF15)-1))</f>
        <v>1.01212121212121</v>
      </c>
      <c r="BF15" s="1" t="n">
        <v>1</v>
      </c>
      <c r="BG15" s="1" t="n">
        <f aca="false">IF(BH15=BH14,BG14+BG$1,BG$3-0.5*BG$1*(COUNTIF(BH$11:BH$1000,BH15)-1))</f>
        <v>1.93333333333333</v>
      </c>
      <c r="BH15" s="1" t="n">
        <v>3</v>
      </c>
    </row>
    <row r="16" customFormat="false" ht="16" hidden="false" customHeight="false" outlineLevel="0" collapsed="false">
      <c r="A16" s="1" t="n">
        <v>6</v>
      </c>
      <c r="B16" s="1" t="n">
        <f aca="false">IF(C16=C15,B15+B$1,B$3-0.5*B$1*(COUNTIF(C$11:C$1000,C16)-1))</f>
        <v>0.68421052631579</v>
      </c>
      <c r="C16" s="1" t="n">
        <v>1</v>
      </c>
      <c r="D16" s="1" t="n">
        <f aca="false">IF(E16=E15,D15+D$1,D$3-0.5*D$1*(COUNTIF(E$11:E$1000,E16)-1))</f>
        <v>1.71084337349398</v>
      </c>
      <c r="E16" s="1" t="n">
        <v>1</v>
      </c>
      <c r="F16" s="1" t="n">
        <f aca="false">IF(G16=G15,F15+F$1,F$3-0.5*F$1*(COUNTIF(G$11:G$1000,G16)-1))</f>
        <v>2.86875</v>
      </c>
      <c r="G16" s="1" t="n">
        <v>1</v>
      </c>
      <c r="H16" s="1" t="n">
        <f aca="false">IF(I16=I15,H15+H$1,H$3-0.5*H$1*(COUNTIF(I$11:I$1000,I16)-1))</f>
        <v>3.75757575757576</v>
      </c>
      <c r="I16" s="1" t="n">
        <v>1</v>
      </c>
      <c r="J16" s="1" t="n">
        <f aca="false">IF(K16=K15,J15+J$1,J$3-0.5*J$1*(COUNTIF(K$11:K$1000,K16)-1))</f>
        <v>4.91232876712329</v>
      </c>
      <c r="K16" s="1" t="n">
        <v>1</v>
      </c>
      <c r="L16" s="1" t="n">
        <f aca="false">IF(M16=M15,L15+L$1,L$3-0.5*L$1*(COUNTIF(M$11:M$1000,M16)-1))</f>
        <v>5.86315789473684</v>
      </c>
      <c r="M16" s="1" t="n">
        <v>1</v>
      </c>
      <c r="O16" s="1" t="n">
        <f aca="false">IF(P16=P15,O15+O$1,O$3-0.5*O$1*(COUNTIF(P$11:P$1000,P16)-1))</f>
        <v>0.68421052631579</v>
      </c>
      <c r="P16" s="1" t="n">
        <v>1</v>
      </c>
      <c r="Q16" s="1" t="n">
        <f aca="false">IF(R16=R15,Q15+Q$1,Q$3-0.5*Q$1*(COUNTIF(R$11:R$1000,R16)-1))</f>
        <v>1.74761904761905</v>
      </c>
      <c r="R16" s="1" t="n">
        <v>1</v>
      </c>
      <c r="S16" s="1" t="n">
        <f aca="false">IF(T16=T15,S15+S$1,S$3-0.5*S$1*(COUNTIF(T$11:T$1000,T16)-1))</f>
        <v>2.92727272727273</v>
      </c>
      <c r="T16" s="1" t="n">
        <v>1</v>
      </c>
      <c r="U16" s="1" t="n">
        <f aca="false">IF(V16=V15,U15+U$1,U$3-0.5*U$1*(COUNTIF(V$11:V$1000,V16)-1))</f>
        <v>3.89803921568627</v>
      </c>
      <c r="V16" s="1" t="n">
        <v>1</v>
      </c>
      <c r="W16" s="1" t="n">
        <f aca="false">IF(X16=X15,W15+W$1,W$3-0.5*W$1*(COUNTIF(X$11:X$1000,X16)-1))</f>
        <v>5</v>
      </c>
      <c r="X16" s="1" t="n">
        <v>1</v>
      </c>
      <c r="Y16" s="1" t="n">
        <f aca="false">IF(Z16=Z15,Y15+Y$1,Y$3-0.5*Y$1*(COUNTIF(Z$11:Z$1000,Z16)-1))</f>
        <v>6.01025641025641</v>
      </c>
      <c r="Z16" s="1" t="n">
        <v>1</v>
      </c>
      <c r="AB16" s="1" t="n">
        <v>6</v>
      </c>
      <c r="AC16" s="1" t="n">
        <f aca="false">IF(AD16=AD15,AC15+AC$1,AC$3-0.5*AC$1*(COUNTIF(AD$11:AD$1000,AD16)-1))</f>
        <v>0.699047619047619</v>
      </c>
      <c r="AD16" s="1" t="n">
        <v>1</v>
      </c>
      <c r="AE16" s="1" t="n">
        <f aca="false">IF(AF16=AF15,AE15+AE$1,AE$3-0.5*AE$1*(COUNTIF(AF$11:AF$1000,AF16)-1))</f>
        <v>1.79230769230769</v>
      </c>
      <c r="AF16" s="1" t="n">
        <v>1</v>
      </c>
      <c r="AG16" s="1" t="n">
        <f aca="false">IF(AH16=AH15,AG15+AG$1,AG$3-0.5*AG$1*(COUNTIF(AH$11:AH$1000,AH16)-1))</f>
        <v>2.90188679245283</v>
      </c>
      <c r="AH16" s="1" t="n">
        <v>1</v>
      </c>
      <c r="AI16" s="1" t="n">
        <f aca="false">IF(AJ16=AJ15,AI15+AI$1,AI$3-0.5*AI$1*(COUNTIF(AJ$11:AJ$1000,AJ16)-1))</f>
        <v>4</v>
      </c>
      <c r="AJ16" s="1" t="n">
        <v>1</v>
      </c>
      <c r="AK16" s="1" t="n">
        <f aca="false">IF(AL16=AL15,AK15+AK$1,AK$3-0.5*AK$1*(COUNTIF(AL$11:AL$1000,AL16)-1))</f>
        <v>4.9864406779661</v>
      </c>
      <c r="AL16" s="1" t="n">
        <v>1</v>
      </c>
      <c r="AN16" s="1" t="n">
        <f aca="false">IF(AO16=AO15,AN15+AN$1,AN$3-0.5*AN$1*(COUNTIF(AO$11:AO$1000,AO16)-1))</f>
        <v>0.742307692307692</v>
      </c>
      <c r="AO16" s="1" t="n">
        <v>1</v>
      </c>
      <c r="AP16" s="1" t="n">
        <f aca="false">IF(AQ16=AQ15,AP15+AP$1,AP$3-0.5*AP$1*(COUNTIF(AQ$11:AQ$1000,AQ16)-1))</f>
        <v>1.94042553191489</v>
      </c>
      <c r="AQ16" s="1" t="n">
        <v>1</v>
      </c>
      <c r="AR16" s="1" t="n">
        <f aca="false">IF(AS16=AS15,AR15+AR$1,AR$3-0.5*AR$1*(COUNTIF(AS$11:AS$1000,AS16)-1))</f>
        <v>3.01212121212121</v>
      </c>
      <c r="AS16" s="1" t="n">
        <v>1</v>
      </c>
      <c r="AT16" s="1" t="n">
        <f aca="false">IF(AU16=AU15,AT15+AT$1,AT$3-0.5*AT$1*(COUNTIF(AU$11:AU$1000,AU16)-1))</f>
        <v>3.94782608695652</v>
      </c>
      <c r="AU16" s="1" t="n">
        <v>2</v>
      </c>
      <c r="AV16" s="1" t="n">
        <f aca="false">IF(AW16=AW15,AV15+AV$1,AV$3-0.5*AV$1*(COUNTIF(AW$11:AW$1000,AW16)-1))</f>
        <v>4.82857142857143</v>
      </c>
      <c r="AW16" s="1" t="n">
        <v>2</v>
      </c>
      <c r="AY16" s="1" t="n">
        <v>6</v>
      </c>
      <c r="AZ16" s="1" t="n">
        <f aca="false">IF(BA16=BA15,AZ15+AZ$1,AZ$3-0.5*AZ$1*(COUNTIF(BA$11:BA$1000,BA16)-1))</f>
        <v>0.693617021276596</v>
      </c>
      <c r="BA16" s="1" t="n">
        <v>1</v>
      </c>
      <c r="BB16" s="1" t="n">
        <f aca="false">IF(BC16=BC15,BB15+BB$1,BB$3-0.5*BB$1*(COUNTIF(BC$11:BC$1000,BC16)-1))</f>
        <v>1.61538461538462</v>
      </c>
      <c r="BC16" s="1" t="n">
        <v>2</v>
      </c>
      <c r="BE16" s="1" t="n">
        <f aca="false">IF(BF16=BF15,BE15+BE$1,BE$3-0.5*BE$1*(COUNTIF(BF$11:BF$1000,BF16)-1))</f>
        <v>1.03636363636364</v>
      </c>
      <c r="BF16" s="1" t="n">
        <v>1</v>
      </c>
      <c r="BG16" s="1" t="n">
        <f aca="false">IF(BH16=BH15,BG15+BG$1,BG$3-0.5*BG$1*(COUNTIF(BH$11:BH$1000,BH16)-1))</f>
        <v>2</v>
      </c>
      <c r="BH16" s="1" t="n">
        <v>3</v>
      </c>
    </row>
    <row r="17" customFormat="false" ht="16" hidden="false" customHeight="false" outlineLevel="0" collapsed="false">
      <c r="A17" s="1" t="n">
        <v>7</v>
      </c>
      <c r="B17" s="1" t="n">
        <f aca="false">IF(C17=C16,B16+B$1,B$3-0.5*B$1*(COUNTIF(C$11:C$1000,C17)-1))</f>
        <v>0.698245614035088</v>
      </c>
      <c r="C17" s="1" t="n">
        <v>1</v>
      </c>
      <c r="D17" s="1" t="n">
        <f aca="false">IF(E17=E16,D16+D$1,D$3-0.5*D$1*(COUNTIF(E$11:E$1000,E17)-1))</f>
        <v>1.72048192771084</v>
      </c>
      <c r="E17" s="1" t="n">
        <v>1</v>
      </c>
      <c r="F17" s="1" t="n">
        <f aca="false">IF(G17=G16,F16+F$1,F$3-0.5*F$1*(COUNTIF(G$11:G$1000,G17)-1))</f>
        <v>2.88125</v>
      </c>
      <c r="G17" s="1" t="n">
        <v>1</v>
      </c>
      <c r="H17" s="1" t="n">
        <f aca="false">IF(I17=I16,H16+H$1,H$3-0.5*H$1*(COUNTIF(I$11:I$1000,I17)-1))</f>
        <v>3.76969696969697</v>
      </c>
      <c r="I17" s="1" t="n">
        <v>1</v>
      </c>
      <c r="J17" s="1" t="n">
        <f aca="false">IF(K17=K16,J16+J$1,J$3-0.5*J$1*(COUNTIF(K$11:K$1000,K17)-1))</f>
        <v>4.92328767123288</v>
      </c>
      <c r="K17" s="1" t="n">
        <v>1</v>
      </c>
      <c r="L17" s="1" t="n">
        <f aca="false">IF(M17=M16,L16+L$1,L$3-0.5*L$1*(COUNTIF(M$11:M$1000,M17)-1))</f>
        <v>5.87368421052631</v>
      </c>
      <c r="M17" s="1" t="n">
        <v>1</v>
      </c>
      <c r="O17" s="1" t="n">
        <f aca="false">IF(P17=P16,O16+O$1,O$3-0.5*O$1*(COUNTIF(P$11:P$1000,P17)-1))</f>
        <v>0.698245614035088</v>
      </c>
      <c r="P17" s="1" t="n">
        <v>1</v>
      </c>
      <c r="Q17" s="1" t="n">
        <f aca="false">IF(R17=R16,Q16+Q$1,Q$3-0.5*Q$1*(COUNTIF(R$11:R$1000,R17)-1))</f>
        <v>1.75714285714286</v>
      </c>
      <c r="R17" s="1" t="n">
        <v>1</v>
      </c>
      <c r="S17" s="1" t="n">
        <f aca="false">IF(T17=T16,S16+S$1,S$3-0.5*S$1*(COUNTIF(T$11:T$1000,T17)-1))</f>
        <v>2.94181818181818</v>
      </c>
      <c r="T17" s="1" t="n">
        <v>1</v>
      </c>
      <c r="U17" s="1" t="n">
        <f aca="false">IF(V17=V16,U16+U$1,U$3-0.5*U$1*(COUNTIF(V$11:V$1000,V17)-1))</f>
        <v>3.91372549019608</v>
      </c>
      <c r="V17" s="1" t="n">
        <v>1</v>
      </c>
      <c r="W17" s="1" t="n">
        <f aca="false">IF(X17=X16,W16+W$1,W$3-0.5*W$1*(COUNTIF(X$11:X$1000,X17)-1))</f>
        <v>5.02051282051282</v>
      </c>
      <c r="X17" s="1" t="n">
        <v>1</v>
      </c>
      <c r="Y17" s="1" t="n">
        <f aca="false">IF(Z17=Z16,Y16+Y$1,Y$3-0.5*Y$1*(COUNTIF(Z$11:Z$1000,Z17)-1))</f>
        <v>6.03076923076923</v>
      </c>
      <c r="Z17" s="1" t="n">
        <v>1</v>
      </c>
      <c r="AB17" s="1" t="n">
        <v>7</v>
      </c>
      <c r="AC17" s="1" t="n">
        <f aca="false">IF(AD17=AD16,AC16+AC$1,AC$3-0.5*AC$1*(COUNTIF(AD$11:AD$1000,AD17)-1))</f>
        <v>0.706666666666667</v>
      </c>
      <c r="AD17" s="1" t="n">
        <v>1</v>
      </c>
      <c r="AE17" s="1" t="n">
        <f aca="false">IF(AF17=AF16,AE16+AE$1,AE$3-0.5*AE$1*(COUNTIF(AF$11:AF$1000,AF17)-1))</f>
        <v>1.80769230769231</v>
      </c>
      <c r="AF17" s="1" t="n">
        <v>1</v>
      </c>
      <c r="AG17" s="1" t="n">
        <f aca="false">IF(AH17=AH16,AG16+AG$1,AG$3-0.5*AG$1*(COUNTIF(AH$11:AH$1000,AH17)-1))</f>
        <v>2.91698113207547</v>
      </c>
      <c r="AH17" s="1" t="n">
        <v>1</v>
      </c>
      <c r="AI17" s="1" t="n">
        <f aca="false">IF(AJ17=AJ16,AI16+AI$1,AI$3-0.5*AI$1*(COUNTIF(AJ$11:AJ$1000,AJ17)-1))</f>
        <v>4.02285714285714</v>
      </c>
      <c r="AJ17" s="1" t="n">
        <v>1</v>
      </c>
      <c r="AK17" s="1" t="n">
        <f aca="false">IF(AL17=AL16,AK16+AK$1,AK$3-0.5*AK$1*(COUNTIF(AL$11:AL$1000,AL17)-1))</f>
        <v>5</v>
      </c>
      <c r="AL17" s="1" t="n">
        <v>1</v>
      </c>
      <c r="AN17" s="1" t="n">
        <f aca="false">IF(AO17=AO16,AN16+AN$1,AN$3-0.5*AN$1*(COUNTIF(AO$11:AO$1000,AO17)-1))</f>
        <v>0.75</v>
      </c>
      <c r="AO17" s="1" t="n">
        <v>1</v>
      </c>
      <c r="AP17" s="1" t="n">
        <f aca="false">IF(AQ17=AQ16,AP16+AP$1,AP$3-0.5*AP$1*(COUNTIF(AQ$11:AQ$1000,AQ17)-1))</f>
        <v>1.95744680851064</v>
      </c>
      <c r="AQ17" s="1" t="n">
        <v>1</v>
      </c>
      <c r="AR17" s="1" t="n">
        <f aca="false">IF(AS17=AS16,AR16+AR$1,AR$3-0.5*AR$1*(COUNTIF(AS$11:AS$1000,AS17)-1))</f>
        <v>3.03636363636364</v>
      </c>
      <c r="AS17" s="1" t="n">
        <v>1</v>
      </c>
      <c r="AT17" s="1" t="n">
        <f aca="false">IF(AU17=AU16,AT16+AT$1,AT$3-0.5*AT$1*(COUNTIF(AU$11:AU$1000,AU17)-1))</f>
        <v>3.98260869565217</v>
      </c>
      <c r="AU17" s="1" t="n">
        <v>2</v>
      </c>
      <c r="AV17" s="1" t="n">
        <f aca="false">IF(AW17=AW16,AV16+AV$1,AV$3-0.5*AV$1*(COUNTIF(AW$11:AW$1000,AW17)-1))</f>
        <v>4.85714285714286</v>
      </c>
      <c r="AW17" s="1" t="n">
        <v>2</v>
      </c>
      <c r="AY17" s="1" t="n">
        <v>7</v>
      </c>
      <c r="AZ17" s="1" t="n">
        <f aca="false">IF(BA17=BA16,AZ16+AZ$1,AZ$3-0.5*AZ$1*(COUNTIF(BA$11:BA$1000,BA17)-1))</f>
        <v>0.710638297872341</v>
      </c>
      <c r="BA17" s="1" t="n">
        <v>1</v>
      </c>
      <c r="BB17" s="1" t="n">
        <f aca="false">IF(BC17=BC16,BB16+BB$1,BB$3-0.5*BB$1*(COUNTIF(BC$11:BC$1000,BC17)-1))</f>
        <v>1.64615384615385</v>
      </c>
      <c r="BC17" s="1" t="n">
        <v>2</v>
      </c>
      <c r="BE17" s="1" t="n">
        <f aca="false">IF(BF17=BF16,BE16+BE$1,BE$3-0.5*BE$1*(COUNTIF(BF$11:BF$1000,BF17)-1))</f>
        <v>1.06060606060606</v>
      </c>
      <c r="BF17" s="1" t="n">
        <v>1</v>
      </c>
      <c r="BG17" s="1" t="n">
        <f aca="false">IF(BH17=BH16,BG16+BG$1,BG$3-0.5*BG$1*(COUNTIF(BH$11:BH$1000,BH17)-1))</f>
        <v>2.06666666666667</v>
      </c>
      <c r="BH17" s="1" t="n">
        <v>3</v>
      </c>
    </row>
    <row r="18" customFormat="false" ht="16" hidden="false" customHeight="false" outlineLevel="0" collapsed="false">
      <c r="A18" s="1" t="n">
        <v>8</v>
      </c>
      <c r="B18" s="1" t="n">
        <f aca="false">IF(C18=C17,B17+B$1,B$3-0.5*B$1*(COUNTIF(C$11:C$1000,C18)-1))</f>
        <v>0.712280701754386</v>
      </c>
      <c r="C18" s="1" t="n">
        <v>1</v>
      </c>
      <c r="D18" s="1" t="n">
        <f aca="false">IF(E18=E17,D17+D$1,D$3-0.5*D$1*(COUNTIF(E$11:E$1000,E18)-1))</f>
        <v>1.73012048192771</v>
      </c>
      <c r="E18" s="1" t="n">
        <v>1</v>
      </c>
      <c r="F18" s="1" t="n">
        <f aca="false">IF(G18=G17,F17+F$1,F$3-0.5*F$1*(COUNTIF(G$11:G$1000,G18)-1))</f>
        <v>2.89375</v>
      </c>
      <c r="G18" s="1" t="n">
        <v>1</v>
      </c>
      <c r="H18" s="1" t="n">
        <f aca="false">IF(I18=I17,H17+H$1,H$3-0.5*H$1*(COUNTIF(I$11:I$1000,I18)-1))</f>
        <v>3.78181818181818</v>
      </c>
      <c r="I18" s="1" t="n">
        <v>1</v>
      </c>
      <c r="J18" s="1" t="n">
        <f aca="false">IF(K18=K17,J17+J$1,J$3-0.5*J$1*(COUNTIF(K$11:K$1000,K18)-1))</f>
        <v>4.93424657534247</v>
      </c>
      <c r="K18" s="1" t="n">
        <v>1</v>
      </c>
      <c r="L18" s="1" t="n">
        <f aca="false">IF(M18=M17,L17+L$1,L$3-0.5*L$1*(COUNTIF(M$11:M$1000,M18)-1))</f>
        <v>5.88421052631579</v>
      </c>
      <c r="M18" s="1" t="n">
        <v>1</v>
      </c>
      <c r="O18" s="1" t="n">
        <f aca="false">IF(P18=P17,O17+O$1,O$3-0.5*O$1*(COUNTIF(P$11:P$1000,P18)-1))</f>
        <v>0.712280701754386</v>
      </c>
      <c r="P18" s="1" t="n">
        <v>1</v>
      </c>
      <c r="Q18" s="1" t="n">
        <f aca="false">IF(R18=R17,Q17+Q$1,Q$3-0.5*Q$1*(COUNTIF(R$11:R$1000,R18)-1))</f>
        <v>1.76666666666667</v>
      </c>
      <c r="R18" s="1" t="n">
        <v>1</v>
      </c>
      <c r="S18" s="1" t="n">
        <f aca="false">IF(T18=T17,S17+S$1,S$3-0.5*S$1*(COUNTIF(T$11:T$1000,T18)-1))</f>
        <v>2.95636363636364</v>
      </c>
      <c r="T18" s="1" t="n">
        <v>1</v>
      </c>
      <c r="U18" s="1" t="n">
        <f aca="false">IF(V18=V17,U17+U$1,U$3-0.5*U$1*(COUNTIF(V$11:V$1000,V18)-1))</f>
        <v>3.92941176470588</v>
      </c>
      <c r="V18" s="1" t="n">
        <v>1</v>
      </c>
      <c r="W18" s="1" t="n">
        <f aca="false">IF(X18=X17,W17+W$1,W$3-0.5*W$1*(COUNTIF(X$11:X$1000,X18)-1))</f>
        <v>5.04102564102564</v>
      </c>
      <c r="X18" s="1" t="n">
        <v>1</v>
      </c>
      <c r="Y18" s="1" t="n">
        <f aca="false">IF(Z18=Z17,Y17+Y$1,Y$3-0.5*Y$1*(COUNTIF(Z$11:Z$1000,Z18)-1))</f>
        <v>6.05128205128205</v>
      </c>
      <c r="Z18" s="1" t="n">
        <v>1</v>
      </c>
      <c r="AB18" s="1" t="n">
        <v>8</v>
      </c>
      <c r="AC18" s="1" t="n">
        <f aca="false">IF(AD18=AD17,AC17+AC$1,AC$3-0.5*AC$1*(COUNTIF(AD$11:AD$1000,AD18)-1))</f>
        <v>0.714285714285714</v>
      </c>
      <c r="AD18" s="1" t="n">
        <v>1</v>
      </c>
      <c r="AE18" s="1" t="n">
        <f aca="false">IF(AF18=AF17,AE17+AE$1,AE$3-0.5*AE$1*(COUNTIF(AF$11:AF$1000,AF18)-1))</f>
        <v>1.82307692307692</v>
      </c>
      <c r="AF18" s="1" t="n">
        <v>1</v>
      </c>
      <c r="AG18" s="1" t="n">
        <f aca="false">IF(AH18=AH17,AG17+AG$1,AG$3-0.5*AG$1*(COUNTIF(AH$11:AH$1000,AH18)-1))</f>
        <v>2.93207547169811</v>
      </c>
      <c r="AH18" s="1" t="n">
        <v>1</v>
      </c>
      <c r="AI18" s="1" t="n">
        <f aca="false">IF(AJ18=AJ17,AI17+AI$1,AI$3-0.5*AI$1*(COUNTIF(AJ$11:AJ$1000,AJ18)-1))</f>
        <v>4.04571428571429</v>
      </c>
      <c r="AJ18" s="1" t="n">
        <v>1</v>
      </c>
      <c r="AK18" s="1" t="n">
        <f aca="false">IF(AL18=AL17,AK17+AK$1,AK$3-0.5*AK$1*(COUNTIF(AL$11:AL$1000,AL18)-1))</f>
        <v>5.0135593220339</v>
      </c>
      <c r="AL18" s="1" t="n">
        <v>1</v>
      </c>
      <c r="AN18" s="1" t="n">
        <f aca="false">IF(AO18=AO17,AN17+AN$1,AN$3-0.5*AN$1*(COUNTIF(AO$11:AO$1000,AO18)-1))</f>
        <v>0.757692307692307</v>
      </c>
      <c r="AO18" s="1" t="n">
        <v>1</v>
      </c>
      <c r="AP18" s="1" t="n">
        <f aca="false">IF(AQ18=AQ17,AP17+AP$1,AP$3-0.5*AP$1*(COUNTIF(AQ$11:AQ$1000,AQ18)-1))</f>
        <v>1.97446808510638</v>
      </c>
      <c r="AQ18" s="1" t="n">
        <v>1</v>
      </c>
      <c r="AR18" s="1" t="n">
        <f aca="false">IF(AS18=AS17,AR17+AR$1,AR$3-0.5*AR$1*(COUNTIF(AS$11:AS$1000,AS18)-1))</f>
        <v>3.06060606060606</v>
      </c>
      <c r="AS18" s="1" t="n">
        <v>1</v>
      </c>
      <c r="AT18" s="1" t="n">
        <f aca="false">IF(AU18=AU17,AT17+AT$1,AT$3-0.5*AT$1*(COUNTIF(AU$11:AU$1000,AU18)-1))</f>
        <v>4.01739130434783</v>
      </c>
      <c r="AU18" s="1" t="n">
        <v>2</v>
      </c>
      <c r="AV18" s="1" t="n">
        <f aca="false">IF(AW18=AW17,AV17+AV$1,AV$3-0.5*AV$1*(COUNTIF(AW$11:AW$1000,AW18)-1))</f>
        <v>4.88571428571429</v>
      </c>
      <c r="AW18" s="1" t="n">
        <v>2</v>
      </c>
      <c r="AY18" s="1" t="n">
        <v>8</v>
      </c>
      <c r="AZ18" s="1" t="n">
        <f aca="false">IF(BA18=BA17,AZ17+AZ$1,AZ$3-0.5*AZ$1*(COUNTIF(BA$11:BA$1000,BA18)-1))</f>
        <v>0.727659574468085</v>
      </c>
      <c r="BA18" s="1" t="n">
        <v>1</v>
      </c>
      <c r="BB18" s="1" t="n">
        <f aca="false">IF(BC18=BC17,BB17+BB$1,BB$3-0.5*BB$1*(COUNTIF(BC$11:BC$1000,BC18)-1))</f>
        <v>1.67692307692308</v>
      </c>
      <c r="BC18" s="1" t="n">
        <v>2</v>
      </c>
      <c r="BE18" s="1" t="n">
        <f aca="false">IF(BF18=BF17,BE17+BE$1,BE$3-0.5*BE$1*(COUNTIF(BF$11:BF$1000,BF18)-1))</f>
        <v>1.08484848484848</v>
      </c>
      <c r="BF18" s="1" t="n">
        <v>1</v>
      </c>
      <c r="BG18" s="1" t="n">
        <f aca="false">IF(BH18=BH17,BG17+BG$1,BG$3-0.5*BG$1*(COUNTIF(BH$11:BH$1000,BH18)-1))</f>
        <v>1.8</v>
      </c>
      <c r="BH18" s="1" t="n">
        <v>4</v>
      </c>
    </row>
    <row r="19" customFormat="false" ht="16" hidden="false" customHeight="false" outlineLevel="0" collapsed="false">
      <c r="A19" s="1" t="n">
        <v>9</v>
      </c>
      <c r="B19" s="1" t="n">
        <f aca="false">IF(C19=C18,B18+B$1,B$3-0.5*B$1*(COUNTIF(C$11:C$1000,C19)-1))</f>
        <v>0.726315789473684</v>
      </c>
      <c r="C19" s="1" t="n">
        <v>1</v>
      </c>
      <c r="D19" s="1" t="n">
        <f aca="false">IF(E19=E18,D18+D$1,D$3-0.5*D$1*(COUNTIF(E$11:E$1000,E19)-1))</f>
        <v>1.73975903614458</v>
      </c>
      <c r="E19" s="1" t="n">
        <v>1</v>
      </c>
      <c r="F19" s="1" t="n">
        <f aca="false">IF(G19=G18,F18+F$1,F$3-0.5*F$1*(COUNTIF(G$11:G$1000,G19)-1))</f>
        <v>2.90625</v>
      </c>
      <c r="G19" s="1" t="n">
        <v>1</v>
      </c>
      <c r="H19" s="1" t="n">
        <f aca="false">IF(I19=I18,H18+H$1,H$3-0.5*H$1*(COUNTIF(I$11:I$1000,I19)-1))</f>
        <v>3.79393939393939</v>
      </c>
      <c r="I19" s="1" t="n">
        <v>1</v>
      </c>
      <c r="J19" s="1" t="n">
        <f aca="false">IF(K19=K18,J18+J$1,J$3-0.5*J$1*(COUNTIF(K$11:K$1000,K19)-1))</f>
        <v>4.94520547945206</v>
      </c>
      <c r="K19" s="1" t="n">
        <v>1</v>
      </c>
      <c r="L19" s="1" t="n">
        <f aca="false">IF(M19=M18,L18+L$1,L$3-0.5*L$1*(COUNTIF(M$11:M$1000,M19)-1))</f>
        <v>5.89473684210526</v>
      </c>
      <c r="M19" s="1" t="n">
        <v>1</v>
      </c>
      <c r="O19" s="1" t="n">
        <f aca="false">IF(P19=P18,O18+O$1,O$3-0.5*O$1*(COUNTIF(P$11:P$1000,P19)-1))</f>
        <v>0.726315789473684</v>
      </c>
      <c r="P19" s="1" t="n">
        <v>1</v>
      </c>
      <c r="Q19" s="1" t="n">
        <f aca="false">IF(R19=R18,Q18+Q$1,Q$3-0.5*Q$1*(COUNTIF(R$11:R$1000,R19)-1))</f>
        <v>1.77619047619048</v>
      </c>
      <c r="R19" s="1" t="n">
        <v>1</v>
      </c>
      <c r="S19" s="1" t="n">
        <f aca="false">IF(T19=T18,S18+S$1,S$3-0.5*S$1*(COUNTIF(T$11:T$1000,T19)-1))</f>
        <v>2.97090909090909</v>
      </c>
      <c r="T19" s="1" t="n">
        <v>1</v>
      </c>
      <c r="U19" s="1" t="n">
        <f aca="false">IF(V19=V18,U18+U$1,U$3-0.5*U$1*(COUNTIF(V$11:V$1000,V19)-1))</f>
        <v>3.94509803921569</v>
      </c>
      <c r="V19" s="1" t="n">
        <v>1</v>
      </c>
      <c r="W19" s="1" t="n">
        <f aca="false">IF(X19=X18,W18+W$1,W$3-0.5*W$1*(COUNTIF(X$11:X$1000,X19)-1))</f>
        <v>5.06153846153846</v>
      </c>
      <c r="X19" s="1" t="n">
        <v>1</v>
      </c>
      <c r="Y19" s="1" t="n">
        <f aca="false">IF(Z19=Z18,Y18+Y$1,Y$3-0.5*Y$1*(COUNTIF(Z$11:Z$1000,Z19)-1))</f>
        <v>6.07179487179487</v>
      </c>
      <c r="Z19" s="1" t="n">
        <v>1</v>
      </c>
      <c r="AB19" s="1" t="n">
        <v>9</v>
      </c>
      <c r="AC19" s="1" t="n">
        <f aca="false">IF(AD19=AD18,AC18+AC$1,AC$3-0.5*AC$1*(COUNTIF(AD$11:AD$1000,AD19)-1))</f>
        <v>0.721904761904762</v>
      </c>
      <c r="AD19" s="1" t="n">
        <v>1</v>
      </c>
      <c r="AE19" s="1" t="n">
        <f aca="false">IF(AF19=AF18,AE18+AE$1,AE$3-0.5*AE$1*(COUNTIF(AF$11:AF$1000,AF19)-1))</f>
        <v>1.83846153846154</v>
      </c>
      <c r="AF19" s="1" t="n">
        <v>1</v>
      </c>
      <c r="AG19" s="1" t="n">
        <f aca="false">IF(AH19=AH18,AG18+AG$1,AG$3-0.5*AG$1*(COUNTIF(AH$11:AH$1000,AH19)-1))</f>
        <v>2.94716981132075</v>
      </c>
      <c r="AH19" s="1" t="n">
        <v>1</v>
      </c>
      <c r="AI19" s="1" t="n">
        <f aca="false">IF(AJ19=AJ18,AI18+AI$1,AI$3-0.5*AI$1*(COUNTIF(AJ$11:AJ$1000,AJ19)-1))</f>
        <v>4.06857142857143</v>
      </c>
      <c r="AJ19" s="1" t="n">
        <v>1</v>
      </c>
      <c r="AK19" s="1" t="n">
        <f aca="false">IF(AL19=AL18,AK18+AK$1,AK$3-0.5*AK$1*(COUNTIF(AL$11:AL$1000,AL19)-1))</f>
        <v>5.0271186440678</v>
      </c>
      <c r="AL19" s="1" t="n">
        <v>1</v>
      </c>
      <c r="AN19" s="1" t="n">
        <f aca="false">IF(AO19=AO18,AN18+AN$1,AN$3-0.5*AN$1*(COUNTIF(AO$11:AO$1000,AO19)-1))</f>
        <v>0.765384615384615</v>
      </c>
      <c r="AO19" s="1" t="n">
        <v>1</v>
      </c>
      <c r="AP19" s="1" t="n">
        <f aca="false">IF(AQ19=AQ18,AP18+AP$1,AP$3-0.5*AP$1*(COUNTIF(AQ$11:AQ$1000,AQ19)-1))</f>
        <v>1.99148936170213</v>
      </c>
      <c r="AQ19" s="1" t="n">
        <v>1</v>
      </c>
      <c r="AR19" s="1" t="n">
        <f aca="false">IF(AS19=AS18,AR18+AR$1,AR$3-0.5*AR$1*(COUNTIF(AS$11:AS$1000,AS19)-1))</f>
        <v>3.08484848484849</v>
      </c>
      <c r="AS19" s="1" t="n">
        <v>1</v>
      </c>
      <c r="AT19" s="1" t="n">
        <f aca="false">IF(AU19=AU18,AT18+AT$1,AT$3-0.5*AT$1*(COUNTIF(AU$11:AU$1000,AU19)-1))</f>
        <v>4.05217391304348</v>
      </c>
      <c r="AU19" s="1" t="n">
        <v>2</v>
      </c>
      <c r="AV19" s="1" t="n">
        <f aca="false">IF(AW19=AW18,AV18+AV$1,AV$3-0.5*AV$1*(COUNTIF(AW$11:AW$1000,AW19)-1))</f>
        <v>4.91428571428571</v>
      </c>
      <c r="AW19" s="1" t="n">
        <v>2</v>
      </c>
      <c r="AY19" s="1" t="n">
        <v>9</v>
      </c>
      <c r="AZ19" s="1" t="n">
        <f aca="false">IF(BA19=BA18,AZ18+AZ$1,AZ$3-0.5*AZ$1*(COUNTIF(BA$11:BA$1000,BA19)-1))</f>
        <v>0.74468085106383</v>
      </c>
      <c r="BA19" s="1" t="n">
        <v>1</v>
      </c>
      <c r="BB19" s="1" t="n">
        <f aca="false">IF(BC19=BC18,BB18+BB$1,BB$3-0.5*BB$1*(COUNTIF(BC$11:BC$1000,BC19)-1))</f>
        <v>1.70769230769231</v>
      </c>
      <c r="BC19" s="1" t="n">
        <v>2</v>
      </c>
      <c r="BE19" s="1" t="n">
        <f aca="false">IF(BF19=BF18,BE18+BE$1,BE$3-0.5*BE$1*(COUNTIF(BF$11:BF$1000,BF19)-1))</f>
        <v>0.612121212121212</v>
      </c>
      <c r="BF19" s="1" t="n">
        <v>2</v>
      </c>
      <c r="BG19" s="1" t="n">
        <f aca="false">IF(BH19=BH18,BG18+BG$1,BG$3-0.5*BG$1*(COUNTIF(BH$11:BH$1000,BH19)-1))</f>
        <v>1.86666666666667</v>
      </c>
      <c r="BH19" s="1" t="n">
        <v>4</v>
      </c>
    </row>
    <row r="20" customFormat="false" ht="16" hidden="false" customHeight="false" outlineLevel="0" collapsed="false">
      <c r="A20" s="1" t="n">
        <v>10</v>
      </c>
      <c r="B20" s="1" t="n">
        <f aca="false">IF(C20=C19,B19+B$1,B$3-0.5*B$1*(COUNTIF(C$11:C$1000,C20)-1))</f>
        <v>0.740350877192983</v>
      </c>
      <c r="C20" s="1" t="n">
        <v>1</v>
      </c>
      <c r="D20" s="1" t="n">
        <f aca="false">IF(E20=E19,D19+D$1,D$3-0.5*D$1*(COUNTIF(E$11:E$1000,E20)-1))</f>
        <v>1.74939759036145</v>
      </c>
      <c r="E20" s="1" t="n">
        <v>1</v>
      </c>
      <c r="F20" s="1" t="n">
        <f aca="false">IF(G20=G19,F19+F$1,F$3-0.5*F$1*(COUNTIF(G$11:G$1000,G20)-1))</f>
        <v>2.91875</v>
      </c>
      <c r="G20" s="1" t="n">
        <v>1</v>
      </c>
      <c r="H20" s="1" t="n">
        <f aca="false">IF(I20=I19,H19+H$1,H$3-0.5*H$1*(COUNTIF(I$11:I$1000,I20)-1))</f>
        <v>3.80606060606061</v>
      </c>
      <c r="I20" s="1" t="n">
        <v>1</v>
      </c>
      <c r="J20" s="1" t="n">
        <f aca="false">IF(K20=K19,J19+J$1,J$3-0.5*J$1*(COUNTIF(K$11:K$1000,K20)-1))</f>
        <v>4.95616438356165</v>
      </c>
      <c r="K20" s="1" t="n">
        <v>1</v>
      </c>
      <c r="L20" s="1" t="n">
        <f aca="false">IF(M20=M19,L19+L$1,L$3-0.5*L$1*(COUNTIF(M$11:M$1000,M20)-1))</f>
        <v>5.90526315789473</v>
      </c>
      <c r="M20" s="1" t="n">
        <v>1</v>
      </c>
      <c r="O20" s="1" t="n">
        <f aca="false">IF(P20=P19,O19+O$1,O$3-0.5*O$1*(COUNTIF(P$11:P$1000,P20)-1))</f>
        <v>0.740350877192983</v>
      </c>
      <c r="P20" s="1" t="n">
        <v>1</v>
      </c>
      <c r="Q20" s="1" t="n">
        <f aca="false">IF(R20=R19,Q19+Q$1,Q$3-0.5*Q$1*(COUNTIF(R$11:R$1000,R20)-1))</f>
        <v>1.78571428571429</v>
      </c>
      <c r="R20" s="1" t="n">
        <v>1</v>
      </c>
      <c r="S20" s="1" t="n">
        <f aca="false">IF(T20=T19,S19+S$1,S$3-0.5*S$1*(COUNTIF(T$11:T$1000,T20)-1))</f>
        <v>2.98545454545455</v>
      </c>
      <c r="T20" s="1" t="n">
        <v>1</v>
      </c>
      <c r="U20" s="1" t="n">
        <f aca="false">IF(V20=V19,U19+U$1,U$3-0.5*U$1*(COUNTIF(V$11:V$1000,V20)-1))</f>
        <v>3.96078431372549</v>
      </c>
      <c r="V20" s="1" t="n">
        <v>1</v>
      </c>
      <c r="W20" s="1" t="n">
        <f aca="false">IF(X20=X19,W19+W$1,W$3-0.5*W$1*(COUNTIF(X$11:X$1000,X20)-1))</f>
        <v>5.08205128205128</v>
      </c>
      <c r="X20" s="1" t="n">
        <v>1</v>
      </c>
      <c r="Y20" s="1" t="n">
        <f aca="false">IF(Z20=Z19,Y19+Y$1,Y$3-0.5*Y$1*(COUNTIF(Z$11:Z$1000,Z20)-1))</f>
        <v>6.09230769230769</v>
      </c>
      <c r="Z20" s="1" t="n">
        <v>1</v>
      </c>
      <c r="AB20" s="1" t="n">
        <v>10</v>
      </c>
      <c r="AC20" s="1" t="n">
        <f aca="false">IF(AD20=AD19,AC19+AC$1,AC$3-0.5*AC$1*(COUNTIF(AD$11:AD$1000,AD20)-1))</f>
        <v>0.72952380952381</v>
      </c>
      <c r="AD20" s="1" t="n">
        <v>1</v>
      </c>
      <c r="AE20" s="1" t="n">
        <f aca="false">IF(AF20=AF19,AE19+AE$1,AE$3-0.5*AE$1*(COUNTIF(AF$11:AF$1000,AF20)-1))</f>
        <v>1.85384615384615</v>
      </c>
      <c r="AF20" s="1" t="n">
        <v>1</v>
      </c>
      <c r="AG20" s="1" t="n">
        <f aca="false">IF(AH20=AH19,AG19+AG$1,AG$3-0.5*AG$1*(COUNTIF(AH$11:AH$1000,AH20)-1))</f>
        <v>2.9622641509434</v>
      </c>
      <c r="AH20" s="1" t="n">
        <v>1</v>
      </c>
      <c r="AI20" s="1" t="n">
        <f aca="false">IF(AJ20=AJ19,AI19+AI$1,AI$3-0.5*AI$1*(COUNTIF(AJ$11:AJ$1000,AJ20)-1))</f>
        <v>4.09142857142857</v>
      </c>
      <c r="AJ20" s="1" t="n">
        <v>1</v>
      </c>
      <c r="AK20" s="1" t="n">
        <f aca="false">IF(AL20=AL19,AK19+AK$1,AK$3-0.5*AK$1*(COUNTIF(AL$11:AL$1000,AL20)-1))</f>
        <v>5.04067796610169</v>
      </c>
      <c r="AL20" s="1" t="n">
        <v>1</v>
      </c>
      <c r="AN20" s="1" t="n">
        <f aca="false">IF(AO20=AO19,AN19+AN$1,AN$3-0.5*AN$1*(COUNTIF(AO$11:AO$1000,AO20)-1))</f>
        <v>0.773076923076923</v>
      </c>
      <c r="AO20" s="1" t="n">
        <v>1</v>
      </c>
      <c r="AP20" s="1" t="n">
        <f aca="false">IF(AQ20=AQ19,AP19+AP$1,AP$3-0.5*AP$1*(COUNTIF(AQ$11:AQ$1000,AQ20)-1))</f>
        <v>2.00851063829787</v>
      </c>
      <c r="AQ20" s="1" t="n">
        <v>1</v>
      </c>
      <c r="AR20" s="1" t="n">
        <f aca="false">IF(AS20=AS19,AR19+AR$1,AR$3-0.5*AR$1*(COUNTIF(AS$11:AS$1000,AS20)-1))</f>
        <v>3.10909090909091</v>
      </c>
      <c r="AS20" s="1" t="n">
        <v>1</v>
      </c>
      <c r="AT20" s="1" t="n">
        <f aca="false">IF(AU20=AU19,AT19+AT$1,AT$3-0.5*AT$1*(COUNTIF(AU$11:AU$1000,AU20)-1))</f>
        <v>4.08695652173913</v>
      </c>
      <c r="AU20" s="1" t="n">
        <v>2</v>
      </c>
      <c r="AV20" s="1" t="n">
        <f aca="false">IF(AW20=AW19,AV19+AV$1,AV$3-0.5*AV$1*(COUNTIF(AW$11:AW$1000,AW20)-1))</f>
        <v>4.94285714285714</v>
      </c>
      <c r="AW20" s="1" t="n">
        <v>2</v>
      </c>
      <c r="AY20" s="1" t="n">
        <v>10</v>
      </c>
      <c r="AZ20" s="1" t="n">
        <f aca="false">IF(BA20=BA19,AZ19+AZ$1,AZ$3-0.5*AZ$1*(COUNTIF(BA$11:BA$1000,BA20)-1))</f>
        <v>0.761702127659575</v>
      </c>
      <c r="BA20" s="1" t="n">
        <v>1</v>
      </c>
      <c r="BB20" s="1" t="n">
        <f aca="false">IF(BC20=BC19,BB19+BB$1,BB$3-0.5*BB$1*(COUNTIF(BC$11:BC$1000,BC20)-1))</f>
        <v>1.73846153846154</v>
      </c>
      <c r="BC20" s="1" t="n">
        <v>2</v>
      </c>
      <c r="BE20" s="1" t="n">
        <f aca="false">IF(BF20=BF19,BE19+BE$1,BE$3-0.5*BE$1*(COUNTIF(BF$11:BF$1000,BF20)-1))</f>
        <v>0.636363636363636</v>
      </c>
      <c r="BF20" s="1" t="n">
        <v>2</v>
      </c>
      <c r="BG20" s="1" t="n">
        <f aca="false">IF(BH20=BH19,BG19+BG$1,BG$3-0.5*BG$1*(COUNTIF(BH$11:BH$1000,BH20)-1))</f>
        <v>1.93333333333333</v>
      </c>
      <c r="BH20" s="1" t="n">
        <v>4</v>
      </c>
    </row>
    <row r="21" customFormat="false" ht="16" hidden="false" customHeight="false" outlineLevel="0" collapsed="false">
      <c r="A21" s="1" t="n">
        <v>11</v>
      </c>
      <c r="B21" s="1" t="n">
        <f aca="false">IF(C21=C20,B20+B$1,B$3-0.5*B$1*(COUNTIF(C$11:C$1000,C21)-1))</f>
        <v>0.754385964912281</v>
      </c>
      <c r="C21" s="1" t="n">
        <v>1</v>
      </c>
      <c r="D21" s="1" t="n">
        <f aca="false">IF(E21=E20,D20+D$1,D$3-0.5*D$1*(COUNTIF(E$11:E$1000,E21)-1))</f>
        <v>1.75903614457831</v>
      </c>
      <c r="E21" s="1" t="n">
        <v>1</v>
      </c>
      <c r="F21" s="1" t="n">
        <f aca="false">IF(G21=G20,F20+F$1,F$3-0.5*F$1*(COUNTIF(G$11:G$1000,G21)-1))</f>
        <v>2.93125</v>
      </c>
      <c r="G21" s="1" t="n">
        <v>1</v>
      </c>
      <c r="H21" s="1" t="n">
        <f aca="false">IF(I21=I20,H20+H$1,H$3-0.5*H$1*(COUNTIF(I$11:I$1000,I21)-1))</f>
        <v>3.81818181818182</v>
      </c>
      <c r="I21" s="1" t="n">
        <v>1</v>
      </c>
      <c r="J21" s="1" t="n">
        <f aca="false">IF(K21=K20,J20+J$1,J$3-0.5*J$1*(COUNTIF(K$11:K$1000,K21)-1))</f>
        <v>4.96712328767124</v>
      </c>
      <c r="K21" s="1" t="n">
        <v>1</v>
      </c>
      <c r="L21" s="1" t="n">
        <f aca="false">IF(M21=M20,L20+L$1,L$3-0.5*L$1*(COUNTIF(M$11:M$1000,M21)-1))</f>
        <v>5.91578947368421</v>
      </c>
      <c r="M21" s="1" t="n">
        <v>1</v>
      </c>
      <c r="O21" s="1" t="n">
        <f aca="false">IF(P21=P20,O20+O$1,O$3-0.5*O$1*(COUNTIF(P$11:P$1000,P21)-1))</f>
        <v>0.754385964912281</v>
      </c>
      <c r="P21" s="1" t="n">
        <v>1</v>
      </c>
      <c r="Q21" s="1" t="n">
        <f aca="false">IF(R21=R20,Q20+Q$1,Q$3-0.5*Q$1*(COUNTIF(R$11:R$1000,R21)-1))</f>
        <v>1.7952380952381</v>
      </c>
      <c r="R21" s="1" t="n">
        <v>1</v>
      </c>
      <c r="S21" s="1" t="n">
        <f aca="false">IF(T21=T20,S20+S$1,S$3-0.5*S$1*(COUNTIF(T$11:T$1000,T21)-1))</f>
        <v>3</v>
      </c>
      <c r="T21" s="1" t="n">
        <v>1</v>
      </c>
      <c r="U21" s="1" t="n">
        <f aca="false">IF(V21=V20,U20+U$1,U$3-0.5*U$1*(COUNTIF(V$11:V$1000,V21)-1))</f>
        <v>3.97647058823529</v>
      </c>
      <c r="V21" s="1" t="n">
        <v>1</v>
      </c>
      <c r="W21" s="1" t="n">
        <f aca="false">IF(X21=X20,W20+W$1,W$3-0.5*W$1*(COUNTIF(X$11:X$1000,X21)-1))</f>
        <v>5.1025641025641</v>
      </c>
      <c r="X21" s="1" t="n">
        <v>1</v>
      </c>
      <c r="Y21" s="1" t="n">
        <f aca="false">IF(Z21=Z20,Y20+Y$1,Y$3-0.5*Y$1*(COUNTIF(Z$11:Z$1000,Z21)-1))</f>
        <v>5.77435897435897</v>
      </c>
      <c r="Z21" s="1" t="n">
        <v>2</v>
      </c>
      <c r="AB21" s="1" t="n">
        <v>11</v>
      </c>
      <c r="AC21" s="1" t="n">
        <f aca="false">IF(AD21=AD20,AC20+AC$1,AC$3-0.5*AC$1*(COUNTIF(AD$11:AD$1000,AD21)-1))</f>
        <v>0.737142857142857</v>
      </c>
      <c r="AD21" s="1" t="n">
        <v>1</v>
      </c>
      <c r="AE21" s="1" t="n">
        <f aca="false">IF(AF21=AF20,AE20+AE$1,AE$3-0.5*AE$1*(COUNTIF(AF$11:AF$1000,AF21)-1))</f>
        <v>1.86923076923077</v>
      </c>
      <c r="AF21" s="1" t="n">
        <v>1</v>
      </c>
      <c r="AG21" s="1" t="n">
        <f aca="false">IF(AH21=AH20,AG20+AG$1,AG$3-0.5*AG$1*(COUNTIF(AH$11:AH$1000,AH21)-1))</f>
        <v>2.97735849056604</v>
      </c>
      <c r="AH21" s="1" t="n">
        <v>1</v>
      </c>
      <c r="AI21" s="1" t="n">
        <f aca="false">IF(AJ21=AJ20,AI20+AI$1,AI$3-0.5*AI$1*(COUNTIF(AJ$11:AJ$1000,AJ21)-1))</f>
        <v>4.11428571428572</v>
      </c>
      <c r="AJ21" s="1" t="n">
        <v>1</v>
      </c>
      <c r="AK21" s="1" t="n">
        <f aca="false">IF(AL21=AL20,AK20+AK$1,AK$3-0.5*AK$1*(COUNTIF(AL$11:AL$1000,AL21)-1))</f>
        <v>5.05423728813559</v>
      </c>
      <c r="AL21" s="1" t="n">
        <v>1</v>
      </c>
      <c r="AN21" s="1" t="n">
        <f aca="false">IF(AO21=AO20,AN20+AN$1,AN$3-0.5*AN$1*(COUNTIF(AO$11:AO$1000,AO21)-1))</f>
        <v>0.78076923076923</v>
      </c>
      <c r="AO21" s="1" t="n">
        <v>1</v>
      </c>
      <c r="AP21" s="1" t="n">
        <f aca="false">IF(AQ21=AQ20,AP20+AP$1,AP$3-0.5*AP$1*(COUNTIF(AQ$11:AQ$1000,AQ21)-1))</f>
        <v>2.02553191489362</v>
      </c>
      <c r="AQ21" s="1" t="n">
        <v>1</v>
      </c>
      <c r="AR21" s="1" t="n">
        <f aca="false">IF(AS21=AS20,AR20+AR$1,AR$3-0.5*AR$1*(COUNTIF(AS$11:AS$1000,AS21)-1))</f>
        <v>2.68484848484848</v>
      </c>
      <c r="AS21" s="1" t="n">
        <v>2</v>
      </c>
      <c r="AT21" s="1" t="n">
        <f aca="false">IF(AU21=AU20,AT20+AT$1,AT$3-0.5*AT$1*(COUNTIF(AU$11:AU$1000,AU21)-1))</f>
        <v>4.12173913043478</v>
      </c>
      <c r="AU21" s="1" t="n">
        <v>2</v>
      </c>
      <c r="AV21" s="1" t="n">
        <f aca="false">IF(AW21=AW20,AV20+AV$1,AV$3-0.5*AV$1*(COUNTIF(AW$11:AW$1000,AW21)-1))</f>
        <v>4.97142857142857</v>
      </c>
      <c r="AW21" s="1" t="n">
        <v>2</v>
      </c>
      <c r="AY21" s="1" t="n">
        <v>11</v>
      </c>
      <c r="AZ21" s="1" t="n">
        <f aca="false">IF(BA21=BA20,AZ20+AZ$1,AZ$3-0.5*AZ$1*(COUNTIF(BA$11:BA$1000,BA21)-1))</f>
        <v>0.778723404255319</v>
      </c>
      <c r="BA21" s="1" t="n">
        <v>1</v>
      </c>
      <c r="BB21" s="1" t="n">
        <f aca="false">IF(BC21=BC20,BB20+BB$1,BB$3-0.5*BB$1*(COUNTIF(BC$11:BC$1000,BC21)-1))</f>
        <v>1.76923076923077</v>
      </c>
      <c r="BC21" s="1" t="n">
        <v>2</v>
      </c>
      <c r="BE21" s="1" t="n">
        <f aca="false">IF(BF21=BF20,BE20+BE$1,BE$3-0.5*BE$1*(COUNTIF(BF$11:BF$1000,BF21)-1))</f>
        <v>0.660606060606061</v>
      </c>
      <c r="BF21" s="1" t="n">
        <v>2</v>
      </c>
      <c r="BG21" s="1" t="n">
        <f aca="false">IF(BH21=BH20,BG20+BG$1,BG$3-0.5*BG$1*(COUNTIF(BH$11:BH$1000,BH21)-1))</f>
        <v>2</v>
      </c>
      <c r="BH21" s="1" t="n">
        <v>4</v>
      </c>
    </row>
    <row r="22" customFormat="false" ht="16" hidden="false" customHeight="false" outlineLevel="0" collapsed="false">
      <c r="A22" s="1" t="n">
        <v>12</v>
      </c>
      <c r="B22" s="1" t="n">
        <f aca="false">IF(C22=C21,B21+B$1,B$3-0.5*B$1*(COUNTIF(C$11:C$1000,C22)-1))</f>
        <v>0.768421052631579</v>
      </c>
      <c r="C22" s="1" t="n">
        <v>1</v>
      </c>
      <c r="D22" s="1" t="n">
        <f aca="false">IF(E22=E21,D21+D$1,D$3-0.5*D$1*(COUNTIF(E$11:E$1000,E22)-1))</f>
        <v>1.76867469879518</v>
      </c>
      <c r="E22" s="1" t="n">
        <v>1</v>
      </c>
      <c r="F22" s="1" t="n">
        <f aca="false">IF(G22=G21,F21+F$1,F$3-0.5*F$1*(COUNTIF(G$11:G$1000,G22)-1))</f>
        <v>2.94375</v>
      </c>
      <c r="G22" s="1" t="n">
        <v>1</v>
      </c>
      <c r="H22" s="1" t="n">
        <f aca="false">IF(I22=I21,H21+H$1,H$3-0.5*H$1*(COUNTIF(I$11:I$1000,I22)-1))</f>
        <v>3.83030303030303</v>
      </c>
      <c r="I22" s="1" t="n">
        <v>1</v>
      </c>
      <c r="J22" s="1" t="n">
        <f aca="false">IF(K22=K21,J21+J$1,J$3-0.5*J$1*(COUNTIF(K$11:K$1000,K22)-1))</f>
        <v>4.97808219178083</v>
      </c>
      <c r="K22" s="1" t="n">
        <v>1</v>
      </c>
      <c r="L22" s="1" t="n">
        <f aca="false">IF(M22=M21,L21+L$1,L$3-0.5*L$1*(COUNTIF(M$11:M$1000,M22)-1))</f>
        <v>5.92631578947368</v>
      </c>
      <c r="M22" s="1" t="n">
        <v>1</v>
      </c>
      <c r="O22" s="1" t="n">
        <f aca="false">IF(P22=P21,O21+O$1,O$3-0.5*O$1*(COUNTIF(P$11:P$1000,P22)-1))</f>
        <v>0.768421052631579</v>
      </c>
      <c r="P22" s="1" t="n">
        <v>1</v>
      </c>
      <c r="Q22" s="1" t="n">
        <f aca="false">IF(R22=R21,Q21+Q$1,Q$3-0.5*Q$1*(COUNTIF(R$11:R$1000,R22)-1))</f>
        <v>1.8047619047619</v>
      </c>
      <c r="R22" s="1" t="n">
        <v>1</v>
      </c>
      <c r="S22" s="1" t="n">
        <f aca="false">IF(T22=T21,S21+S$1,S$3-0.5*S$1*(COUNTIF(T$11:T$1000,T22)-1))</f>
        <v>3.01454545454546</v>
      </c>
      <c r="T22" s="1" t="n">
        <v>1</v>
      </c>
      <c r="U22" s="1" t="n">
        <f aca="false">IF(V22=V21,U21+U$1,U$3-0.5*U$1*(COUNTIF(V$11:V$1000,V22)-1))</f>
        <v>3.9921568627451</v>
      </c>
      <c r="V22" s="1" t="n">
        <v>1</v>
      </c>
      <c r="W22" s="1" t="n">
        <f aca="false">IF(X22=X21,W21+W$1,W$3-0.5*W$1*(COUNTIF(X$11:X$1000,X22)-1))</f>
        <v>4.61025641025641</v>
      </c>
      <c r="X22" s="1" t="n">
        <v>2</v>
      </c>
      <c r="Y22" s="1" t="n">
        <f aca="false">IF(Z22=Z21,Y21+Y$1,Y$3-0.5*Y$1*(COUNTIF(Z$11:Z$1000,Z22)-1))</f>
        <v>5.7948717948718</v>
      </c>
      <c r="Z22" s="1" t="n">
        <v>2</v>
      </c>
      <c r="AB22" s="1" t="n">
        <v>12</v>
      </c>
      <c r="AC22" s="1" t="n">
        <f aca="false">IF(AD22=AD21,AC21+AC$1,AC$3-0.5*AC$1*(COUNTIF(AD$11:AD$1000,AD22)-1))</f>
        <v>0.744761904761905</v>
      </c>
      <c r="AD22" s="1" t="n">
        <v>1</v>
      </c>
      <c r="AE22" s="1" t="n">
        <f aca="false">IF(AF22=AF21,AE21+AE$1,AE$3-0.5*AE$1*(COUNTIF(AF$11:AF$1000,AF22)-1))</f>
        <v>1.88461538461538</v>
      </c>
      <c r="AF22" s="1" t="n">
        <v>1</v>
      </c>
      <c r="AG22" s="1" t="n">
        <f aca="false">IF(AH22=AH21,AG21+AG$1,AG$3-0.5*AG$1*(COUNTIF(AH$11:AH$1000,AH22)-1))</f>
        <v>2.99245283018868</v>
      </c>
      <c r="AH22" s="1" t="n">
        <v>1</v>
      </c>
      <c r="AI22" s="1" t="n">
        <f aca="false">IF(AJ22=AJ21,AI21+AI$1,AI$3-0.5*AI$1*(COUNTIF(AJ$11:AJ$1000,AJ22)-1))</f>
        <v>3.61142857142857</v>
      </c>
      <c r="AJ22" s="1" t="n">
        <v>2</v>
      </c>
      <c r="AK22" s="1" t="n">
        <f aca="false">IF(AL22=AL21,AK21+AK$1,AK$3-0.5*AK$1*(COUNTIF(AL$11:AL$1000,AL22)-1))</f>
        <v>5.06779661016949</v>
      </c>
      <c r="AL22" s="1" t="n">
        <v>1</v>
      </c>
      <c r="AN22" s="1" t="n">
        <f aca="false">IF(AO22=AO21,AN21+AN$1,AN$3-0.5*AN$1*(COUNTIF(AO$11:AO$1000,AO22)-1))</f>
        <v>0.788461538461538</v>
      </c>
      <c r="AO22" s="1" t="n">
        <v>1</v>
      </c>
      <c r="AP22" s="1" t="n">
        <f aca="false">IF(AQ22=AQ21,AP21+AP$1,AP$3-0.5*AP$1*(COUNTIF(AQ$11:AQ$1000,AQ22)-1))</f>
        <v>2.04255319148936</v>
      </c>
      <c r="AQ22" s="1" t="n">
        <v>1</v>
      </c>
      <c r="AR22" s="1" t="n">
        <f aca="false">IF(AS22=AS21,AR21+AR$1,AR$3-0.5*AR$1*(COUNTIF(AS$11:AS$1000,AS22)-1))</f>
        <v>2.70909090909091</v>
      </c>
      <c r="AS22" s="1" t="n">
        <v>2</v>
      </c>
      <c r="AT22" s="1" t="n">
        <f aca="false">IF(AU22=AU21,AT21+AT$1,AT$3-0.5*AT$1*(COUNTIF(AU$11:AU$1000,AU22)-1))</f>
        <v>3.89565217391304</v>
      </c>
      <c r="AU22" s="1" t="n">
        <v>3</v>
      </c>
      <c r="AV22" s="1" t="n">
        <f aca="false">IF(AW22=AW21,AV21+AV$1,AV$3-0.5*AV$1*(COUNTIF(AW$11:AW$1000,AW22)-1))</f>
        <v>5</v>
      </c>
      <c r="AW22" s="1" t="n">
        <v>2</v>
      </c>
      <c r="AY22" s="1" t="n">
        <v>12</v>
      </c>
      <c r="AZ22" s="1" t="n">
        <f aca="false">IF(BA22=BA21,AZ21+AZ$1,AZ$3-0.5*AZ$1*(COUNTIF(BA$11:BA$1000,BA22)-1))</f>
        <v>0.795744680851064</v>
      </c>
      <c r="BA22" s="1" t="n">
        <v>1</v>
      </c>
      <c r="BB22" s="1" t="n">
        <f aca="false">IF(BC22=BC21,BB21+BB$1,BB$3-0.5*BB$1*(COUNTIF(BC$11:BC$1000,BC22)-1))</f>
        <v>1.8</v>
      </c>
      <c r="BC22" s="1" t="n">
        <v>2</v>
      </c>
      <c r="BE22" s="1" t="n">
        <f aca="false">IF(BF22=BF21,BE21+BE$1,BE$3-0.5*BE$1*(COUNTIF(BF$11:BF$1000,BF22)-1))</f>
        <v>0.684848484848485</v>
      </c>
      <c r="BF22" s="1" t="n">
        <v>2</v>
      </c>
      <c r="BG22" s="1" t="n">
        <f aca="false">IF(BH22=BH21,BG21+BG$1,BG$3-0.5*BG$1*(COUNTIF(BH$11:BH$1000,BH22)-1))</f>
        <v>2.06666666666667</v>
      </c>
      <c r="BH22" s="1" t="n">
        <v>4</v>
      </c>
    </row>
    <row r="23" customFormat="false" ht="16" hidden="false" customHeight="false" outlineLevel="0" collapsed="false">
      <c r="A23" s="1" t="n">
        <v>13</v>
      </c>
      <c r="B23" s="1" t="n">
        <f aca="false">IF(C23=C22,B22+B$1,B$3-0.5*B$1*(COUNTIF(C$11:C$1000,C23)-1))</f>
        <v>0.782456140350878</v>
      </c>
      <c r="C23" s="1" t="n">
        <v>1</v>
      </c>
      <c r="D23" s="1" t="n">
        <f aca="false">IF(E23=E22,D22+D$1,D$3-0.5*D$1*(COUNTIF(E$11:E$1000,E23)-1))</f>
        <v>1.77831325301205</v>
      </c>
      <c r="E23" s="1" t="n">
        <v>1</v>
      </c>
      <c r="F23" s="1" t="n">
        <f aca="false">IF(G23=G22,F22+F$1,F$3-0.5*F$1*(COUNTIF(G$11:G$1000,G23)-1))</f>
        <v>2.95625</v>
      </c>
      <c r="G23" s="1" t="n">
        <v>1</v>
      </c>
      <c r="H23" s="1" t="n">
        <f aca="false">IF(I23=I22,H22+H$1,H$3-0.5*H$1*(COUNTIF(I$11:I$1000,I23)-1))</f>
        <v>3.84242424242424</v>
      </c>
      <c r="I23" s="1" t="n">
        <v>1</v>
      </c>
      <c r="J23" s="1" t="n">
        <f aca="false">IF(K23=K22,J22+J$1,J$3-0.5*J$1*(COUNTIF(K$11:K$1000,K23)-1))</f>
        <v>4.98904109589042</v>
      </c>
      <c r="K23" s="1" t="n">
        <v>1</v>
      </c>
      <c r="L23" s="1" t="n">
        <f aca="false">IF(M23=M22,L22+L$1,L$3-0.5*L$1*(COUNTIF(M$11:M$1000,M23)-1))</f>
        <v>5.93684210526315</v>
      </c>
      <c r="M23" s="1" t="n">
        <v>1</v>
      </c>
      <c r="O23" s="1" t="n">
        <f aca="false">IF(P23=P22,O22+O$1,O$3-0.5*O$1*(COUNTIF(P$11:P$1000,P23)-1))</f>
        <v>0.782456140350878</v>
      </c>
      <c r="P23" s="1" t="n">
        <v>1</v>
      </c>
      <c r="Q23" s="1" t="n">
        <f aca="false">IF(R23=R22,Q22+Q$1,Q$3-0.5*Q$1*(COUNTIF(R$11:R$1000,R23)-1))</f>
        <v>1.81428571428571</v>
      </c>
      <c r="R23" s="1" t="n">
        <v>1</v>
      </c>
      <c r="S23" s="1" t="n">
        <f aca="false">IF(T23=T22,S22+S$1,S$3-0.5*S$1*(COUNTIF(T$11:T$1000,T23)-1))</f>
        <v>3.02909090909091</v>
      </c>
      <c r="T23" s="1" t="n">
        <v>1</v>
      </c>
      <c r="U23" s="1" t="n">
        <f aca="false">IF(V23=V22,U22+U$1,U$3-0.5*U$1*(COUNTIF(V$11:V$1000,V23)-1))</f>
        <v>4.0078431372549</v>
      </c>
      <c r="V23" s="1" t="n">
        <v>1</v>
      </c>
      <c r="W23" s="1" t="n">
        <f aca="false">IF(X23=X22,W22+W$1,W$3-0.5*W$1*(COUNTIF(X$11:X$1000,X23)-1))</f>
        <v>4.63076923076923</v>
      </c>
      <c r="X23" s="1" t="n">
        <v>2</v>
      </c>
      <c r="Y23" s="1" t="n">
        <f aca="false">IF(Z23=Z22,Y22+Y$1,Y$3-0.5*Y$1*(COUNTIF(Z$11:Z$1000,Z23)-1))</f>
        <v>5.81538461538462</v>
      </c>
      <c r="Z23" s="1" t="n">
        <v>2</v>
      </c>
      <c r="AB23" s="1" t="n">
        <v>13</v>
      </c>
      <c r="AC23" s="1" t="n">
        <f aca="false">IF(AD23=AD22,AC22+AC$1,AC$3-0.5*AC$1*(COUNTIF(AD$11:AD$1000,AD23)-1))</f>
        <v>0.752380952380953</v>
      </c>
      <c r="AD23" s="1" t="n">
        <v>1</v>
      </c>
      <c r="AE23" s="1" t="n">
        <f aca="false">IF(AF23=AF22,AE22+AE$1,AE$3-0.5*AE$1*(COUNTIF(AF$11:AF$1000,AF23)-1))</f>
        <v>1.9</v>
      </c>
      <c r="AF23" s="1" t="n">
        <v>1</v>
      </c>
      <c r="AG23" s="1" t="n">
        <f aca="false">IF(AH23=AH22,AG22+AG$1,AG$3-0.5*AG$1*(COUNTIF(AH$11:AH$1000,AH23)-1))</f>
        <v>3.00754716981132</v>
      </c>
      <c r="AH23" s="1" t="n">
        <v>1</v>
      </c>
      <c r="AI23" s="1" t="n">
        <f aca="false">IF(AJ23=AJ22,AI22+AI$1,AI$3-0.5*AI$1*(COUNTIF(AJ$11:AJ$1000,AJ23)-1))</f>
        <v>3.63428571428571</v>
      </c>
      <c r="AJ23" s="1" t="n">
        <v>2</v>
      </c>
      <c r="AK23" s="1" t="n">
        <f aca="false">IF(AL23=AL22,AK22+AK$1,AK$3-0.5*AK$1*(COUNTIF(AL$11:AL$1000,AL23)-1))</f>
        <v>5.08135593220339</v>
      </c>
      <c r="AL23" s="1" t="n">
        <v>1</v>
      </c>
      <c r="AN23" s="1" t="n">
        <f aca="false">IF(AO23=AO22,AN22+AN$1,AN$3-0.5*AN$1*(COUNTIF(AO$11:AO$1000,AO23)-1))</f>
        <v>0.796153846153846</v>
      </c>
      <c r="AO23" s="1" t="n">
        <v>1</v>
      </c>
      <c r="AP23" s="1" t="n">
        <f aca="false">IF(AQ23=AQ22,AP22+AP$1,AP$3-0.5*AP$1*(COUNTIF(AQ$11:AQ$1000,AQ23)-1))</f>
        <v>2.05957446808511</v>
      </c>
      <c r="AQ23" s="1" t="n">
        <v>1</v>
      </c>
      <c r="AR23" s="1" t="n">
        <f aca="false">IF(AS23=AS22,AR22+AR$1,AR$3-0.5*AR$1*(COUNTIF(AS$11:AS$1000,AS23)-1))</f>
        <v>2.73333333333333</v>
      </c>
      <c r="AS23" s="1" t="n">
        <v>2</v>
      </c>
      <c r="AT23" s="1" t="n">
        <f aca="false">IF(AU23=AU22,AT22+AT$1,AT$3-0.5*AT$1*(COUNTIF(AU$11:AU$1000,AU23)-1))</f>
        <v>3.9304347826087</v>
      </c>
      <c r="AU23" s="1" t="n">
        <v>3</v>
      </c>
      <c r="AV23" s="1" t="n">
        <f aca="false">IF(AW23=AW22,AV22+AV$1,AV$3-0.5*AV$1*(COUNTIF(AW$11:AW$1000,AW23)-1))</f>
        <v>5.02857142857143</v>
      </c>
      <c r="AW23" s="1" t="n">
        <v>2</v>
      </c>
      <c r="AY23" s="1" t="n">
        <v>13</v>
      </c>
      <c r="AZ23" s="1" t="n">
        <f aca="false">IF(BA23=BA22,AZ22+AZ$1,AZ$3-0.5*AZ$1*(COUNTIF(BA$11:BA$1000,BA23)-1))</f>
        <v>0.812765957446809</v>
      </c>
      <c r="BA23" s="1" t="n">
        <v>1</v>
      </c>
      <c r="BB23" s="1" t="n">
        <f aca="false">IF(BC23=BC22,BB22+BB$1,BB$3-0.5*BB$1*(COUNTIF(BC$11:BC$1000,BC23)-1))</f>
        <v>1.83076923076923</v>
      </c>
      <c r="BC23" s="1" t="n">
        <v>2</v>
      </c>
      <c r="BE23" s="1" t="n">
        <f aca="false">IF(BF23=BF22,BE22+BE$1,BE$3-0.5*BE$1*(COUNTIF(BF$11:BF$1000,BF23)-1))</f>
        <v>0.709090909090909</v>
      </c>
      <c r="BF23" s="1" t="n">
        <v>2</v>
      </c>
      <c r="BG23" s="1" t="n">
        <f aca="false">IF(BH23=BH22,BG22+BG$1,BG$3-0.5*BG$1*(COUNTIF(BH$11:BH$1000,BH23)-1))</f>
        <v>2.13333333333333</v>
      </c>
      <c r="BH23" s="1" t="n">
        <v>4</v>
      </c>
    </row>
    <row r="24" customFormat="false" ht="16" hidden="false" customHeight="false" outlineLevel="0" collapsed="false">
      <c r="A24" s="1" t="n">
        <v>14</v>
      </c>
      <c r="B24" s="1" t="n">
        <f aca="false">IF(C24=C23,B23+B$1,B$3-0.5*B$1*(COUNTIF(C$11:C$1000,C24)-1))</f>
        <v>0.796491228070176</v>
      </c>
      <c r="C24" s="1" t="n">
        <v>1</v>
      </c>
      <c r="D24" s="1" t="n">
        <f aca="false">IF(E24=E23,D23+D$1,D$3-0.5*D$1*(COUNTIF(E$11:E$1000,E24)-1))</f>
        <v>1.78795180722892</v>
      </c>
      <c r="E24" s="1" t="n">
        <v>1</v>
      </c>
      <c r="F24" s="1" t="n">
        <f aca="false">IF(G24=G23,F23+F$1,F$3-0.5*F$1*(COUNTIF(G$11:G$1000,G24)-1))</f>
        <v>2.96875</v>
      </c>
      <c r="G24" s="1" t="n">
        <v>1</v>
      </c>
      <c r="H24" s="1" t="n">
        <f aca="false">IF(I24=I23,H23+H$1,H$3-0.5*H$1*(COUNTIF(I$11:I$1000,I24)-1))</f>
        <v>3.85454545454546</v>
      </c>
      <c r="I24" s="1" t="n">
        <v>1</v>
      </c>
      <c r="J24" s="1" t="n">
        <f aca="false">IF(K24=K23,J23+J$1,J$3-0.5*J$1*(COUNTIF(K$11:K$1000,K24)-1))</f>
        <v>5.00000000000001</v>
      </c>
      <c r="K24" s="1" t="n">
        <v>1</v>
      </c>
      <c r="L24" s="1" t="n">
        <f aca="false">IF(M24=M23,L23+L$1,L$3-0.5*L$1*(COUNTIF(M$11:M$1000,M24)-1))</f>
        <v>5.94736842105263</v>
      </c>
      <c r="M24" s="1" t="n">
        <v>1</v>
      </c>
      <c r="O24" s="1" t="n">
        <f aca="false">IF(P24=P23,O23+O$1,O$3-0.5*O$1*(COUNTIF(P$11:P$1000,P24)-1))</f>
        <v>0.796491228070176</v>
      </c>
      <c r="P24" s="1" t="n">
        <v>1</v>
      </c>
      <c r="Q24" s="1" t="n">
        <f aca="false">IF(R24=R23,Q23+Q$1,Q$3-0.5*Q$1*(COUNTIF(R$11:R$1000,R24)-1))</f>
        <v>1.82380952380952</v>
      </c>
      <c r="R24" s="1" t="n">
        <v>1</v>
      </c>
      <c r="S24" s="1" t="n">
        <f aca="false">IF(T24=T23,S23+S$1,S$3-0.5*S$1*(COUNTIF(T$11:T$1000,T24)-1))</f>
        <v>3.04363636363636</v>
      </c>
      <c r="T24" s="1" t="n">
        <v>1</v>
      </c>
      <c r="U24" s="1" t="n">
        <f aca="false">IF(V24=V23,U23+U$1,U$3-0.5*U$1*(COUNTIF(V$11:V$1000,V24)-1))</f>
        <v>4.02352941176471</v>
      </c>
      <c r="V24" s="1" t="n">
        <v>1</v>
      </c>
      <c r="W24" s="1" t="n">
        <f aca="false">IF(X24=X23,W23+W$1,W$3-0.5*W$1*(COUNTIF(X$11:X$1000,X24)-1))</f>
        <v>4.65128205128205</v>
      </c>
      <c r="X24" s="1" t="n">
        <v>2</v>
      </c>
      <c r="Y24" s="1" t="n">
        <f aca="false">IF(Z24=Z23,Y23+Y$1,Y$3-0.5*Y$1*(COUNTIF(Z$11:Z$1000,Z24)-1))</f>
        <v>5.83589743589744</v>
      </c>
      <c r="Z24" s="1" t="n">
        <v>2</v>
      </c>
      <c r="AB24" s="1" t="n">
        <v>14</v>
      </c>
      <c r="AC24" s="1" t="n">
        <f aca="false">IF(AD24=AD23,AC23+AC$1,AC$3-0.5*AC$1*(COUNTIF(AD$11:AD$1000,AD24)-1))</f>
        <v>0.76</v>
      </c>
      <c r="AD24" s="1" t="n">
        <v>1</v>
      </c>
      <c r="AE24" s="1" t="n">
        <f aca="false">IF(AF24=AF23,AE23+AE$1,AE$3-0.5*AE$1*(COUNTIF(AF$11:AF$1000,AF24)-1))</f>
        <v>1.91538461538461</v>
      </c>
      <c r="AF24" s="1" t="n">
        <v>1</v>
      </c>
      <c r="AG24" s="1" t="n">
        <f aca="false">IF(AH24=AH23,AG23+AG$1,AG$3-0.5*AG$1*(COUNTIF(AH$11:AH$1000,AH24)-1))</f>
        <v>3.02264150943396</v>
      </c>
      <c r="AH24" s="1" t="n">
        <v>1</v>
      </c>
      <c r="AI24" s="1" t="n">
        <f aca="false">IF(AJ24=AJ23,AI23+AI$1,AI$3-0.5*AI$1*(COUNTIF(AJ$11:AJ$1000,AJ24)-1))</f>
        <v>3.65714285714286</v>
      </c>
      <c r="AJ24" s="1" t="n">
        <v>2</v>
      </c>
      <c r="AK24" s="1" t="n">
        <f aca="false">IF(AL24=AL23,AK23+AK$1,AK$3-0.5*AK$1*(COUNTIF(AL$11:AL$1000,AL24)-1))</f>
        <v>4.60677966101695</v>
      </c>
      <c r="AL24" s="1" t="n">
        <v>2</v>
      </c>
      <c r="AN24" s="1" t="n">
        <f aca="false">IF(AO24=AO23,AN23+AN$1,AN$3-0.5*AN$1*(COUNTIF(AO$11:AO$1000,AO24)-1))</f>
        <v>0.803846153846153</v>
      </c>
      <c r="AO24" s="1" t="n">
        <v>1</v>
      </c>
      <c r="AP24" s="1" t="n">
        <f aca="false">IF(AQ24=AQ23,AP23+AP$1,AP$3-0.5*AP$1*(COUNTIF(AQ$11:AQ$1000,AQ24)-1))</f>
        <v>2.07659574468085</v>
      </c>
      <c r="AQ24" s="1" t="n">
        <v>1</v>
      </c>
      <c r="AR24" s="1" t="n">
        <f aca="false">IF(AS24=AS23,AR23+AR$1,AR$3-0.5*AR$1*(COUNTIF(AS$11:AS$1000,AS24)-1))</f>
        <v>2.75757575757576</v>
      </c>
      <c r="AS24" s="1" t="n">
        <v>2</v>
      </c>
      <c r="AT24" s="1" t="n">
        <f aca="false">IF(AU24=AU23,AT23+AT$1,AT$3-0.5*AT$1*(COUNTIF(AU$11:AU$1000,AU24)-1))</f>
        <v>3.96521739130435</v>
      </c>
      <c r="AU24" s="1" t="n">
        <v>3</v>
      </c>
      <c r="AV24" s="1" t="n">
        <f aca="false">IF(AW24=AW23,AV23+AV$1,AV$3-0.5*AV$1*(COUNTIF(AW$11:AW$1000,AW24)-1))</f>
        <v>5.05714285714286</v>
      </c>
      <c r="AW24" s="1" t="n">
        <v>2</v>
      </c>
      <c r="AY24" s="1" t="n">
        <v>14</v>
      </c>
      <c r="AZ24" s="1" t="n">
        <f aca="false">IF(BA24=BA23,AZ23+AZ$1,AZ$3-0.5*AZ$1*(COUNTIF(BA$11:BA$1000,BA24)-1))</f>
        <v>0.829787234042554</v>
      </c>
      <c r="BA24" s="1" t="n">
        <v>1</v>
      </c>
      <c r="BB24" s="1" t="n">
        <f aca="false">IF(BC24=BC23,BB23+BB$1,BB$3-0.5*BB$1*(COUNTIF(BC$11:BC$1000,BC24)-1))</f>
        <v>1.86153846153846</v>
      </c>
      <c r="BC24" s="1" t="n">
        <v>2</v>
      </c>
      <c r="BE24" s="1" t="n">
        <f aca="false">IF(BF24=BF23,BE23+BE$1,BE$3-0.5*BE$1*(COUNTIF(BF$11:BF$1000,BF24)-1))</f>
        <v>0.733333333333334</v>
      </c>
      <c r="BF24" s="1" t="n">
        <v>2</v>
      </c>
      <c r="BG24" s="1" t="n">
        <f aca="false">IF(BH24=BH23,BG23+BG$1,BG$3-0.5*BG$1*(COUNTIF(BH$11:BH$1000,BH24)-1))</f>
        <v>2.2</v>
      </c>
      <c r="BH24" s="1" t="n">
        <v>4</v>
      </c>
    </row>
    <row r="25" customFormat="false" ht="16" hidden="false" customHeight="false" outlineLevel="0" collapsed="false">
      <c r="A25" s="1" t="n">
        <v>15</v>
      </c>
      <c r="B25" s="1" t="n">
        <f aca="false">IF(C25=C24,B24+B$1,B$3-0.5*B$1*(COUNTIF(C$11:C$1000,C25)-1))</f>
        <v>0.810526315789474</v>
      </c>
      <c r="C25" s="1" t="n">
        <v>1</v>
      </c>
      <c r="D25" s="1" t="n">
        <f aca="false">IF(E25=E24,D24+D$1,D$3-0.5*D$1*(COUNTIF(E$11:E$1000,E25)-1))</f>
        <v>1.79759036144578</v>
      </c>
      <c r="E25" s="1" t="n">
        <v>1</v>
      </c>
      <c r="F25" s="1" t="n">
        <f aca="false">IF(G25=G24,F24+F$1,F$3-0.5*F$1*(COUNTIF(G$11:G$1000,G25)-1))</f>
        <v>2.98125</v>
      </c>
      <c r="G25" s="1" t="n">
        <v>1</v>
      </c>
      <c r="H25" s="1" t="n">
        <f aca="false">IF(I25=I24,H24+H$1,H$3-0.5*H$1*(COUNTIF(I$11:I$1000,I25)-1))</f>
        <v>3.86666666666667</v>
      </c>
      <c r="I25" s="1" t="n">
        <v>1</v>
      </c>
      <c r="J25" s="1" t="n">
        <f aca="false">IF(K25=K24,J24+J$1,J$3-0.5*J$1*(COUNTIF(K$11:K$1000,K25)-1))</f>
        <v>5.0109589041096</v>
      </c>
      <c r="K25" s="1" t="n">
        <v>1</v>
      </c>
      <c r="L25" s="1" t="n">
        <f aca="false">IF(M25=M24,L24+L$1,L$3-0.5*L$1*(COUNTIF(M$11:M$1000,M25)-1))</f>
        <v>5.9578947368421</v>
      </c>
      <c r="M25" s="1" t="n">
        <v>1</v>
      </c>
      <c r="O25" s="1" t="n">
        <f aca="false">IF(P25=P24,O24+O$1,O$3-0.5*O$1*(COUNTIF(P$11:P$1000,P25)-1))</f>
        <v>0.810526315789474</v>
      </c>
      <c r="P25" s="1" t="n">
        <v>1</v>
      </c>
      <c r="Q25" s="1" t="n">
        <f aca="false">IF(R25=R24,Q24+Q$1,Q$3-0.5*Q$1*(COUNTIF(R$11:R$1000,R25)-1))</f>
        <v>1.83333333333333</v>
      </c>
      <c r="R25" s="1" t="n">
        <v>1</v>
      </c>
      <c r="S25" s="1" t="n">
        <f aca="false">IF(T25=T24,S24+S$1,S$3-0.5*S$1*(COUNTIF(T$11:T$1000,T25)-1))</f>
        <v>3.05818181818182</v>
      </c>
      <c r="T25" s="1" t="n">
        <v>1</v>
      </c>
      <c r="U25" s="1" t="n">
        <f aca="false">IF(V25=V24,U24+U$1,U$3-0.5*U$1*(COUNTIF(V$11:V$1000,V25)-1))</f>
        <v>4.03921568627451</v>
      </c>
      <c r="V25" s="1" t="n">
        <v>1</v>
      </c>
      <c r="W25" s="1" t="n">
        <f aca="false">IF(X25=X24,W24+W$1,W$3-0.5*W$1*(COUNTIF(X$11:X$1000,X25)-1))</f>
        <v>4.67179487179487</v>
      </c>
      <c r="X25" s="1" t="n">
        <v>2</v>
      </c>
      <c r="Y25" s="1" t="n">
        <f aca="false">IF(Z25=Z24,Y24+Y$1,Y$3-0.5*Y$1*(COUNTIF(Z$11:Z$1000,Z25)-1))</f>
        <v>5.85641025641026</v>
      </c>
      <c r="Z25" s="1" t="n">
        <v>2</v>
      </c>
      <c r="AB25" s="1" t="n">
        <v>15</v>
      </c>
      <c r="AC25" s="1" t="n">
        <f aca="false">IF(AD25=AD24,AC24+AC$1,AC$3-0.5*AC$1*(COUNTIF(AD$11:AD$1000,AD25)-1))</f>
        <v>0.767619047619048</v>
      </c>
      <c r="AD25" s="1" t="n">
        <v>1</v>
      </c>
      <c r="AE25" s="1" t="n">
        <f aca="false">IF(AF25=AF24,AE24+AE$1,AE$3-0.5*AE$1*(COUNTIF(AF$11:AF$1000,AF25)-1))</f>
        <v>1.93076923076923</v>
      </c>
      <c r="AF25" s="1" t="n">
        <v>1</v>
      </c>
      <c r="AG25" s="1" t="n">
        <f aca="false">IF(AH25=AH24,AG24+AG$1,AG$3-0.5*AG$1*(COUNTIF(AH$11:AH$1000,AH25)-1))</f>
        <v>3.0377358490566</v>
      </c>
      <c r="AH25" s="1" t="n">
        <v>1</v>
      </c>
      <c r="AI25" s="1" t="n">
        <f aca="false">IF(AJ25=AJ24,AI24+AI$1,AI$3-0.5*AI$1*(COUNTIF(AJ$11:AJ$1000,AJ25)-1))</f>
        <v>3.68</v>
      </c>
      <c r="AJ25" s="1" t="n">
        <v>2</v>
      </c>
      <c r="AK25" s="1" t="n">
        <f aca="false">IF(AL25=AL24,AK24+AK$1,AK$3-0.5*AK$1*(COUNTIF(AL$11:AL$1000,AL25)-1))</f>
        <v>4.62033898305085</v>
      </c>
      <c r="AL25" s="1" t="n">
        <v>2</v>
      </c>
      <c r="AN25" s="1" t="n">
        <f aca="false">IF(AO25=AO24,AN24+AN$1,AN$3-0.5*AN$1*(COUNTIF(AO$11:AO$1000,AO25)-1))</f>
        <v>0.811538461538461</v>
      </c>
      <c r="AO25" s="1" t="n">
        <v>1</v>
      </c>
      <c r="AP25" s="1" t="n">
        <f aca="false">IF(AQ25=AQ24,AP24+AP$1,AP$3-0.5*AP$1*(COUNTIF(AQ$11:AQ$1000,AQ25)-1))</f>
        <v>2.0936170212766</v>
      </c>
      <c r="AQ25" s="1" t="n">
        <v>1</v>
      </c>
      <c r="AR25" s="1" t="n">
        <f aca="false">IF(AS25=AS24,AR24+AR$1,AR$3-0.5*AR$1*(COUNTIF(AS$11:AS$1000,AS25)-1))</f>
        <v>2.78181818181818</v>
      </c>
      <c r="AS25" s="1" t="n">
        <v>2</v>
      </c>
      <c r="AT25" s="1" t="n">
        <f aca="false">IF(AU25=AU24,AT24+AT$1,AT$3-0.5*AT$1*(COUNTIF(AU$11:AU$1000,AU25)-1))</f>
        <v>4</v>
      </c>
      <c r="AU25" s="1" t="n">
        <v>3</v>
      </c>
      <c r="AV25" s="1" t="n">
        <f aca="false">IF(AW25=AW24,AV24+AV$1,AV$3-0.5*AV$1*(COUNTIF(AW$11:AW$1000,AW25)-1))</f>
        <v>5.08571428571428</v>
      </c>
      <c r="AW25" s="1" t="n">
        <v>2</v>
      </c>
      <c r="AY25" s="1" t="n">
        <v>15</v>
      </c>
      <c r="AZ25" s="1" t="n">
        <f aca="false">IF(BA25=BA24,AZ24+AZ$1,AZ$3-0.5*AZ$1*(COUNTIF(BA$11:BA$1000,BA25)-1))</f>
        <v>0.846808510638298</v>
      </c>
      <c r="BA25" s="1" t="n">
        <v>1</v>
      </c>
      <c r="BB25" s="1" t="n">
        <f aca="false">IF(BC25=BC24,BB24+BB$1,BB$3-0.5*BB$1*(COUNTIF(BC$11:BC$1000,BC25)-1))</f>
        <v>1.89230769230769</v>
      </c>
      <c r="BC25" s="1" t="n">
        <v>2</v>
      </c>
      <c r="BE25" s="1" t="n">
        <f aca="false">IF(BF25=BF24,BE24+BE$1,BE$3-0.5*BE$1*(COUNTIF(BF$11:BF$1000,BF25)-1))</f>
        <v>0.757575757575758</v>
      </c>
      <c r="BF25" s="1" t="n">
        <v>2</v>
      </c>
      <c r="BG25" s="1" t="n">
        <f aca="false">IF(BH25=BH24,BG24+BG$1,BG$3-0.5*BG$1*(COUNTIF(BH$11:BH$1000,BH25)-1))</f>
        <v>1.93333333333333</v>
      </c>
      <c r="BH25" s="1" t="n">
        <v>5</v>
      </c>
    </row>
    <row r="26" customFormat="false" ht="16" hidden="false" customHeight="false" outlineLevel="0" collapsed="false">
      <c r="A26" s="1" t="n">
        <v>16</v>
      </c>
      <c r="B26" s="1" t="n">
        <f aca="false">IF(C26=C25,B25+B$1,B$3-0.5*B$1*(COUNTIF(C$11:C$1000,C26)-1))</f>
        <v>0.824561403508772</v>
      </c>
      <c r="C26" s="1" t="n">
        <v>1</v>
      </c>
      <c r="D26" s="1" t="n">
        <f aca="false">IF(E26=E25,D25+D$1,D$3-0.5*D$1*(COUNTIF(E$11:E$1000,E26)-1))</f>
        <v>1.80722891566265</v>
      </c>
      <c r="E26" s="1" t="n">
        <v>1</v>
      </c>
      <c r="F26" s="1" t="n">
        <f aca="false">IF(G26=G25,F25+F$1,F$3-0.5*F$1*(COUNTIF(G$11:G$1000,G26)-1))</f>
        <v>2.99375</v>
      </c>
      <c r="G26" s="1" t="n">
        <v>1</v>
      </c>
      <c r="H26" s="1" t="n">
        <f aca="false">IF(I26=I25,H25+H$1,H$3-0.5*H$1*(COUNTIF(I$11:I$1000,I26)-1))</f>
        <v>3.87878787878788</v>
      </c>
      <c r="I26" s="1" t="n">
        <v>1</v>
      </c>
      <c r="J26" s="1" t="n">
        <f aca="false">IF(K26=K25,J25+J$1,J$3-0.5*J$1*(COUNTIF(K$11:K$1000,K26)-1))</f>
        <v>5.02191780821918</v>
      </c>
      <c r="K26" s="1" t="n">
        <v>1</v>
      </c>
      <c r="L26" s="1" t="n">
        <f aca="false">IF(M26=M25,L25+L$1,L$3-0.5*L$1*(COUNTIF(M$11:M$1000,M26)-1))</f>
        <v>5.96842105263157</v>
      </c>
      <c r="M26" s="1" t="n">
        <v>1</v>
      </c>
      <c r="O26" s="1" t="n">
        <f aca="false">IF(P26=P25,O25+O$1,O$3-0.5*O$1*(COUNTIF(P$11:P$1000,P26)-1))</f>
        <v>0.824561403508772</v>
      </c>
      <c r="P26" s="1" t="n">
        <v>1</v>
      </c>
      <c r="Q26" s="1" t="n">
        <f aca="false">IF(R26=R25,Q25+Q$1,Q$3-0.5*Q$1*(COUNTIF(R$11:R$1000,R26)-1))</f>
        <v>1.84285714285714</v>
      </c>
      <c r="R26" s="1" t="n">
        <v>1</v>
      </c>
      <c r="S26" s="1" t="n">
        <f aca="false">IF(T26=T25,S25+S$1,S$3-0.5*S$1*(COUNTIF(T$11:T$1000,T26)-1))</f>
        <v>3.07272727272727</v>
      </c>
      <c r="T26" s="1" t="n">
        <v>1</v>
      </c>
      <c r="U26" s="1" t="n">
        <f aca="false">IF(V26=V25,U25+U$1,U$3-0.5*U$1*(COUNTIF(V$11:V$1000,V26)-1))</f>
        <v>4.05490196078431</v>
      </c>
      <c r="V26" s="1" t="n">
        <v>1</v>
      </c>
      <c r="W26" s="1" t="n">
        <f aca="false">IF(X26=X25,W25+W$1,W$3-0.5*W$1*(COUNTIF(X$11:X$1000,X26)-1))</f>
        <v>4.69230769230769</v>
      </c>
      <c r="X26" s="1" t="n">
        <v>2</v>
      </c>
      <c r="Y26" s="1" t="n">
        <f aca="false">IF(Z26=Z25,Y25+Y$1,Y$3-0.5*Y$1*(COUNTIF(Z$11:Z$1000,Z26)-1))</f>
        <v>5.87692307692308</v>
      </c>
      <c r="Z26" s="1" t="n">
        <v>2</v>
      </c>
      <c r="AB26" s="1" t="n">
        <v>16</v>
      </c>
      <c r="AC26" s="1" t="n">
        <f aca="false">IF(AD26=AD25,AC25+AC$1,AC$3-0.5*AC$1*(COUNTIF(AD$11:AD$1000,AD26)-1))</f>
        <v>0.775238095238096</v>
      </c>
      <c r="AD26" s="1" t="n">
        <v>1</v>
      </c>
      <c r="AE26" s="1" t="n">
        <f aca="false">IF(AF26=AF25,AE25+AE$1,AE$3-0.5*AE$1*(COUNTIF(AF$11:AF$1000,AF26)-1))</f>
        <v>1.94615384615385</v>
      </c>
      <c r="AF26" s="1" t="n">
        <v>1</v>
      </c>
      <c r="AG26" s="1" t="n">
        <f aca="false">IF(AH26=AH25,AG25+AG$1,AG$3-0.5*AG$1*(COUNTIF(AH$11:AH$1000,AH26)-1))</f>
        <v>3.05283018867925</v>
      </c>
      <c r="AH26" s="1" t="n">
        <v>1</v>
      </c>
      <c r="AI26" s="1" t="n">
        <f aca="false">IF(AJ26=AJ25,AI25+AI$1,AI$3-0.5*AI$1*(COUNTIF(AJ$11:AJ$1000,AJ26)-1))</f>
        <v>3.70285714285714</v>
      </c>
      <c r="AJ26" s="1" t="n">
        <v>2</v>
      </c>
      <c r="AK26" s="1" t="n">
        <f aca="false">IF(AL26=AL25,AK25+AK$1,AK$3-0.5*AK$1*(COUNTIF(AL$11:AL$1000,AL26)-1))</f>
        <v>4.63389830508475</v>
      </c>
      <c r="AL26" s="1" t="n">
        <v>2</v>
      </c>
      <c r="AN26" s="1" t="n">
        <f aca="false">IF(AO26=AO25,AN25+AN$1,AN$3-0.5*AN$1*(COUNTIF(AO$11:AO$1000,AO26)-1))</f>
        <v>0.819230769230769</v>
      </c>
      <c r="AO26" s="1" t="n">
        <v>1</v>
      </c>
      <c r="AP26" s="1" t="n">
        <f aca="false">IF(AQ26=AQ25,AP25+AP$1,AP$3-0.5*AP$1*(COUNTIF(AQ$11:AQ$1000,AQ26)-1))</f>
        <v>2.11063829787234</v>
      </c>
      <c r="AQ26" s="1" t="n">
        <v>1</v>
      </c>
      <c r="AR26" s="1" t="n">
        <f aca="false">IF(AS26=AS25,AR25+AR$1,AR$3-0.5*AR$1*(COUNTIF(AS$11:AS$1000,AS26)-1))</f>
        <v>2.80606060606061</v>
      </c>
      <c r="AS26" s="1" t="n">
        <v>2</v>
      </c>
      <c r="AT26" s="1" t="n">
        <f aca="false">IF(AU26=AU25,AT25+AT$1,AT$3-0.5*AT$1*(COUNTIF(AU$11:AU$1000,AU26)-1))</f>
        <v>4.03478260869565</v>
      </c>
      <c r="AU26" s="1" t="n">
        <v>3</v>
      </c>
      <c r="AV26" s="1" t="n">
        <f aca="false">IF(AW26=AW25,AV25+AV$1,AV$3-0.5*AV$1*(COUNTIF(AW$11:AW$1000,AW26)-1))</f>
        <v>5.11428571428571</v>
      </c>
      <c r="AW26" s="1" t="n">
        <v>2</v>
      </c>
      <c r="AY26" s="1" t="n">
        <v>16</v>
      </c>
      <c r="AZ26" s="1" t="n">
        <f aca="false">IF(BA26=BA25,AZ25+AZ$1,AZ$3-0.5*AZ$1*(COUNTIF(BA$11:BA$1000,BA26)-1))</f>
        <v>0.863829787234043</v>
      </c>
      <c r="BA26" s="1" t="n">
        <v>1</v>
      </c>
      <c r="BB26" s="1" t="n">
        <f aca="false">IF(BC26=BC25,BB25+BB$1,BB$3-0.5*BB$1*(COUNTIF(BC$11:BC$1000,BC26)-1))</f>
        <v>1.92307692307692</v>
      </c>
      <c r="BC26" s="1" t="n">
        <v>2</v>
      </c>
      <c r="BE26" s="1" t="n">
        <f aca="false">IF(BF26=BF25,BE25+BE$1,BE$3-0.5*BE$1*(COUNTIF(BF$11:BF$1000,BF26)-1))</f>
        <v>0.781818181818182</v>
      </c>
      <c r="BF26" s="1" t="n">
        <v>2</v>
      </c>
      <c r="BG26" s="1" t="n">
        <f aca="false">IF(BH26=BH25,BG25+BG$1,BG$3-0.5*BG$1*(COUNTIF(BH$11:BH$1000,BH26)-1))</f>
        <v>2</v>
      </c>
      <c r="BH26" s="1" t="n">
        <v>5</v>
      </c>
    </row>
    <row r="27" customFormat="false" ht="16" hidden="false" customHeight="false" outlineLevel="0" collapsed="false">
      <c r="A27" s="1" t="n">
        <v>17</v>
      </c>
      <c r="B27" s="1" t="n">
        <f aca="false">IF(C27=C26,B26+B$1,B$3-0.5*B$1*(COUNTIF(C$11:C$1000,C27)-1))</f>
        <v>0.838596491228071</v>
      </c>
      <c r="C27" s="1" t="n">
        <v>1</v>
      </c>
      <c r="D27" s="1" t="n">
        <f aca="false">IF(E27=E26,D26+D$1,D$3-0.5*D$1*(COUNTIF(E$11:E$1000,E27)-1))</f>
        <v>1.81686746987952</v>
      </c>
      <c r="E27" s="1" t="n">
        <v>1</v>
      </c>
      <c r="F27" s="1" t="n">
        <f aca="false">IF(G27=G26,F26+F$1,F$3-0.5*F$1*(COUNTIF(G$11:G$1000,G27)-1))</f>
        <v>3.00625</v>
      </c>
      <c r="G27" s="1" t="n">
        <v>1</v>
      </c>
      <c r="H27" s="1" t="n">
        <f aca="false">IF(I27=I26,H26+H$1,H$3-0.5*H$1*(COUNTIF(I$11:I$1000,I27)-1))</f>
        <v>3.89090909090909</v>
      </c>
      <c r="I27" s="1" t="n">
        <v>1</v>
      </c>
      <c r="J27" s="1" t="n">
        <f aca="false">IF(K27=K26,J26+J$1,J$3-0.5*J$1*(COUNTIF(K$11:K$1000,K27)-1))</f>
        <v>5.03287671232877</v>
      </c>
      <c r="K27" s="1" t="n">
        <v>1</v>
      </c>
      <c r="L27" s="1" t="n">
        <f aca="false">IF(M27=M26,L26+L$1,L$3-0.5*L$1*(COUNTIF(M$11:M$1000,M27)-1))</f>
        <v>5.97894736842105</v>
      </c>
      <c r="M27" s="1" t="n">
        <v>1</v>
      </c>
      <c r="O27" s="1" t="n">
        <f aca="false">IF(P27=P26,O26+O$1,O$3-0.5*O$1*(COUNTIF(P$11:P$1000,P27)-1))</f>
        <v>0.838596491228071</v>
      </c>
      <c r="P27" s="1" t="n">
        <v>1</v>
      </c>
      <c r="Q27" s="1" t="n">
        <f aca="false">IF(R27=R26,Q26+Q$1,Q$3-0.5*Q$1*(COUNTIF(R$11:R$1000,R27)-1))</f>
        <v>1.85238095238095</v>
      </c>
      <c r="R27" s="1" t="n">
        <v>1</v>
      </c>
      <c r="S27" s="1" t="n">
        <f aca="false">IF(T27=T26,S26+S$1,S$3-0.5*S$1*(COUNTIF(T$11:T$1000,T27)-1))</f>
        <v>3.08727272727273</v>
      </c>
      <c r="T27" s="1" t="n">
        <v>1</v>
      </c>
      <c r="U27" s="1" t="n">
        <f aca="false">IF(V27=V26,U26+U$1,U$3-0.5*U$1*(COUNTIF(V$11:V$1000,V27)-1))</f>
        <v>4.07058823529412</v>
      </c>
      <c r="V27" s="1" t="n">
        <v>1</v>
      </c>
      <c r="W27" s="1" t="n">
        <f aca="false">IF(X27=X26,W26+W$1,W$3-0.5*W$1*(COUNTIF(X$11:X$1000,X27)-1))</f>
        <v>4.71282051282051</v>
      </c>
      <c r="X27" s="1" t="n">
        <v>2</v>
      </c>
      <c r="Y27" s="1" t="n">
        <f aca="false">IF(Z27=Z26,Y26+Y$1,Y$3-0.5*Y$1*(COUNTIF(Z$11:Z$1000,Z27)-1))</f>
        <v>5.8974358974359</v>
      </c>
      <c r="Z27" s="1" t="n">
        <v>2</v>
      </c>
      <c r="AB27" s="1" t="n">
        <v>17</v>
      </c>
      <c r="AC27" s="1" t="n">
        <f aca="false">IF(AD27=AD26,AC26+AC$1,AC$3-0.5*AC$1*(COUNTIF(AD$11:AD$1000,AD27)-1))</f>
        <v>0.782857142857143</v>
      </c>
      <c r="AD27" s="1" t="n">
        <v>1</v>
      </c>
      <c r="AE27" s="1" t="n">
        <f aca="false">IF(AF27=AF26,AE26+AE$1,AE$3-0.5*AE$1*(COUNTIF(AF$11:AF$1000,AF27)-1))</f>
        <v>1.96153846153846</v>
      </c>
      <c r="AF27" s="1" t="n">
        <v>1</v>
      </c>
      <c r="AG27" s="1" t="n">
        <f aca="false">IF(AH27=AH26,AG26+AG$1,AG$3-0.5*AG$1*(COUNTIF(AH$11:AH$1000,AH27)-1))</f>
        <v>3.06792452830189</v>
      </c>
      <c r="AH27" s="1" t="n">
        <v>1</v>
      </c>
      <c r="AI27" s="1" t="n">
        <f aca="false">IF(AJ27=AJ26,AI26+AI$1,AI$3-0.5*AI$1*(COUNTIF(AJ$11:AJ$1000,AJ27)-1))</f>
        <v>3.72571428571428</v>
      </c>
      <c r="AJ27" s="1" t="n">
        <v>2</v>
      </c>
      <c r="AK27" s="1" t="n">
        <f aca="false">IF(AL27=AL26,AK26+AK$1,AK$3-0.5*AK$1*(COUNTIF(AL$11:AL$1000,AL27)-1))</f>
        <v>4.64745762711864</v>
      </c>
      <c r="AL27" s="1" t="n">
        <v>2</v>
      </c>
      <c r="AN27" s="1" t="n">
        <f aca="false">IF(AO27=AO26,AN26+AN$1,AN$3-0.5*AN$1*(COUNTIF(AO$11:AO$1000,AO27)-1))</f>
        <v>0.826923076923076</v>
      </c>
      <c r="AO27" s="1" t="n">
        <v>1</v>
      </c>
      <c r="AP27" s="1" t="n">
        <f aca="false">IF(AQ27=AQ26,AP26+AP$1,AP$3-0.5*AP$1*(COUNTIF(AQ$11:AQ$1000,AQ27)-1))</f>
        <v>2.12765957446809</v>
      </c>
      <c r="AQ27" s="1" t="n">
        <v>1</v>
      </c>
      <c r="AR27" s="1" t="n">
        <f aca="false">IF(AS27=AS26,AR26+AR$1,AR$3-0.5*AR$1*(COUNTIF(AS$11:AS$1000,AS27)-1))</f>
        <v>2.83030303030303</v>
      </c>
      <c r="AS27" s="1" t="n">
        <v>2</v>
      </c>
      <c r="AT27" s="1" t="n">
        <f aca="false">IF(AU27=AU26,AT26+AT$1,AT$3-0.5*AT$1*(COUNTIF(AU$11:AU$1000,AU27)-1))</f>
        <v>4.0695652173913</v>
      </c>
      <c r="AU27" s="1" t="n">
        <v>3</v>
      </c>
      <c r="AV27" s="1" t="n">
        <f aca="false">IF(AW27=AW26,AV26+AV$1,AV$3-0.5*AV$1*(COUNTIF(AW$11:AW$1000,AW27)-1))</f>
        <v>5.14285714285714</v>
      </c>
      <c r="AW27" s="1" t="n">
        <v>2</v>
      </c>
      <c r="AY27" s="1" t="n">
        <v>17</v>
      </c>
      <c r="AZ27" s="1" t="n">
        <f aca="false">IF(BA27=BA26,AZ26+AZ$1,AZ$3-0.5*AZ$1*(COUNTIF(BA$11:BA$1000,BA27)-1))</f>
        <v>0.880851063829788</v>
      </c>
      <c r="BA27" s="1" t="n">
        <v>1</v>
      </c>
      <c r="BB27" s="1" t="n">
        <f aca="false">IF(BC27=BC26,BB26+BB$1,BB$3-0.5*BB$1*(COUNTIF(BC$11:BC$1000,BC27)-1))</f>
        <v>1.95384615384615</v>
      </c>
      <c r="BC27" s="1" t="n">
        <v>2</v>
      </c>
      <c r="BE27" s="1" t="n">
        <f aca="false">IF(BF27=BF26,BE26+BE$1,BE$3-0.5*BE$1*(COUNTIF(BF$11:BF$1000,BF27)-1))</f>
        <v>0.806060606060606</v>
      </c>
      <c r="BF27" s="1" t="n">
        <v>2</v>
      </c>
      <c r="BG27" s="1" t="n">
        <f aca="false">IF(BH27=BH26,BG26+BG$1,BG$3-0.5*BG$1*(COUNTIF(BH$11:BH$1000,BH27)-1))</f>
        <v>2.06666666666667</v>
      </c>
      <c r="BH27" s="1" t="n">
        <v>5</v>
      </c>
    </row>
    <row r="28" customFormat="false" ht="16" hidden="false" customHeight="false" outlineLevel="0" collapsed="false">
      <c r="A28" s="1" t="n">
        <v>18</v>
      </c>
      <c r="B28" s="1" t="n">
        <f aca="false">IF(C28=C27,B27+B$1,B$3-0.5*B$1*(COUNTIF(C$11:C$1000,C28)-1))</f>
        <v>0.852631578947369</v>
      </c>
      <c r="C28" s="1" t="n">
        <v>1</v>
      </c>
      <c r="D28" s="1" t="n">
        <f aca="false">IF(E28=E27,D27+D$1,D$3-0.5*D$1*(COUNTIF(E$11:E$1000,E28)-1))</f>
        <v>1.82650602409639</v>
      </c>
      <c r="E28" s="1" t="n">
        <v>1</v>
      </c>
      <c r="F28" s="1" t="n">
        <f aca="false">IF(G28=G27,F27+F$1,F$3-0.5*F$1*(COUNTIF(G$11:G$1000,G28)-1))</f>
        <v>3.01875</v>
      </c>
      <c r="G28" s="1" t="n">
        <v>1</v>
      </c>
      <c r="H28" s="1" t="n">
        <f aca="false">IF(I28=I27,H27+H$1,H$3-0.5*H$1*(COUNTIF(I$11:I$1000,I28)-1))</f>
        <v>3.9030303030303</v>
      </c>
      <c r="I28" s="1" t="n">
        <v>1</v>
      </c>
      <c r="J28" s="1" t="n">
        <f aca="false">IF(K28=K27,J27+J$1,J$3-0.5*J$1*(COUNTIF(K$11:K$1000,K28)-1))</f>
        <v>5.04383561643836</v>
      </c>
      <c r="K28" s="1" t="n">
        <v>1</v>
      </c>
      <c r="L28" s="1" t="n">
        <f aca="false">IF(M28=M27,L27+L$1,L$3-0.5*L$1*(COUNTIF(M$11:M$1000,M28)-1))</f>
        <v>5.98947368421052</v>
      </c>
      <c r="M28" s="1" t="n">
        <v>1</v>
      </c>
      <c r="O28" s="1" t="n">
        <f aca="false">IF(P28=P27,O27+O$1,O$3-0.5*O$1*(COUNTIF(P$11:P$1000,P28)-1))</f>
        <v>0.852631578947369</v>
      </c>
      <c r="P28" s="1" t="n">
        <v>1</v>
      </c>
      <c r="Q28" s="1" t="n">
        <f aca="false">IF(R28=R27,Q27+Q$1,Q$3-0.5*Q$1*(COUNTIF(R$11:R$1000,R28)-1))</f>
        <v>1.86190476190476</v>
      </c>
      <c r="R28" s="1" t="n">
        <v>1</v>
      </c>
      <c r="S28" s="1" t="n">
        <f aca="false">IF(T28=T27,S27+S$1,S$3-0.5*S$1*(COUNTIF(T$11:T$1000,T28)-1))</f>
        <v>3.10181818181818</v>
      </c>
      <c r="T28" s="1" t="n">
        <v>1</v>
      </c>
      <c r="U28" s="1" t="n">
        <f aca="false">IF(V28=V27,U27+U$1,U$3-0.5*U$1*(COUNTIF(V$11:V$1000,V28)-1))</f>
        <v>4.08627450980392</v>
      </c>
      <c r="V28" s="1" t="n">
        <v>1</v>
      </c>
      <c r="W28" s="1" t="n">
        <f aca="false">IF(X28=X27,W27+W$1,W$3-0.5*W$1*(COUNTIF(X$11:X$1000,X28)-1))</f>
        <v>4.73333333333333</v>
      </c>
      <c r="X28" s="1" t="n">
        <v>2</v>
      </c>
      <c r="Y28" s="1" t="n">
        <f aca="false">IF(Z28=Z27,Y27+Y$1,Y$3-0.5*Y$1*(COUNTIF(Z$11:Z$1000,Z28)-1))</f>
        <v>5.91794871794872</v>
      </c>
      <c r="Z28" s="1" t="n">
        <v>2</v>
      </c>
      <c r="AB28" s="1" t="n">
        <v>18</v>
      </c>
      <c r="AC28" s="1" t="n">
        <f aca="false">IF(AD28=AD27,AC27+AC$1,AC$3-0.5*AC$1*(COUNTIF(AD$11:AD$1000,AD28)-1))</f>
        <v>0.790476190476191</v>
      </c>
      <c r="AD28" s="1" t="n">
        <v>1</v>
      </c>
      <c r="AE28" s="1" t="n">
        <f aca="false">IF(AF28=AF27,AE27+AE$1,AE$3-0.5*AE$1*(COUNTIF(AF$11:AF$1000,AF28)-1))</f>
        <v>1.97692307692308</v>
      </c>
      <c r="AF28" s="1" t="n">
        <v>1</v>
      </c>
      <c r="AG28" s="1" t="n">
        <f aca="false">IF(AH28=AH27,AG27+AG$1,AG$3-0.5*AG$1*(COUNTIF(AH$11:AH$1000,AH28)-1))</f>
        <v>3.08301886792453</v>
      </c>
      <c r="AH28" s="1" t="n">
        <v>1</v>
      </c>
      <c r="AI28" s="1" t="n">
        <f aca="false">IF(AJ28=AJ27,AI27+AI$1,AI$3-0.5*AI$1*(COUNTIF(AJ$11:AJ$1000,AJ28)-1))</f>
        <v>3.74857142857143</v>
      </c>
      <c r="AJ28" s="1" t="n">
        <v>2</v>
      </c>
      <c r="AK28" s="1" t="n">
        <f aca="false">IF(AL28=AL27,AK27+AK$1,AK$3-0.5*AK$1*(COUNTIF(AL$11:AL$1000,AL28)-1))</f>
        <v>4.66101694915254</v>
      </c>
      <c r="AL28" s="1" t="n">
        <v>2</v>
      </c>
      <c r="AN28" s="1" t="n">
        <f aca="false">IF(AO28=AO27,AN27+AN$1,AN$3-0.5*AN$1*(COUNTIF(AO$11:AO$1000,AO28)-1))</f>
        <v>0.834615384615384</v>
      </c>
      <c r="AO28" s="1" t="n">
        <v>1</v>
      </c>
      <c r="AP28" s="1" t="n">
        <f aca="false">IF(AQ28=AQ27,AP27+AP$1,AP$3-0.5*AP$1*(COUNTIF(AQ$11:AQ$1000,AQ28)-1))</f>
        <v>2.14468085106383</v>
      </c>
      <c r="AQ28" s="1" t="n">
        <v>1</v>
      </c>
      <c r="AR28" s="1" t="n">
        <f aca="false">IF(AS28=AS27,AR27+AR$1,AR$3-0.5*AR$1*(COUNTIF(AS$11:AS$1000,AS28)-1))</f>
        <v>2.85454545454546</v>
      </c>
      <c r="AS28" s="1" t="n">
        <v>2</v>
      </c>
      <c r="AT28" s="1" t="n">
        <f aca="false">IF(AU28=AU27,AT27+AT$1,AT$3-0.5*AT$1*(COUNTIF(AU$11:AU$1000,AU28)-1))</f>
        <v>4.10434782608696</v>
      </c>
      <c r="AU28" s="1" t="n">
        <v>3</v>
      </c>
      <c r="AV28" s="1" t="n">
        <f aca="false">IF(AW28=AW27,AV27+AV$1,AV$3-0.5*AV$1*(COUNTIF(AW$11:AW$1000,AW28)-1))</f>
        <v>5.17142857142857</v>
      </c>
      <c r="AW28" s="1" t="n">
        <v>2</v>
      </c>
      <c r="AY28" s="1" t="n">
        <v>18</v>
      </c>
      <c r="AZ28" s="1" t="n">
        <f aca="false">IF(BA28=BA27,AZ27+AZ$1,AZ$3-0.5*AZ$1*(COUNTIF(BA$11:BA$1000,BA28)-1))</f>
        <v>0.897872340425532</v>
      </c>
      <c r="BA28" s="1" t="n">
        <v>1</v>
      </c>
      <c r="BB28" s="1" t="n">
        <f aca="false">IF(BC28=BC27,BB27+BB$1,BB$3-0.5*BB$1*(COUNTIF(BC$11:BC$1000,BC28)-1))</f>
        <v>1.98461538461538</v>
      </c>
      <c r="BC28" s="1" t="n">
        <v>2</v>
      </c>
      <c r="BE28" s="1" t="n">
        <f aca="false">IF(BF28=BF27,BE27+BE$1,BE$3-0.5*BE$1*(COUNTIF(BF$11:BF$1000,BF28)-1))</f>
        <v>0.830303030303031</v>
      </c>
      <c r="BF28" s="1" t="n">
        <v>2</v>
      </c>
      <c r="BG28" s="1" t="n">
        <f aca="false">IF(BH28=BH27,BG27+BG$1,BG$3-0.5*BG$1*(COUNTIF(BH$11:BH$1000,BH28)-1))</f>
        <v>1.63333333333333</v>
      </c>
      <c r="BH28" s="1" t="n">
        <v>6</v>
      </c>
    </row>
    <row r="29" customFormat="false" ht="16" hidden="false" customHeight="false" outlineLevel="0" collapsed="false">
      <c r="A29" s="1" t="n">
        <v>19</v>
      </c>
      <c r="B29" s="1" t="n">
        <f aca="false">IF(C29=C28,B28+B$1,B$3-0.5*B$1*(COUNTIF(C$11:C$1000,C29)-1))</f>
        <v>0.866666666666667</v>
      </c>
      <c r="C29" s="1" t="n">
        <v>1</v>
      </c>
      <c r="D29" s="1" t="n">
        <f aca="false">IF(E29=E28,D28+D$1,D$3-0.5*D$1*(COUNTIF(E$11:E$1000,E29)-1))</f>
        <v>1.83614457831325</v>
      </c>
      <c r="E29" s="1" t="n">
        <v>1</v>
      </c>
      <c r="F29" s="1" t="n">
        <f aca="false">IF(G29=G28,F28+F$1,F$3-0.5*F$1*(COUNTIF(G$11:G$1000,G29)-1))</f>
        <v>3.03125</v>
      </c>
      <c r="G29" s="1" t="n">
        <v>1</v>
      </c>
      <c r="H29" s="1" t="n">
        <f aca="false">IF(I29=I28,H28+H$1,H$3-0.5*H$1*(COUNTIF(I$11:I$1000,I29)-1))</f>
        <v>3.91515151515152</v>
      </c>
      <c r="I29" s="1" t="n">
        <v>1</v>
      </c>
      <c r="J29" s="1" t="n">
        <f aca="false">IF(K29=K28,J28+J$1,J$3-0.5*J$1*(COUNTIF(K$11:K$1000,K29)-1))</f>
        <v>5.05479452054795</v>
      </c>
      <c r="K29" s="1" t="n">
        <v>1</v>
      </c>
      <c r="L29" s="1" t="n">
        <f aca="false">IF(M29=M28,L28+L$1,L$3-0.5*L$1*(COUNTIF(M$11:M$1000,M29)-1))</f>
        <v>5.99999999999999</v>
      </c>
      <c r="M29" s="1" t="n">
        <v>1</v>
      </c>
      <c r="O29" s="1" t="n">
        <f aca="false">IF(P29=P28,O28+O$1,O$3-0.5*O$1*(COUNTIF(P$11:P$1000,P29)-1))</f>
        <v>0.866666666666667</v>
      </c>
      <c r="P29" s="1" t="n">
        <v>1</v>
      </c>
      <c r="Q29" s="1" t="n">
        <f aca="false">IF(R29=R28,Q28+Q$1,Q$3-0.5*Q$1*(COUNTIF(R$11:R$1000,R29)-1))</f>
        <v>1.87142857142857</v>
      </c>
      <c r="R29" s="1" t="n">
        <v>1</v>
      </c>
      <c r="S29" s="1" t="n">
        <f aca="false">IF(T29=T28,S28+S$1,S$3-0.5*S$1*(COUNTIF(T$11:T$1000,T29)-1))</f>
        <v>3.11636363636364</v>
      </c>
      <c r="T29" s="1" t="n">
        <v>1</v>
      </c>
      <c r="U29" s="1" t="n">
        <f aca="false">IF(V29=V28,U28+U$1,U$3-0.5*U$1*(COUNTIF(V$11:V$1000,V29)-1))</f>
        <v>4.10196078431373</v>
      </c>
      <c r="V29" s="1" t="n">
        <v>1</v>
      </c>
      <c r="W29" s="1" t="n">
        <f aca="false">IF(X29=X28,W28+W$1,W$3-0.5*W$1*(COUNTIF(X$11:X$1000,X29)-1))</f>
        <v>4.75384615384615</v>
      </c>
      <c r="X29" s="1" t="n">
        <v>2</v>
      </c>
      <c r="Y29" s="1" t="n">
        <f aca="false">IF(Z29=Z28,Y28+Y$1,Y$3-0.5*Y$1*(COUNTIF(Z$11:Z$1000,Z29)-1))</f>
        <v>5.93846153846154</v>
      </c>
      <c r="Z29" s="1" t="n">
        <v>2</v>
      </c>
      <c r="AB29" s="1" t="n">
        <v>19</v>
      </c>
      <c r="AC29" s="1" t="n">
        <f aca="false">IF(AD29=AD28,AC28+AC$1,AC$3-0.5*AC$1*(COUNTIF(AD$11:AD$1000,AD29)-1))</f>
        <v>0.798095238095238</v>
      </c>
      <c r="AD29" s="1" t="n">
        <v>1</v>
      </c>
      <c r="AE29" s="1" t="n">
        <f aca="false">IF(AF29=AF28,AE28+AE$1,AE$3-0.5*AE$1*(COUNTIF(AF$11:AF$1000,AF29)-1))</f>
        <v>1.99230769230769</v>
      </c>
      <c r="AF29" s="1" t="n">
        <v>1</v>
      </c>
      <c r="AG29" s="1" t="n">
        <f aca="false">IF(AH29=AH28,AG28+AG$1,AG$3-0.5*AG$1*(COUNTIF(AH$11:AH$1000,AH29)-1))</f>
        <v>3.09811320754717</v>
      </c>
      <c r="AH29" s="1" t="n">
        <v>1</v>
      </c>
      <c r="AI29" s="1" t="n">
        <f aca="false">IF(AJ29=AJ28,AI28+AI$1,AI$3-0.5*AI$1*(COUNTIF(AJ$11:AJ$1000,AJ29)-1))</f>
        <v>3.77142857142857</v>
      </c>
      <c r="AJ29" s="1" t="n">
        <v>2</v>
      </c>
      <c r="AK29" s="1" t="n">
        <f aca="false">IF(AL29=AL28,AK28+AK$1,AK$3-0.5*AK$1*(COUNTIF(AL$11:AL$1000,AL29)-1))</f>
        <v>4.67457627118644</v>
      </c>
      <c r="AL29" s="1" t="n">
        <v>2</v>
      </c>
      <c r="AN29" s="1" t="n">
        <f aca="false">IF(AO29=AO28,AN28+AN$1,AN$3-0.5*AN$1*(COUNTIF(AO$11:AO$1000,AO29)-1))</f>
        <v>0.842307692307692</v>
      </c>
      <c r="AO29" s="1" t="n">
        <v>1</v>
      </c>
      <c r="AP29" s="1" t="n">
        <f aca="false">IF(AQ29=AQ28,AP28+AP$1,AP$3-0.5*AP$1*(COUNTIF(AQ$11:AQ$1000,AQ29)-1))</f>
        <v>1.60851063829787</v>
      </c>
      <c r="AQ29" s="1" t="n">
        <v>2</v>
      </c>
      <c r="AR29" s="1" t="n">
        <f aca="false">IF(AS29=AS28,AR28+AR$1,AR$3-0.5*AR$1*(COUNTIF(AS$11:AS$1000,AS29)-1))</f>
        <v>2.87878787878788</v>
      </c>
      <c r="AS29" s="1" t="n">
        <v>2</v>
      </c>
      <c r="AT29" s="1" t="n">
        <f aca="false">IF(AU29=AU28,AT28+AT$1,AT$3-0.5*AT$1*(COUNTIF(AU$11:AU$1000,AU29)-1))</f>
        <v>3.80869565217391</v>
      </c>
      <c r="AU29" s="1" t="n">
        <v>4</v>
      </c>
      <c r="AV29" s="1" t="n">
        <f aca="false">IF(AW29=AW28,AV28+AV$1,AV$3-0.5*AV$1*(COUNTIF(AW$11:AW$1000,AW29)-1))</f>
        <v>5.2</v>
      </c>
      <c r="AW29" s="1" t="n">
        <v>2</v>
      </c>
      <c r="AY29" s="1" t="n">
        <v>19</v>
      </c>
      <c r="AZ29" s="1" t="n">
        <f aca="false">IF(BA29=BA28,AZ28+AZ$1,AZ$3-0.5*AZ$1*(COUNTIF(BA$11:BA$1000,BA29)-1))</f>
        <v>0.914893617021277</v>
      </c>
      <c r="BA29" s="1" t="n">
        <v>1</v>
      </c>
      <c r="BB29" s="1" t="n">
        <f aca="false">IF(BC29=BC28,BB28+BB$1,BB$3-0.5*BB$1*(COUNTIF(BC$11:BC$1000,BC29)-1))</f>
        <v>2.01538461538461</v>
      </c>
      <c r="BC29" s="1" t="n">
        <v>2</v>
      </c>
      <c r="BE29" s="1" t="n">
        <f aca="false">IF(BF29=BF28,BE28+BE$1,BE$3-0.5*BE$1*(COUNTIF(BF$11:BF$1000,BF29)-1))</f>
        <v>0.854545454545455</v>
      </c>
      <c r="BF29" s="1" t="n">
        <v>2</v>
      </c>
      <c r="BG29" s="1" t="n">
        <f aca="false">IF(BH29=BH28,BG28+BG$1,BG$3-0.5*BG$1*(COUNTIF(BH$11:BH$1000,BH29)-1))</f>
        <v>1.7</v>
      </c>
      <c r="BH29" s="1" t="n">
        <v>6</v>
      </c>
    </row>
    <row r="30" customFormat="false" ht="16" hidden="false" customHeight="false" outlineLevel="0" collapsed="false">
      <c r="A30" s="1" t="n">
        <v>20</v>
      </c>
      <c r="B30" s="1" t="n">
        <f aca="false">IF(C30=C29,B29+B$1,B$3-0.5*B$1*(COUNTIF(C$11:C$1000,C30)-1))</f>
        <v>0.880701754385966</v>
      </c>
      <c r="C30" s="1" t="n">
        <v>1</v>
      </c>
      <c r="D30" s="1" t="n">
        <f aca="false">IF(E30=E29,D29+D$1,D$3-0.5*D$1*(COUNTIF(E$11:E$1000,E30)-1))</f>
        <v>1.84578313253012</v>
      </c>
      <c r="E30" s="1" t="n">
        <v>1</v>
      </c>
      <c r="F30" s="1" t="n">
        <f aca="false">IF(G30=G29,F29+F$1,F$3-0.5*F$1*(COUNTIF(G$11:G$1000,G30)-1))</f>
        <v>3.04375</v>
      </c>
      <c r="G30" s="1" t="n">
        <v>1</v>
      </c>
      <c r="H30" s="1" t="n">
        <f aca="false">IF(I30=I29,H29+H$1,H$3-0.5*H$1*(COUNTIF(I$11:I$1000,I30)-1))</f>
        <v>3.92727272727273</v>
      </c>
      <c r="I30" s="1" t="n">
        <v>1</v>
      </c>
      <c r="J30" s="1" t="n">
        <f aca="false">IF(K30=K29,J29+J$1,J$3-0.5*J$1*(COUNTIF(K$11:K$1000,K30)-1))</f>
        <v>5.06575342465754</v>
      </c>
      <c r="K30" s="1" t="n">
        <v>1</v>
      </c>
      <c r="L30" s="1" t="n">
        <f aca="false">IF(M30=M29,L29+L$1,L$3-0.5*L$1*(COUNTIF(M$11:M$1000,M30)-1))</f>
        <v>6.01052631578947</v>
      </c>
      <c r="M30" s="1" t="n">
        <v>1</v>
      </c>
      <c r="O30" s="1" t="n">
        <f aca="false">IF(P30=P29,O29+O$1,O$3-0.5*O$1*(COUNTIF(P$11:P$1000,P30)-1))</f>
        <v>0.880701754385966</v>
      </c>
      <c r="P30" s="1" t="n">
        <v>1</v>
      </c>
      <c r="Q30" s="1" t="n">
        <f aca="false">IF(R30=R29,Q29+Q$1,Q$3-0.5*Q$1*(COUNTIF(R$11:R$1000,R30)-1))</f>
        <v>1.88095238095238</v>
      </c>
      <c r="R30" s="1" t="n">
        <v>1</v>
      </c>
      <c r="S30" s="1" t="n">
        <f aca="false">IF(T30=T29,S29+S$1,S$3-0.5*S$1*(COUNTIF(T$11:T$1000,T30)-1))</f>
        <v>3.13090909090909</v>
      </c>
      <c r="T30" s="1" t="n">
        <v>1</v>
      </c>
      <c r="U30" s="1" t="n">
        <f aca="false">IF(V30=V29,U29+U$1,U$3-0.5*U$1*(COUNTIF(V$11:V$1000,V30)-1))</f>
        <v>4.11764705882353</v>
      </c>
      <c r="V30" s="1" t="n">
        <v>1</v>
      </c>
      <c r="W30" s="1" t="n">
        <f aca="false">IF(X30=X29,W29+W$1,W$3-0.5*W$1*(COUNTIF(X$11:X$1000,X30)-1))</f>
        <v>4.77435897435897</v>
      </c>
      <c r="X30" s="1" t="n">
        <v>2</v>
      </c>
      <c r="Y30" s="1" t="n">
        <f aca="false">IF(Z30=Z29,Y29+Y$1,Y$3-0.5*Y$1*(COUNTIF(Z$11:Z$1000,Z30)-1))</f>
        <v>5.95897435897436</v>
      </c>
      <c r="Z30" s="1" t="n">
        <v>2</v>
      </c>
      <c r="AB30" s="1" t="n">
        <v>20</v>
      </c>
      <c r="AC30" s="1" t="n">
        <f aca="false">IF(AD30=AD29,AC29+AC$1,AC$3-0.5*AC$1*(COUNTIF(AD$11:AD$1000,AD30)-1))</f>
        <v>0.805714285714286</v>
      </c>
      <c r="AD30" s="1" t="n">
        <v>1</v>
      </c>
      <c r="AE30" s="1" t="n">
        <f aca="false">IF(AF30=AF29,AE29+AE$1,AE$3-0.5*AE$1*(COUNTIF(AF$11:AF$1000,AF30)-1))</f>
        <v>2.00769230769231</v>
      </c>
      <c r="AF30" s="1" t="n">
        <v>1</v>
      </c>
      <c r="AG30" s="1" t="n">
        <f aca="false">IF(AH30=AH29,AG29+AG$1,AG$3-0.5*AG$1*(COUNTIF(AH$11:AH$1000,AH30)-1))</f>
        <v>3.11320754716981</v>
      </c>
      <c r="AH30" s="1" t="n">
        <v>1</v>
      </c>
      <c r="AI30" s="1" t="n">
        <f aca="false">IF(AJ30=AJ29,AI29+AI$1,AI$3-0.5*AI$1*(COUNTIF(AJ$11:AJ$1000,AJ30)-1))</f>
        <v>3.79428571428571</v>
      </c>
      <c r="AJ30" s="1" t="n">
        <v>2</v>
      </c>
      <c r="AK30" s="1" t="n">
        <f aca="false">IF(AL30=AL29,AK29+AK$1,AK$3-0.5*AK$1*(COUNTIF(AL$11:AL$1000,AL30)-1))</f>
        <v>4.68813559322034</v>
      </c>
      <c r="AL30" s="1" t="n">
        <v>2</v>
      </c>
      <c r="AN30" s="1" t="n">
        <f aca="false">IF(AO30=AO29,AN29+AN$1,AN$3-0.5*AN$1*(COUNTIF(AO$11:AO$1000,AO30)-1))</f>
        <v>0.849999999999999</v>
      </c>
      <c r="AO30" s="1" t="n">
        <v>1</v>
      </c>
      <c r="AP30" s="1" t="n">
        <f aca="false">IF(AQ30=AQ29,AP29+AP$1,AP$3-0.5*AP$1*(COUNTIF(AQ$11:AQ$1000,AQ30)-1))</f>
        <v>1.62553191489362</v>
      </c>
      <c r="AQ30" s="1" t="n">
        <v>2</v>
      </c>
      <c r="AR30" s="1" t="n">
        <f aca="false">IF(AS30=AS29,AR29+AR$1,AR$3-0.5*AR$1*(COUNTIF(AS$11:AS$1000,AS30)-1))</f>
        <v>2.9030303030303</v>
      </c>
      <c r="AS30" s="1" t="n">
        <v>2</v>
      </c>
      <c r="AT30" s="1" t="n">
        <f aca="false">IF(AU30=AU29,AT29+AT$1,AT$3-0.5*AT$1*(COUNTIF(AU$11:AU$1000,AU30)-1))</f>
        <v>3.84347826086957</v>
      </c>
      <c r="AU30" s="1" t="n">
        <v>4</v>
      </c>
      <c r="AV30" s="1" t="n">
        <f aca="false">IF(AW30=AW29,AV29+AV$1,AV$3-0.5*AV$1*(COUNTIF(AW$11:AW$1000,AW30)-1))</f>
        <v>5.22857142857143</v>
      </c>
      <c r="AW30" s="1" t="n">
        <v>2</v>
      </c>
      <c r="AY30" s="1" t="n">
        <v>20</v>
      </c>
      <c r="AZ30" s="1" t="n">
        <f aca="false">IF(BA30=BA29,AZ29+AZ$1,AZ$3-0.5*AZ$1*(COUNTIF(BA$11:BA$1000,BA30)-1))</f>
        <v>0.931914893617022</v>
      </c>
      <c r="BA30" s="1" t="n">
        <v>1</v>
      </c>
      <c r="BB30" s="1" t="n">
        <f aca="false">IF(BC30=BC29,BB29+BB$1,BB$3-0.5*BB$1*(COUNTIF(BC$11:BC$1000,BC30)-1))</f>
        <v>2.04615384615384</v>
      </c>
      <c r="BC30" s="1" t="n">
        <v>2</v>
      </c>
      <c r="BE30" s="1" t="n">
        <f aca="false">IF(BF30=BF29,BE29+BE$1,BE$3-0.5*BE$1*(COUNTIF(BF$11:BF$1000,BF30)-1))</f>
        <v>0.878787878787879</v>
      </c>
      <c r="BF30" s="1" t="n">
        <v>2</v>
      </c>
      <c r="BG30" s="1" t="n">
        <f aca="false">IF(BH30=BH29,BG29+BG$1,BG$3-0.5*BG$1*(COUNTIF(BH$11:BH$1000,BH30)-1))</f>
        <v>1.76666666666667</v>
      </c>
      <c r="BH30" s="1" t="n">
        <v>6</v>
      </c>
    </row>
    <row r="31" customFormat="false" ht="16" hidden="false" customHeight="false" outlineLevel="0" collapsed="false">
      <c r="A31" s="1" t="n">
        <v>21</v>
      </c>
      <c r="B31" s="1" t="n">
        <f aca="false">IF(C31=C30,B30+B$1,B$3-0.5*B$1*(COUNTIF(C$11:C$1000,C31)-1))</f>
        <v>0.894736842105264</v>
      </c>
      <c r="C31" s="1" t="n">
        <v>1</v>
      </c>
      <c r="D31" s="1" t="n">
        <f aca="false">IF(E31=E30,D30+D$1,D$3-0.5*D$1*(COUNTIF(E$11:E$1000,E31)-1))</f>
        <v>1.85542168674699</v>
      </c>
      <c r="E31" s="1" t="n">
        <v>1</v>
      </c>
      <c r="F31" s="1" t="n">
        <f aca="false">IF(G31=G30,F30+F$1,F$3-0.5*F$1*(COUNTIF(G$11:G$1000,G31)-1))</f>
        <v>3.05625</v>
      </c>
      <c r="G31" s="1" t="n">
        <v>1</v>
      </c>
      <c r="H31" s="1" t="n">
        <f aca="false">IF(I31=I30,H30+H$1,H$3-0.5*H$1*(COUNTIF(I$11:I$1000,I31)-1))</f>
        <v>3.93939393939394</v>
      </c>
      <c r="I31" s="1" t="n">
        <v>1</v>
      </c>
      <c r="J31" s="1" t="n">
        <f aca="false">IF(K31=K30,J30+J$1,J$3-0.5*J$1*(COUNTIF(K$11:K$1000,K31)-1))</f>
        <v>5.07671232876713</v>
      </c>
      <c r="K31" s="1" t="n">
        <v>1</v>
      </c>
      <c r="L31" s="1" t="n">
        <f aca="false">IF(M31=M30,L30+L$1,L$3-0.5*L$1*(COUNTIF(M$11:M$1000,M31)-1))</f>
        <v>6.02105263157894</v>
      </c>
      <c r="M31" s="1" t="n">
        <v>1</v>
      </c>
      <c r="O31" s="1" t="n">
        <f aca="false">IF(P31=P30,O30+O$1,O$3-0.5*O$1*(COUNTIF(P$11:P$1000,P31)-1))</f>
        <v>0.894736842105264</v>
      </c>
      <c r="P31" s="1" t="n">
        <v>1</v>
      </c>
      <c r="Q31" s="1" t="n">
        <f aca="false">IF(R31=R30,Q30+Q$1,Q$3-0.5*Q$1*(COUNTIF(R$11:R$1000,R31)-1))</f>
        <v>1.89047619047619</v>
      </c>
      <c r="R31" s="1" t="n">
        <v>1</v>
      </c>
      <c r="S31" s="1" t="n">
        <f aca="false">IF(T31=T30,S30+S$1,S$3-0.5*S$1*(COUNTIF(T$11:T$1000,T31)-1))</f>
        <v>3.14545454545455</v>
      </c>
      <c r="T31" s="1" t="n">
        <v>1</v>
      </c>
      <c r="U31" s="1" t="n">
        <f aca="false">IF(V31=V30,U30+U$1,U$3-0.5*U$1*(COUNTIF(V$11:V$1000,V31)-1))</f>
        <v>4.13333333333333</v>
      </c>
      <c r="V31" s="1" t="n">
        <v>1</v>
      </c>
      <c r="W31" s="1" t="n">
        <f aca="false">IF(X31=X30,W30+W$1,W$3-0.5*W$1*(COUNTIF(X$11:X$1000,X31)-1))</f>
        <v>4.79487179487179</v>
      </c>
      <c r="X31" s="1" t="n">
        <v>2</v>
      </c>
      <c r="Y31" s="1" t="n">
        <f aca="false">IF(Z31=Z30,Y30+Y$1,Y$3-0.5*Y$1*(COUNTIF(Z$11:Z$1000,Z31)-1))</f>
        <v>5.97948717948718</v>
      </c>
      <c r="Z31" s="1" t="n">
        <v>2</v>
      </c>
      <c r="AB31" s="1" t="n">
        <v>21</v>
      </c>
      <c r="AC31" s="1" t="n">
        <f aca="false">IF(AD31=AD30,AC30+AC$1,AC$3-0.5*AC$1*(COUNTIF(AD$11:AD$1000,AD31)-1))</f>
        <v>0.813333333333334</v>
      </c>
      <c r="AD31" s="1" t="n">
        <v>1</v>
      </c>
      <c r="AE31" s="1" t="n">
        <f aca="false">IF(AF31=AF30,AE30+AE$1,AE$3-0.5*AE$1*(COUNTIF(AF$11:AF$1000,AF31)-1))</f>
        <v>2.02307692307692</v>
      </c>
      <c r="AF31" s="1" t="n">
        <v>1</v>
      </c>
      <c r="AG31" s="1" t="n">
        <f aca="false">IF(AH31=AH30,AG30+AG$1,AG$3-0.5*AG$1*(COUNTIF(AH$11:AH$1000,AH31)-1))</f>
        <v>3.12830188679245</v>
      </c>
      <c r="AH31" s="1" t="n">
        <v>1</v>
      </c>
      <c r="AI31" s="1" t="n">
        <f aca="false">IF(AJ31=AJ30,AI30+AI$1,AI$3-0.5*AI$1*(COUNTIF(AJ$11:AJ$1000,AJ31)-1))</f>
        <v>3.81714285714286</v>
      </c>
      <c r="AJ31" s="1" t="n">
        <v>2</v>
      </c>
      <c r="AK31" s="1" t="n">
        <f aca="false">IF(AL31=AL30,AK30+AK$1,AK$3-0.5*AK$1*(COUNTIF(AL$11:AL$1000,AL31)-1))</f>
        <v>4.70169491525424</v>
      </c>
      <c r="AL31" s="1" t="n">
        <v>2</v>
      </c>
      <c r="AN31" s="1" t="n">
        <f aca="false">IF(AO31=AO30,AN30+AN$1,AN$3-0.5*AN$1*(COUNTIF(AO$11:AO$1000,AO31)-1))</f>
        <v>0.857692307692307</v>
      </c>
      <c r="AO31" s="1" t="n">
        <v>1</v>
      </c>
      <c r="AP31" s="1" t="n">
        <f aca="false">IF(AQ31=AQ30,AP30+AP$1,AP$3-0.5*AP$1*(COUNTIF(AQ$11:AQ$1000,AQ31)-1))</f>
        <v>1.64255319148936</v>
      </c>
      <c r="AQ31" s="1" t="n">
        <v>2</v>
      </c>
      <c r="AR31" s="1" t="n">
        <f aca="false">IF(AS31=AS30,AR30+AR$1,AR$3-0.5*AR$1*(COUNTIF(AS$11:AS$1000,AS31)-1))</f>
        <v>2.92727272727273</v>
      </c>
      <c r="AS31" s="1" t="n">
        <v>2</v>
      </c>
      <c r="AT31" s="1" t="n">
        <f aca="false">IF(AU31=AU30,AT30+AT$1,AT$3-0.5*AT$1*(COUNTIF(AU$11:AU$1000,AU31)-1))</f>
        <v>3.87826086956522</v>
      </c>
      <c r="AU31" s="1" t="n">
        <v>4</v>
      </c>
      <c r="AV31" s="1" t="n">
        <f aca="false">IF(AW31=AW30,AV30+AV$1,AV$3-0.5*AV$1*(COUNTIF(AW$11:AW$1000,AW31)-1))</f>
        <v>4.94285714285714</v>
      </c>
      <c r="AW31" s="1" t="n">
        <v>3</v>
      </c>
      <c r="AY31" s="1" t="n">
        <v>21</v>
      </c>
      <c r="AZ31" s="1" t="n">
        <f aca="false">IF(BA31=BA30,AZ30+AZ$1,AZ$3-0.5*AZ$1*(COUNTIF(BA$11:BA$1000,BA31)-1))</f>
        <v>0.948936170212766</v>
      </c>
      <c r="BA31" s="1" t="n">
        <v>1</v>
      </c>
      <c r="BB31" s="1" t="n">
        <f aca="false">IF(BC31=BC30,BB30+BB$1,BB$3-0.5*BB$1*(COUNTIF(BC$11:BC$1000,BC31)-1))</f>
        <v>2.07692307692308</v>
      </c>
      <c r="BC31" s="1" t="n">
        <v>2</v>
      </c>
      <c r="BE31" s="1" t="n">
        <f aca="false">IF(BF31=BF30,BE30+BE$1,BE$3-0.5*BE$1*(COUNTIF(BF$11:BF$1000,BF31)-1))</f>
        <v>0.903030303030304</v>
      </c>
      <c r="BF31" s="1" t="n">
        <v>2</v>
      </c>
      <c r="BG31" s="1" t="n">
        <f aca="false">IF(BH31=BH30,BG30+BG$1,BG$3-0.5*BG$1*(COUNTIF(BH$11:BH$1000,BH31)-1))</f>
        <v>1.83333333333333</v>
      </c>
      <c r="BH31" s="1" t="n">
        <v>6</v>
      </c>
    </row>
    <row r="32" customFormat="false" ht="16" hidden="false" customHeight="false" outlineLevel="0" collapsed="false">
      <c r="A32" s="1" t="n">
        <v>22</v>
      </c>
      <c r="B32" s="1" t="n">
        <f aca="false">IF(C32=C31,B31+B$1,B$3-0.5*B$1*(COUNTIF(C$11:C$1000,C32)-1))</f>
        <v>0.908771929824562</v>
      </c>
      <c r="C32" s="1" t="n">
        <v>1</v>
      </c>
      <c r="D32" s="1" t="n">
        <f aca="false">IF(E32=E31,D31+D$1,D$3-0.5*D$1*(COUNTIF(E$11:E$1000,E32)-1))</f>
        <v>1.86506024096386</v>
      </c>
      <c r="E32" s="1" t="n">
        <v>1</v>
      </c>
      <c r="F32" s="1" t="n">
        <f aca="false">IF(G32=G31,F31+F$1,F$3-0.5*F$1*(COUNTIF(G$11:G$1000,G32)-1))</f>
        <v>3.06875</v>
      </c>
      <c r="G32" s="1" t="n">
        <v>1</v>
      </c>
      <c r="H32" s="1" t="n">
        <f aca="false">IF(I32=I31,H31+H$1,H$3-0.5*H$1*(COUNTIF(I$11:I$1000,I32)-1))</f>
        <v>3.95151515151515</v>
      </c>
      <c r="I32" s="1" t="n">
        <v>1</v>
      </c>
      <c r="J32" s="1" t="n">
        <f aca="false">IF(K32=K31,J31+J$1,J$3-0.5*J$1*(COUNTIF(K$11:K$1000,K32)-1))</f>
        <v>5.08767123287672</v>
      </c>
      <c r="K32" s="1" t="n">
        <v>1</v>
      </c>
      <c r="L32" s="1" t="n">
        <f aca="false">IF(M32=M31,L31+L$1,L$3-0.5*L$1*(COUNTIF(M$11:M$1000,M32)-1))</f>
        <v>6.03157894736841</v>
      </c>
      <c r="M32" s="1" t="n">
        <v>1</v>
      </c>
      <c r="O32" s="1" t="n">
        <f aca="false">IF(P32=P31,O31+O$1,O$3-0.5*O$1*(COUNTIF(P$11:P$1000,P32)-1))</f>
        <v>0.908771929824562</v>
      </c>
      <c r="P32" s="1" t="n">
        <v>1</v>
      </c>
      <c r="Q32" s="1" t="n">
        <f aca="false">IF(R32=R31,Q31+Q$1,Q$3-0.5*Q$1*(COUNTIF(R$11:R$1000,R32)-1))</f>
        <v>1.9</v>
      </c>
      <c r="R32" s="1" t="n">
        <v>1</v>
      </c>
      <c r="S32" s="1" t="n">
        <f aca="false">IF(T32=T31,S31+S$1,S$3-0.5*S$1*(COUNTIF(T$11:T$1000,T32)-1))</f>
        <v>2.60727272727273</v>
      </c>
      <c r="T32" s="1" t="n">
        <v>2</v>
      </c>
      <c r="U32" s="1" t="n">
        <f aca="false">IF(V32=V31,U31+U$1,U$3-0.5*U$1*(COUNTIF(V$11:V$1000,V32)-1))</f>
        <v>4.14901960784314</v>
      </c>
      <c r="V32" s="1" t="n">
        <v>1</v>
      </c>
      <c r="W32" s="1" t="n">
        <f aca="false">IF(X32=X31,W31+W$1,W$3-0.5*W$1*(COUNTIF(X$11:X$1000,X32)-1))</f>
        <v>4.81538461538461</v>
      </c>
      <c r="X32" s="1" t="n">
        <v>2</v>
      </c>
      <c r="Y32" s="1" t="n">
        <f aca="false">IF(Z32=Z31,Y31+Y$1,Y$3-0.5*Y$1*(COUNTIF(Z$11:Z$1000,Z32)-1))</f>
        <v>6</v>
      </c>
      <c r="Z32" s="1" t="n">
        <v>2</v>
      </c>
      <c r="AB32" s="1" t="n">
        <v>22</v>
      </c>
      <c r="AC32" s="1" t="n">
        <f aca="false">IF(AD32=AD31,AC31+AC$1,AC$3-0.5*AC$1*(COUNTIF(AD$11:AD$1000,AD32)-1))</f>
        <v>0.820952380952381</v>
      </c>
      <c r="AD32" s="1" t="n">
        <v>1</v>
      </c>
      <c r="AE32" s="1" t="n">
        <f aca="false">IF(AF32=AF31,AE31+AE$1,AE$3-0.5*AE$1*(COUNTIF(AF$11:AF$1000,AF32)-1))</f>
        <v>2.03846153846154</v>
      </c>
      <c r="AF32" s="1" t="n">
        <v>1</v>
      </c>
      <c r="AG32" s="1" t="n">
        <f aca="false">IF(AH32=AH31,AG31+AG$1,AG$3-0.5*AG$1*(COUNTIF(AH$11:AH$1000,AH32)-1))</f>
        <v>3.14339622641509</v>
      </c>
      <c r="AH32" s="1" t="n">
        <v>1</v>
      </c>
      <c r="AI32" s="1" t="n">
        <f aca="false">IF(AJ32=AJ31,AI31+AI$1,AI$3-0.5*AI$1*(COUNTIF(AJ$11:AJ$1000,AJ32)-1))</f>
        <v>3.84</v>
      </c>
      <c r="AJ32" s="1" t="n">
        <v>2</v>
      </c>
      <c r="AK32" s="1" t="n">
        <f aca="false">IF(AL32=AL31,AK31+AK$1,AK$3-0.5*AK$1*(COUNTIF(AL$11:AL$1000,AL32)-1))</f>
        <v>4.71525423728813</v>
      </c>
      <c r="AL32" s="1" t="n">
        <v>2</v>
      </c>
      <c r="AN32" s="1" t="n">
        <f aca="false">IF(AO32=AO31,AN31+AN$1,AN$3-0.5*AN$1*(COUNTIF(AO$11:AO$1000,AO32)-1))</f>
        <v>0.865384615384615</v>
      </c>
      <c r="AO32" s="1" t="n">
        <v>1</v>
      </c>
      <c r="AP32" s="1" t="n">
        <f aca="false">IF(AQ32=AQ31,AP31+AP$1,AP$3-0.5*AP$1*(COUNTIF(AQ$11:AQ$1000,AQ32)-1))</f>
        <v>1.65957446808511</v>
      </c>
      <c r="AQ32" s="1" t="n">
        <v>2</v>
      </c>
      <c r="AR32" s="1" t="n">
        <f aca="false">IF(AS32=AS31,AR31+AR$1,AR$3-0.5*AR$1*(COUNTIF(AS$11:AS$1000,AS32)-1))</f>
        <v>2.95151515151515</v>
      </c>
      <c r="AS32" s="1" t="n">
        <v>2</v>
      </c>
      <c r="AT32" s="1" t="n">
        <f aca="false">IF(AU32=AU31,AT31+AT$1,AT$3-0.5*AT$1*(COUNTIF(AU$11:AU$1000,AU32)-1))</f>
        <v>3.91304347826087</v>
      </c>
      <c r="AU32" s="1" t="n">
        <v>4</v>
      </c>
      <c r="AV32" s="1" t="n">
        <f aca="false">IF(AW32=AW31,AV31+AV$1,AV$3-0.5*AV$1*(COUNTIF(AW$11:AW$1000,AW32)-1))</f>
        <v>4.97142857142857</v>
      </c>
      <c r="AW32" s="1" t="n">
        <v>3</v>
      </c>
      <c r="AY32" s="1" t="n">
        <v>22</v>
      </c>
      <c r="AZ32" s="1" t="n">
        <f aca="false">IF(BA32=BA31,AZ31+AZ$1,AZ$3-0.5*AZ$1*(COUNTIF(BA$11:BA$1000,BA32)-1))</f>
        <v>0.965957446808511</v>
      </c>
      <c r="BA32" s="1" t="n">
        <v>1</v>
      </c>
      <c r="BB32" s="1" t="n">
        <f aca="false">IF(BC32=BC31,BB31+BB$1,BB$3-0.5*BB$1*(COUNTIF(BC$11:BC$1000,BC32)-1))</f>
        <v>2.10769230769231</v>
      </c>
      <c r="BC32" s="1" t="n">
        <v>2</v>
      </c>
      <c r="BE32" s="1" t="n">
        <f aca="false">IF(BF32=BF31,BE31+BE$1,BE$3-0.5*BE$1*(COUNTIF(BF$11:BF$1000,BF32)-1))</f>
        <v>0.927272727272728</v>
      </c>
      <c r="BF32" s="1" t="n">
        <v>2</v>
      </c>
      <c r="BG32" s="1" t="n">
        <f aca="false">IF(BH32=BH31,BG31+BG$1,BG$3-0.5*BG$1*(COUNTIF(BH$11:BH$1000,BH32)-1))</f>
        <v>1.9</v>
      </c>
      <c r="BH32" s="1" t="n">
        <v>6</v>
      </c>
    </row>
    <row r="33" customFormat="false" ht="16" hidden="false" customHeight="false" outlineLevel="0" collapsed="false">
      <c r="A33" s="1" t="n">
        <v>23</v>
      </c>
      <c r="B33" s="1" t="n">
        <f aca="false">IF(C33=C32,B32+B$1,B$3-0.5*B$1*(COUNTIF(C$11:C$1000,C33)-1))</f>
        <v>0.922807017543861</v>
      </c>
      <c r="C33" s="1" t="n">
        <v>1</v>
      </c>
      <c r="D33" s="1" t="n">
        <f aca="false">IF(E33=E32,D32+D$1,D$3-0.5*D$1*(COUNTIF(E$11:E$1000,E33)-1))</f>
        <v>1.87469879518072</v>
      </c>
      <c r="E33" s="1" t="n">
        <v>1</v>
      </c>
      <c r="F33" s="1" t="n">
        <f aca="false">IF(G33=G32,F32+F$1,F$3-0.5*F$1*(COUNTIF(G$11:G$1000,G33)-1))</f>
        <v>3.08125</v>
      </c>
      <c r="G33" s="1" t="n">
        <v>1</v>
      </c>
      <c r="H33" s="1" t="n">
        <f aca="false">IF(I33=I32,H32+H$1,H$3-0.5*H$1*(COUNTIF(I$11:I$1000,I33)-1))</f>
        <v>3.96363636363637</v>
      </c>
      <c r="I33" s="1" t="n">
        <v>1</v>
      </c>
      <c r="J33" s="1" t="n">
        <f aca="false">IF(K33=K32,J32+J$1,J$3-0.5*J$1*(COUNTIF(K$11:K$1000,K33)-1))</f>
        <v>5.09863013698631</v>
      </c>
      <c r="K33" s="1" t="n">
        <v>1</v>
      </c>
      <c r="L33" s="1" t="n">
        <f aca="false">IF(M33=M32,L32+L$1,L$3-0.5*L$1*(COUNTIF(M$11:M$1000,M33)-1))</f>
        <v>6.04210526315789</v>
      </c>
      <c r="M33" s="1" t="n">
        <v>1</v>
      </c>
      <c r="O33" s="1" t="n">
        <f aca="false">IF(P33=P32,O32+O$1,O$3-0.5*O$1*(COUNTIF(P$11:P$1000,P33)-1))</f>
        <v>0.922807017543861</v>
      </c>
      <c r="P33" s="1" t="n">
        <v>1</v>
      </c>
      <c r="Q33" s="1" t="n">
        <f aca="false">IF(R33=R32,Q32+Q$1,Q$3-0.5*Q$1*(COUNTIF(R$11:R$1000,R33)-1))</f>
        <v>1.90952380952381</v>
      </c>
      <c r="R33" s="1" t="n">
        <v>1</v>
      </c>
      <c r="S33" s="1" t="n">
        <f aca="false">IF(T33=T32,S32+S$1,S$3-0.5*S$1*(COUNTIF(T$11:T$1000,T33)-1))</f>
        <v>2.62181818181818</v>
      </c>
      <c r="T33" s="1" t="n">
        <v>2</v>
      </c>
      <c r="U33" s="1" t="n">
        <f aca="false">IF(V33=V32,U32+U$1,U$3-0.5*U$1*(COUNTIF(V$11:V$1000,V33)-1))</f>
        <v>4.16470588235294</v>
      </c>
      <c r="V33" s="1" t="n">
        <v>1</v>
      </c>
      <c r="W33" s="1" t="n">
        <f aca="false">IF(X33=X32,W32+W$1,W$3-0.5*W$1*(COUNTIF(X$11:X$1000,X33)-1))</f>
        <v>4.83589743589744</v>
      </c>
      <c r="X33" s="1" t="n">
        <v>2</v>
      </c>
      <c r="Y33" s="1" t="n">
        <f aca="false">IF(Z33=Z32,Y32+Y$1,Y$3-0.5*Y$1*(COUNTIF(Z$11:Z$1000,Z33)-1))</f>
        <v>6.02051282051282</v>
      </c>
      <c r="Z33" s="1" t="n">
        <v>2</v>
      </c>
      <c r="AB33" s="1" t="n">
        <v>23</v>
      </c>
      <c r="AC33" s="1" t="n">
        <f aca="false">IF(AD33=AD32,AC32+AC$1,AC$3-0.5*AC$1*(COUNTIF(AD$11:AD$1000,AD33)-1))</f>
        <v>0.828571428571429</v>
      </c>
      <c r="AD33" s="1" t="n">
        <v>1</v>
      </c>
      <c r="AE33" s="1" t="n">
        <f aca="false">IF(AF33=AF32,AE32+AE$1,AE$3-0.5*AE$1*(COUNTIF(AF$11:AF$1000,AF33)-1))</f>
        <v>2.05384615384615</v>
      </c>
      <c r="AF33" s="1" t="n">
        <v>1</v>
      </c>
      <c r="AG33" s="1" t="n">
        <f aca="false">IF(AH33=AH32,AG32+AG$1,AG$3-0.5*AG$1*(COUNTIF(AH$11:AH$1000,AH33)-1))</f>
        <v>3.15849056603774</v>
      </c>
      <c r="AH33" s="1" t="n">
        <v>1</v>
      </c>
      <c r="AI33" s="1" t="n">
        <f aca="false">IF(AJ33=AJ32,AI32+AI$1,AI$3-0.5*AI$1*(COUNTIF(AJ$11:AJ$1000,AJ33)-1))</f>
        <v>3.86285714285714</v>
      </c>
      <c r="AJ33" s="1" t="n">
        <v>2</v>
      </c>
      <c r="AK33" s="1" t="n">
        <f aca="false">IF(AL33=AL32,AK32+AK$1,AK$3-0.5*AK$1*(COUNTIF(AL$11:AL$1000,AL33)-1))</f>
        <v>4.72881355932203</v>
      </c>
      <c r="AL33" s="1" t="n">
        <v>2</v>
      </c>
      <c r="AN33" s="1" t="n">
        <f aca="false">IF(AO33=AO32,AN32+AN$1,AN$3-0.5*AN$1*(COUNTIF(AO$11:AO$1000,AO33)-1))</f>
        <v>0.873076923076922</v>
      </c>
      <c r="AO33" s="1" t="n">
        <v>1</v>
      </c>
      <c r="AP33" s="1" t="n">
        <f aca="false">IF(AQ33=AQ32,AP32+AP$1,AP$3-0.5*AP$1*(COUNTIF(AQ$11:AQ$1000,AQ33)-1))</f>
        <v>1.67659574468085</v>
      </c>
      <c r="AQ33" s="1" t="n">
        <v>2</v>
      </c>
      <c r="AR33" s="1" t="n">
        <f aca="false">IF(AS33=AS32,AR32+AR$1,AR$3-0.5*AR$1*(COUNTIF(AS$11:AS$1000,AS33)-1))</f>
        <v>2.97575757575758</v>
      </c>
      <c r="AS33" s="1" t="n">
        <v>2</v>
      </c>
      <c r="AT33" s="1" t="n">
        <f aca="false">IF(AU33=AU32,AT32+AT$1,AT$3-0.5*AT$1*(COUNTIF(AU$11:AU$1000,AU33)-1))</f>
        <v>3.94782608695652</v>
      </c>
      <c r="AU33" s="1" t="n">
        <v>4</v>
      </c>
      <c r="AV33" s="1" t="n">
        <f aca="false">IF(AW33=AW32,AV32+AV$1,AV$3-0.5*AV$1*(COUNTIF(AW$11:AW$1000,AW33)-1))</f>
        <v>5</v>
      </c>
      <c r="AW33" s="1" t="n">
        <v>3</v>
      </c>
      <c r="AY33" s="1" t="n">
        <v>23</v>
      </c>
      <c r="AZ33" s="1" t="n">
        <f aca="false">IF(BA33=BA32,AZ32+AZ$1,AZ$3-0.5*AZ$1*(COUNTIF(BA$11:BA$1000,BA33)-1))</f>
        <v>0.982978723404256</v>
      </c>
      <c r="BA33" s="1" t="n">
        <v>1</v>
      </c>
      <c r="BB33" s="1" t="n">
        <f aca="false">IF(BC33=BC32,BB32+BB$1,BB$3-0.5*BB$1*(COUNTIF(BC$11:BC$1000,BC33)-1))</f>
        <v>2.13846153846154</v>
      </c>
      <c r="BC33" s="1" t="n">
        <v>2</v>
      </c>
      <c r="BE33" s="1" t="n">
        <f aca="false">IF(BF33=BF32,BE32+BE$1,BE$3-0.5*BE$1*(COUNTIF(BF$11:BF$1000,BF33)-1))</f>
        <v>0.951515151515152</v>
      </c>
      <c r="BF33" s="1" t="n">
        <v>2</v>
      </c>
      <c r="BG33" s="1" t="n">
        <f aca="false">IF(BH33=BH32,BG32+BG$1,BG$3-0.5*BG$1*(COUNTIF(BH$11:BH$1000,BH33)-1))</f>
        <v>1.96666666666667</v>
      </c>
      <c r="BH33" s="1" t="n">
        <v>6</v>
      </c>
    </row>
    <row r="34" customFormat="false" ht="16" hidden="false" customHeight="false" outlineLevel="0" collapsed="false">
      <c r="A34" s="1" t="n">
        <v>24</v>
      </c>
      <c r="B34" s="1" t="n">
        <f aca="false">IF(C34=C33,B33+B$1,B$3-0.5*B$1*(COUNTIF(C$11:C$1000,C34)-1))</f>
        <v>0.936842105263159</v>
      </c>
      <c r="C34" s="1" t="n">
        <v>1</v>
      </c>
      <c r="D34" s="1" t="n">
        <f aca="false">IF(E34=E33,D33+D$1,D$3-0.5*D$1*(COUNTIF(E$11:E$1000,E34)-1))</f>
        <v>1.88433734939759</v>
      </c>
      <c r="E34" s="1" t="n">
        <v>1</v>
      </c>
      <c r="F34" s="1" t="n">
        <f aca="false">IF(G34=G33,F33+F$1,F$3-0.5*F$1*(COUNTIF(G$11:G$1000,G34)-1))</f>
        <v>3.09375</v>
      </c>
      <c r="G34" s="1" t="n">
        <v>1</v>
      </c>
      <c r="H34" s="1" t="n">
        <f aca="false">IF(I34=I33,H33+H$1,H$3-0.5*H$1*(COUNTIF(I$11:I$1000,I34)-1))</f>
        <v>3.97575757575758</v>
      </c>
      <c r="I34" s="1" t="n">
        <v>1</v>
      </c>
      <c r="J34" s="1" t="n">
        <f aca="false">IF(K34=K33,J33+J$1,J$3-0.5*J$1*(COUNTIF(K$11:K$1000,K34)-1))</f>
        <v>5.1095890410959</v>
      </c>
      <c r="K34" s="1" t="n">
        <v>1</v>
      </c>
      <c r="L34" s="1" t="n">
        <f aca="false">IF(M34=M33,L33+L$1,L$3-0.5*L$1*(COUNTIF(M$11:M$1000,M34)-1))</f>
        <v>6.05263157894736</v>
      </c>
      <c r="M34" s="1" t="n">
        <v>1</v>
      </c>
      <c r="O34" s="1" t="n">
        <f aca="false">IF(P34=P33,O33+O$1,O$3-0.5*O$1*(COUNTIF(P$11:P$1000,P34)-1))</f>
        <v>0.936842105263159</v>
      </c>
      <c r="P34" s="1" t="n">
        <v>1</v>
      </c>
      <c r="Q34" s="1" t="n">
        <f aca="false">IF(R34=R33,Q33+Q$1,Q$3-0.5*Q$1*(COUNTIF(R$11:R$1000,R34)-1))</f>
        <v>1.91904761904762</v>
      </c>
      <c r="R34" s="1" t="n">
        <v>1</v>
      </c>
      <c r="S34" s="1" t="n">
        <f aca="false">IF(T34=T33,S33+S$1,S$3-0.5*S$1*(COUNTIF(T$11:T$1000,T34)-1))</f>
        <v>2.63636363636364</v>
      </c>
      <c r="T34" s="1" t="n">
        <v>2</v>
      </c>
      <c r="U34" s="1" t="n">
        <f aca="false">IF(V34=V33,U33+U$1,U$3-0.5*U$1*(COUNTIF(V$11:V$1000,V34)-1))</f>
        <v>4.18039215686274</v>
      </c>
      <c r="V34" s="1" t="n">
        <v>1</v>
      </c>
      <c r="W34" s="1" t="n">
        <f aca="false">IF(X34=X33,W33+W$1,W$3-0.5*W$1*(COUNTIF(X$11:X$1000,X34)-1))</f>
        <v>4.85641025641026</v>
      </c>
      <c r="X34" s="1" t="n">
        <v>2</v>
      </c>
      <c r="Y34" s="1" t="n">
        <f aca="false">IF(Z34=Z33,Y33+Y$1,Y$3-0.5*Y$1*(COUNTIF(Z$11:Z$1000,Z34)-1))</f>
        <v>6.04102564102564</v>
      </c>
      <c r="Z34" s="1" t="n">
        <v>2</v>
      </c>
      <c r="AB34" s="1" t="n">
        <v>24</v>
      </c>
      <c r="AC34" s="1" t="n">
        <f aca="false">IF(AD34=AD33,AC33+AC$1,AC$3-0.5*AC$1*(COUNTIF(AD$11:AD$1000,AD34)-1))</f>
        <v>0.836190476190477</v>
      </c>
      <c r="AD34" s="1" t="n">
        <v>1</v>
      </c>
      <c r="AE34" s="1" t="n">
        <f aca="false">IF(AF34=AF33,AE33+AE$1,AE$3-0.5*AE$1*(COUNTIF(AF$11:AF$1000,AF34)-1))</f>
        <v>2.06923076923077</v>
      </c>
      <c r="AF34" s="1" t="n">
        <v>1</v>
      </c>
      <c r="AG34" s="1" t="n">
        <f aca="false">IF(AH34=AH33,AG33+AG$1,AG$3-0.5*AG$1*(COUNTIF(AH$11:AH$1000,AH34)-1))</f>
        <v>3.17358490566038</v>
      </c>
      <c r="AH34" s="1" t="n">
        <v>1</v>
      </c>
      <c r="AI34" s="1" t="n">
        <f aca="false">IF(AJ34=AJ33,AI33+AI$1,AI$3-0.5*AI$1*(COUNTIF(AJ$11:AJ$1000,AJ34)-1))</f>
        <v>3.88571428571428</v>
      </c>
      <c r="AJ34" s="1" t="n">
        <v>2</v>
      </c>
      <c r="AK34" s="1" t="n">
        <f aca="false">IF(AL34=AL33,AK33+AK$1,AK$3-0.5*AK$1*(COUNTIF(AL$11:AL$1000,AL34)-1))</f>
        <v>4.74237288135593</v>
      </c>
      <c r="AL34" s="1" t="n">
        <v>2</v>
      </c>
      <c r="AN34" s="1" t="n">
        <f aca="false">IF(AO34=AO33,AN33+AN$1,AN$3-0.5*AN$1*(COUNTIF(AO$11:AO$1000,AO34)-1))</f>
        <v>0.88076923076923</v>
      </c>
      <c r="AO34" s="1" t="n">
        <v>1</v>
      </c>
      <c r="AP34" s="1" t="n">
        <f aca="false">IF(AQ34=AQ33,AP33+AP$1,AP$3-0.5*AP$1*(COUNTIF(AQ$11:AQ$1000,AQ34)-1))</f>
        <v>1.6936170212766</v>
      </c>
      <c r="AQ34" s="1" t="n">
        <v>2</v>
      </c>
      <c r="AR34" s="1" t="n">
        <f aca="false">IF(AS34=AS33,AR33+AR$1,AR$3-0.5*AR$1*(COUNTIF(AS$11:AS$1000,AS34)-1))</f>
        <v>3</v>
      </c>
      <c r="AS34" s="1" t="n">
        <v>2</v>
      </c>
      <c r="AT34" s="1" t="n">
        <f aca="false">IF(AU34=AU33,AT33+AT$1,AT$3-0.5*AT$1*(COUNTIF(AU$11:AU$1000,AU34)-1))</f>
        <v>3.98260869565217</v>
      </c>
      <c r="AU34" s="1" t="n">
        <v>4</v>
      </c>
      <c r="AV34" s="1" t="n">
        <f aca="false">IF(AW34=AW33,AV33+AV$1,AV$3-0.5*AV$1*(COUNTIF(AW$11:AW$1000,AW34)-1))</f>
        <v>5.02857142857143</v>
      </c>
      <c r="AW34" s="1" t="n">
        <v>3</v>
      </c>
      <c r="AY34" s="1" t="n">
        <v>24</v>
      </c>
      <c r="AZ34" s="1" t="n">
        <f aca="false">IF(BA34=BA33,AZ33+AZ$1,AZ$3-0.5*AZ$1*(COUNTIF(BA$11:BA$1000,BA34)-1))</f>
        <v>1</v>
      </c>
      <c r="BA34" s="1" t="n">
        <v>1</v>
      </c>
      <c r="BB34" s="1" t="n">
        <f aca="false">IF(BC34=BC33,BB33+BB$1,BB$3-0.5*BB$1*(COUNTIF(BC$11:BC$1000,BC34)-1))</f>
        <v>2.16923076923077</v>
      </c>
      <c r="BC34" s="1" t="n">
        <v>2</v>
      </c>
      <c r="BE34" s="1" t="n">
        <f aca="false">IF(BF34=BF33,BE33+BE$1,BE$3-0.5*BE$1*(COUNTIF(BF$11:BF$1000,BF34)-1))</f>
        <v>0.975757575757576</v>
      </c>
      <c r="BF34" s="1" t="n">
        <v>2</v>
      </c>
      <c r="BG34" s="1" t="n">
        <f aca="false">IF(BH34=BH33,BG33+BG$1,BG$3-0.5*BG$1*(COUNTIF(BH$11:BH$1000,BH34)-1))</f>
        <v>2.03333333333333</v>
      </c>
      <c r="BH34" s="1" t="n">
        <v>6</v>
      </c>
    </row>
    <row r="35" customFormat="false" ht="16" hidden="false" customHeight="false" outlineLevel="0" collapsed="false">
      <c r="A35" s="1" t="n">
        <v>25</v>
      </c>
      <c r="B35" s="1" t="n">
        <f aca="false">IF(C35=C34,B34+B$1,B$3-0.5*B$1*(COUNTIF(C$11:C$1000,C35)-1))</f>
        <v>0.950877192982457</v>
      </c>
      <c r="C35" s="1" t="n">
        <v>1</v>
      </c>
      <c r="D35" s="1" t="n">
        <f aca="false">IF(E35=E34,D34+D$1,D$3-0.5*D$1*(COUNTIF(E$11:E$1000,E35)-1))</f>
        <v>1.89397590361446</v>
      </c>
      <c r="E35" s="1" t="n">
        <v>1</v>
      </c>
      <c r="F35" s="1" t="n">
        <f aca="false">IF(G35=G34,F34+F$1,F$3-0.5*F$1*(COUNTIF(G$11:G$1000,G35)-1))</f>
        <v>3.10625</v>
      </c>
      <c r="G35" s="1" t="n">
        <v>1</v>
      </c>
      <c r="H35" s="1" t="n">
        <f aca="false">IF(I35=I34,H34+H$1,H$3-0.5*H$1*(COUNTIF(I$11:I$1000,I35)-1))</f>
        <v>3.98787878787879</v>
      </c>
      <c r="I35" s="1" t="n">
        <v>1</v>
      </c>
      <c r="J35" s="1" t="n">
        <f aca="false">IF(K35=K34,J34+J$1,J$3-0.5*J$1*(COUNTIF(K$11:K$1000,K35)-1))</f>
        <v>5.12054794520549</v>
      </c>
      <c r="K35" s="1" t="n">
        <v>1</v>
      </c>
      <c r="L35" s="1" t="n">
        <f aca="false">IF(M35=M34,L34+L$1,L$3-0.5*L$1*(COUNTIF(M$11:M$1000,M35)-1))</f>
        <v>6.06315789473683</v>
      </c>
      <c r="M35" s="1" t="n">
        <v>1</v>
      </c>
      <c r="O35" s="1" t="n">
        <f aca="false">IF(P35=P34,O34+O$1,O$3-0.5*O$1*(COUNTIF(P$11:P$1000,P35)-1))</f>
        <v>0.950877192982457</v>
      </c>
      <c r="P35" s="1" t="n">
        <v>1</v>
      </c>
      <c r="Q35" s="1" t="n">
        <f aca="false">IF(R35=R34,Q34+Q$1,Q$3-0.5*Q$1*(COUNTIF(R$11:R$1000,R35)-1))</f>
        <v>1.92857142857143</v>
      </c>
      <c r="R35" s="1" t="n">
        <v>1</v>
      </c>
      <c r="S35" s="1" t="n">
        <f aca="false">IF(T35=T34,S34+S$1,S$3-0.5*S$1*(COUNTIF(T$11:T$1000,T35)-1))</f>
        <v>2.65090909090909</v>
      </c>
      <c r="T35" s="1" t="n">
        <v>2</v>
      </c>
      <c r="U35" s="1" t="n">
        <f aca="false">IF(V35=V34,U34+U$1,U$3-0.5*U$1*(COUNTIF(V$11:V$1000,V35)-1))</f>
        <v>3.6078431372549</v>
      </c>
      <c r="V35" s="1" t="n">
        <v>2</v>
      </c>
      <c r="W35" s="1" t="n">
        <f aca="false">IF(X35=X34,W34+W$1,W$3-0.5*W$1*(COUNTIF(X$11:X$1000,X35)-1))</f>
        <v>4.87692307692308</v>
      </c>
      <c r="X35" s="1" t="n">
        <v>2</v>
      </c>
      <c r="Y35" s="1" t="n">
        <f aca="false">IF(Z35=Z34,Y34+Y$1,Y$3-0.5*Y$1*(COUNTIF(Z$11:Z$1000,Z35)-1))</f>
        <v>6.06153846153846</v>
      </c>
      <c r="Z35" s="1" t="n">
        <v>2</v>
      </c>
      <c r="AB35" s="1" t="n">
        <v>25</v>
      </c>
      <c r="AC35" s="1" t="n">
        <f aca="false">IF(AD35=AD34,AC34+AC$1,AC$3-0.5*AC$1*(COUNTIF(AD$11:AD$1000,AD35)-1))</f>
        <v>0.843809523809524</v>
      </c>
      <c r="AD35" s="1" t="n">
        <v>1</v>
      </c>
      <c r="AE35" s="1" t="n">
        <f aca="false">IF(AF35=AF34,AE34+AE$1,AE$3-0.5*AE$1*(COUNTIF(AF$11:AF$1000,AF35)-1))</f>
        <v>2.08461538461538</v>
      </c>
      <c r="AF35" s="1" t="n">
        <v>1</v>
      </c>
      <c r="AG35" s="1" t="n">
        <f aca="false">IF(AH35=AH34,AG34+AG$1,AG$3-0.5*AG$1*(COUNTIF(AH$11:AH$1000,AH35)-1))</f>
        <v>2.60754716981132</v>
      </c>
      <c r="AH35" s="1" t="n">
        <v>2</v>
      </c>
      <c r="AI35" s="1" t="n">
        <f aca="false">IF(AJ35=AJ34,AI34+AI$1,AI$3-0.5*AI$1*(COUNTIF(AJ$11:AJ$1000,AJ35)-1))</f>
        <v>3.90857142857143</v>
      </c>
      <c r="AJ35" s="1" t="n">
        <v>2</v>
      </c>
      <c r="AK35" s="1" t="n">
        <f aca="false">IF(AL35=AL34,AK34+AK$1,AK$3-0.5*AK$1*(COUNTIF(AL$11:AL$1000,AL35)-1))</f>
        <v>4.75593220338983</v>
      </c>
      <c r="AL35" s="1" t="n">
        <v>2</v>
      </c>
      <c r="AN35" s="1" t="n">
        <f aca="false">IF(AO35=AO34,AN34+AN$1,AN$3-0.5*AN$1*(COUNTIF(AO$11:AO$1000,AO35)-1))</f>
        <v>0.888461538461538</v>
      </c>
      <c r="AO35" s="1" t="n">
        <v>1</v>
      </c>
      <c r="AP35" s="1" t="n">
        <f aca="false">IF(AQ35=AQ34,AP34+AP$1,AP$3-0.5*AP$1*(COUNTIF(AQ$11:AQ$1000,AQ35)-1))</f>
        <v>1.71063829787234</v>
      </c>
      <c r="AQ35" s="1" t="n">
        <v>2</v>
      </c>
      <c r="AR35" s="1" t="n">
        <f aca="false">IF(AS35=AS34,AR34+AR$1,AR$3-0.5*AR$1*(COUNTIF(AS$11:AS$1000,AS35)-1))</f>
        <v>3.02424242424243</v>
      </c>
      <c r="AS35" s="1" t="n">
        <v>2</v>
      </c>
      <c r="AT35" s="1" t="n">
        <f aca="false">IF(AU35=AU34,AT34+AT$1,AT$3-0.5*AT$1*(COUNTIF(AU$11:AU$1000,AU35)-1))</f>
        <v>4.01739130434783</v>
      </c>
      <c r="AU35" s="1" t="n">
        <v>4</v>
      </c>
      <c r="AV35" s="1" t="n">
        <f aca="false">IF(AW35=AW34,AV34+AV$1,AV$3-0.5*AV$1*(COUNTIF(AW$11:AW$1000,AW35)-1))</f>
        <v>5.05714285714286</v>
      </c>
      <c r="AW35" s="1" t="n">
        <v>3</v>
      </c>
      <c r="AY35" s="1" t="n">
        <v>25</v>
      </c>
      <c r="AZ35" s="1" t="n">
        <f aca="false">IF(BA35=BA34,AZ34+AZ$1,AZ$3-0.5*AZ$1*(COUNTIF(BA$11:BA$1000,BA35)-1))</f>
        <v>1.01702127659575</v>
      </c>
      <c r="BA35" s="1" t="n">
        <v>1</v>
      </c>
      <c r="BB35" s="1" t="n">
        <f aca="false">IF(BC35=BC34,BB34+BB$1,BB$3-0.5*BB$1*(COUNTIF(BC$11:BC$1000,BC35)-1))</f>
        <v>2.2</v>
      </c>
      <c r="BC35" s="1" t="n">
        <v>2</v>
      </c>
      <c r="BE35" s="1" t="n">
        <f aca="false">IF(BF35=BF34,BE34+BE$1,BE$3-0.5*BE$1*(COUNTIF(BF$11:BF$1000,BF35)-1))</f>
        <v>1</v>
      </c>
      <c r="BF35" s="1" t="n">
        <v>2</v>
      </c>
      <c r="BG35" s="1" t="n">
        <f aca="false">IF(BH35=BH34,BG34+BG$1,BG$3-0.5*BG$1*(COUNTIF(BH$11:BH$1000,BH35)-1))</f>
        <v>2.1</v>
      </c>
      <c r="BH35" s="1" t="n">
        <v>6</v>
      </c>
    </row>
    <row r="36" customFormat="false" ht="16" hidden="false" customHeight="false" outlineLevel="0" collapsed="false">
      <c r="A36" s="1" t="n">
        <v>26</v>
      </c>
      <c r="B36" s="1" t="n">
        <f aca="false">IF(C36=C35,B35+B$1,B$3-0.5*B$1*(COUNTIF(C$11:C$1000,C36)-1))</f>
        <v>0.964912280701755</v>
      </c>
      <c r="C36" s="1" t="n">
        <v>1</v>
      </c>
      <c r="D36" s="1" t="n">
        <f aca="false">IF(E36=E35,D35+D$1,D$3-0.5*D$1*(COUNTIF(E$11:E$1000,E36)-1))</f>
        <v>1.90361445783133</v>
      </c>
      <c r="E36" s="1" t="n">
        <v>1</v>
      </c>
      <c r="F36" s="1" t="n">
        <f aca="false">IF(G36=G35,F35+F$1,F$3-0.5*F$1*(COUNTIF(G$11:G$1000,G36)-1))</f>
        <v>3.11875</v>
      </c>
      <c r="G36" s="1" t="n">
        <v>1</v>
      </c>
      <c r="H36" s="1" t="n">
        <f aca="false">IF(I36=I35,H35+H$1,H$3-0.5*H$1*(COUNTIF(I$11:I$1000,I36)-1))</f>
        <v>4</v>
      </c>
      <c r="I36" s="1" t="n">
        <v>1</v>
      </c>
      <c r="J36" s="1" t="n">
        <f aca="false">IF(K36=K35,J35+J$1,J$3-0.5*J$1*(COUNTIF(K$11:K$1000,K36)-1))</f>
        <v>5.13150684931508</v>
      </c>
      <c r="K36" s="1" t="n">
        <v>1</v>
      </c>
      <c r="L36" s="1" t="n">
        <f aca="false">IF(M36=M35,L35+L$1,L$3-0.5*L$1*(COUNTIF(M$11:M$1000,M36)-1))</f>
        <v>6.07368421052631</v>
      </c>
      <c r="M36" s="1" t="n">
        <v>1</v>
      </c>
      <c r="O36" s="1" t="n">
        <f aca="false">IF(P36=P35,O35+O$1,O$3-0.5*O$1*(COUNTIF(P$11:P$1000,P36)-1))</f>
        <v>0.964912280701755</v>
      </c>
      <c r="P36" s="1" t="n">
        <v>1</v>
      </c>
      <c r="Q36" s="1" t="n">
        <f aca="false">IF(R36=R35,Q35+Q$1,Q$3-0.5*Q$1*(COUNTIF(R$11:R$1000,R36)-1))</f>
        <v>1.93809523809524</v>
      </c>
      <c r="R36" s="1" t="n">
        <v>1</v>
      </c>
      <c r="S36" s="1" t="n">
        <f aca="false">IF(T36=T35,S35+S$1,S$3-0.5*S$1*(COUNTIF(T$11:T$1000,T36)-1))</f>
        <v>2.66545454545455</v>
      </c>
      <c r="T36" s="1" t="n">
        <v>2</v>
      </c>
      <c r="U36" s="1" t="n">
        <f aca="false">IF(V36=V35,U35+U$1,U$3-0.5*U$1*(COUNTIF(V$11:V$1000,V36)-1))</f>
        <v>3.62352941176471</v>
      </c>
      <c r="V36" s="1" t="n">
        <v>2</v>
      </c>
      <c r="W36" s="1" t="n">
        <f aca="false">IF(X36=X35,W35+W$1,W$3-0.5*W$1*(COUNTIF(X$11:X$1000,X36)-1))</f>
        <v>4.8974358974359</v>
      </c>
      <c r="X36" s="1" t="n">
        <v>2</v>
      </c>
      <c r="Y36" s="1" t="n">
        <f aca="false">IF(Z36=Z35,Y35+Y$1,Y$3-0.5*Y$1*(COUNTIF(Z$11:Z$1000,Z36)-1))</f>
        <v>6.08205128205128</v>
      </c>
      <c r="Z36" s="1" t="n">
        <v>2</v>
      </c>
      <c r="AB36" s="1" t="n">
        <v>26</v>
      </c>
      <c r="AC36" s="1" t="n">
        <f aca="false">IF(AD36=AD35,AC35+AC$1,AC$3-0.5*AC$1*(COUNTIF(AD$11:AD$1000,AD36)-1))</f>
        <v>0.851428571428572</v>
      </c>
      <c r="AD36" s="1" t="n">
        <v>1</v>
      </c>
      <c r="AE36" s="1" t="n">
        <f aca="false">IF(AF36=AF35,AE35+AE$1,AE$3-0.5*AE$1*(COUNTIF(AF$11:AF$1000,AF36)-1))</f>
        <v>2.1</v>
      </c>
      <c r="AF36" s="1" t="n">
        <v>1</v>
      </c>
      <c r="AG36" s="1" t="n">
        <f aca="false">IF(AH36=AH35,AG35+AG$1,AG$3-0.5*AG$1*(COUNTIF(AH$11:AH$1000,AH36)-1))</f>
        <v>2.62264150943396</v>
      </c>
      <c r="AH36" s="1" t="n">
        <v>2</v>
      </c>
      <c r="AI36" s="1" t="n">
        <f aca="false">IF(AJ36=AJ35,AI35+AI$1,AI$3-0.5*AI$1*(COUNTIF(AJ$11:AJ$1000,AJ36)-1))</f>
        <v>3.93142857142857</v>
      </c>
      <c r="AJ36" s="1" t="n">
        <v>2</v>
      </c>
      <c r="AK36" s="1" t="n">
        <f aca="false">IF(AL36=AL35,AK35+AK$1,AK$3-0.5*AK$1*(COUNTIF(AL$11:AL$1000,AL36)-1))</f>
        <v>4.76949152542373</v>
      </c>
      <c r="AL36" s="1" t="n">
        <v>2</v>
      </c>
      <c r="AN36" s="1" t="n">
        <f aca="false">IF(AO36=AO35,AN35+AN$1,AN$3-0.5*AN$1*(COUNTIF(AO$11:AO$1000,AO36)-1))</f>
        <v>0.896153846153845</v>
      </c>
      <c r="AO36" s="1" t="n">
        <v>1</v>
      </c>
      <c r="AP36" s="1" t="n">
        <f aca="false">IF(AQ36=AQ35,AP35+AP$1,AP$3-0.5*AP$1*(COUNTIF(AQ$11:AQ$1000,AQ36)-1))</f>
        <v>1.72765957446809</v>
      </c>
      <c r="AQ36" s="1" t="n">
        <v>2</v>
      </c>
      <c r="AR36" s="1" t="n">
        <f aca="false">IF(AS36=AS35,AR35+AR$1,AR$3-0.5*AR$1*(COUNTIF(AS$11:AS$1000,AS36)-1))</f>
        <v>3.04848484848485</v>
      </c>
      <c r="AS36" s="1" t="n">
        <v>2</v>
      </c>
      <c r="AT36" s="1" t="n">
        <f aca="false">IF(AU36=AU35,AT35+AT$1,AT$3-0.5*AT$1*(COUNTIF(AU$11:AU$1000,AU36)-1))</f>
        <v>4.05217391304348</v>
      </c>
      <c r="AU36" s="1" t="n">
        <v>4</v>
      </c>
      <c r="AV36" s="1" t="n">
        <f aca="false">IF(AW36=AW35,AV35+AV$1,AV$3-0.5*AV$1*(COUNTIF(AW$11:AW$1000,AW36)-1))</f>
        <v>4.61428571428571</v>
      </c>
      <c r="AW36" s="1" t="n">
        <v>4</v>
      </c>
      <c r="AY36" s="1" t="n">
        <v>26</v>
      </c>
      <c r="AZ36" s="1" t="n">
        <f aca="false">IF(BA36=BA35,AZ35+AZ$1,AZ$3-0.5*AZ$1*(COUNTIF(BA$11:BA$1000,BA36)-1))</f>
        <v>1.03404255319149</v>
      </c>
      <c r="BA36" s="1" t="n">
        <v>1</v>
      </c>
      <c r="BB36" s="1" t="n">
        <f aca="false">IF(BC36=BC35,BB35+BB$1,BB$3-0.5*BB$1*(COUNTIF(BC$11:BC$1000,BC36)-1))</f>
        <v>2.23076923076923</v>
      </c>
      <c r="BC36" s="1" t="n">
        <v>2</v>
      </c>
      <c r="BE36" s="1" t="n">
        <f aca="false">IF(BF36=BF35,BE35+BE$1,BE$3-0.5*BE$1*(COUNTIF(BF$11:BF$1000,BF36)-1))</f>
        <v>1.02424242424242</v>
      </c>
      <c r="BF36" s="1" t="n">
        <v>2</v>
      </c>
      <c r="BG36" s="1" t="n">
        <f aca="false">IF(BH36=BH35,BG35+BG$1,BG$3-0.5*BG$1*(COUNTIF(BH$11:BH$1000,BH36)-1))</f>
        <v>2.16666666666667</v>
      </c>
      <c r="BH36" s="1" t="n">
        <v>6</v>
      </c>
    </row>
    <row r="37" customFormat="false" ht="16" hidden="false" customHeight="false" outlineLevel="0" collapsed="false">
      <c r="A37" s="1" t="n">
        <v>27</v>
      </c>
      <c r="B37" s="1" t="n">
        <f aca="false">IF(C37=C36,B36+B$1,B$3-0.5*B$1*(COUNTIF(C$11:C$1000,C37)-1))</f>
        <v>0.978947368421054</v>
      </c>
      <c r="C37" s="1" t="n">
        <v>1</v>
      </c>
      <c r="D37" s="1" t="n">
        <f aca="false">IF(E37=E36,D36+D$1,D$3-0.5*D$1*(COUNTIF(E$11:E$1000,E37)-1))</f>
        <v>1.91325301204819</v>
      </c>
      <c r="E37" s="1" t="n">
        <v>1</v>
      </c>
      <c r="F37" s="1" t="n">
        <f aca="false">IF(G37=G36,F36+F$1,F$3-0.5*F$1*(COUNTIF(G$11:G$1000,G37)-1))</f>
        <v>3.13125</v>
      </c>
      <c r="G37" s="1" t="n">
        <v>1</v>
      </c>
      <c r="H37" s="1" t="n">
        <f aca="false">IF(I37=I36,H36+H$1,H$3-0.5*H$1*(COUNTIF(I$11:I$1000,I37)-1))</f>
        <v>4.01212121212121</v>
      </c>
      <c r="I37" s="1" t="n">
        <v>1</v>
      </c>
      <c r="J37" s="1" t="n">
        <f aca="false">IF(K37=K36,J36+J$1,J$3-0.5*J$1*(COUNTIF(K$11:K$1000,K37)-1))</f>
        <v>5.14246575342467</v>
      </c>
      <c r="K37" s="1" t="n">
        <v>1</v>
      </c>
      <c r="L37" s="1" t="n">
        <f aca="false">IF(M37=M36,L36+L$1,L$3-0.5*L$1*(COUNTIF(M$11:M$1000,M37)-1))</f>
        <v>6.08421052631578</v>
      </c>
      <c r="M37" s="1" t="n">
        <v>1</v>
      </c>
      <c r="O37" s="1" t="n">
        <f aca="false">IF(P37=P36,O36+O$1,O$3-0.5*O$1*(COUNTIF(P$11:P$1000,P37)-1))</f>
        <v>0.978947368421054</v>
      </c>
      <c r="P37" s="1" t="n">
        <v>1</v>
      </c>
      <c r="Q37" s="1" t="n">
        <f aca="false">IF(R37=R36,Q36+Q$1,Q$3-0.5*Q$1*(COUNTIF(R$11:R$1000,R37)-1))</f>
        <v>1.94761904761905</v>
      </c>
      <c r="R37" s="1" t="n">
        <v>1</v>
      </c>
      <c r="S37" s="1" t="n">
        <f aca="false">IF(T37=T36,S36+S$1,S$3-0.5*S$1*(COUNTIF(T$11:T$1000,T37)-1))</f>
        <v>2.68</v>
      </c>
      <c r="T37" s="1" t="n">
        <v>2</v>
      </c>
      <c r="U37" s="1" t="n">
        <f aca="false">IF(V37=V36,U36+U$1,U$3-0.5*U$1*(COUNTIF(V$11:V$1000,V37)-1))</f>
        <v>3.63921568627451</v>
      </c>
      <c r="V37" s="1" t="n">
        <v>2</v>
      </c>
      <c r="W37" s="1" t="n">
        <f aca="false">IF(X37=X36,W36+W$1,W$3-0.5*W$1*(COUNTIF(X$11:X$1000,X37)-1))</f>
        <v>4.91794871794872</v>
      </c>
      <c r="X37" s="1" t="n">
        <v>2</v>
      </c>
      <c r="Y37" s="1" t="n">
        <f aca="false">IF(Z37=Z36,Y36+Y$1,Y$3-0.5*Y$1*(COUNTIF(Z$11:Z$1000,Z37)-1))</f>
        <v>6.1025641025641</v>
      </c>
      <c r="Z37" s="1" t="n">
        <v>2</v>
      </c>
      <c r="AB37" s="1" t="n">
        <v>27</v>
      </c>
      <c r="AC37" s="1" t="n">
        <f aca="false">IF(AD37=AD36,AC36+AC$1,AC$3-0.5*AC$1*(COUNTIF(AD$11:AD$1000,AD37)-1))</f>
        <v>0.859047619047619</v>
      </c>
      <c r="AD37" s="1" t="n">
        <v>1</v>
      </c>
      <c r="AE37" s="1" t="n">
        <f aca="false">IF(AF37=AF36,AE36+AE$1,AE$3-0.5*AE$1*(COUNTIF(AF$11:AF$1000,AF37)-1))</f>
        <v>2.11538461538461</v>
      </c>
      <c r="AF37" s="1" t="n">
        <v>1</v>
      </c>
      <c r="AG37" s="1" t="n">
        <f aca="false">IF(AH37=AH36,AG36+AG$1,AG$3-0.5*AG$1*(COUNTIF(AH$11:AH$1000,AH37)-1))</f>
        <v>2.6377358490566</v>
      </c>
      <c r="AH37" s="1" t="n">
        <v>2</v>
      </c>
      <c r="AI37" s="1" t="n">
        <f aca="false">IF(AJ37=AJ36,AI36+AI$1,AI$3-0.5*AI$1*(COUNTIF(AJ$11:AJ$1000,AJ37)-1))</f>
        <v>3.95428571428571</v>
      </c>
      <c r="AJ37" s="1" t="n">
        <v>2</v>
      </c>
      <c r="AK37" s="1" t="n">
        <f aca="false">IF(AL37=AL36,AK36+AK$1,AK$3-0.5*AK$1*(COUNTIF(AL$11:AL$1000,AL37)-1))</f>
        <v>4.78305084745762</v>
      </c>
      <c r="AL37" s="1" t="n">
        <v>2</v>
      </c>
      <c r="AN37" s="1" t="n">
        <f aca="false">IF(AO37=AO36,AN36+AN$1,AN$3-0.5*AN$1*(COUNTIF(AO$11:AO$1000,AO37)-1))</f>
        <v>0.903846153846153</v>
      </c>
      <c r="AO37" s="1" t="n">
        <v>1</v>
      </c>
      <c r="AP37" s="1" t="n">
        <f aca="false">IF(AQ37=AQ36,AP36+AP$1,AP$3-0.5*AP$1*(COUNTIF(AQ$11:AQ$1000,AQ37)-1))</f>
        <v>1.74468085106383</v>
      </c>
      <c r="AQ37" s="1" t="n">
        <v>2</v>
      </c>
      <c r="AR37" s="1" t="n">
        <f aca="false">IF(AS37=AS36,AR36+AR$1,AR$3-0.5*AR$1*(COUNTIF(AS$11:AS$1000,AS37)-1))</f>
        <v>3.07272727272728</v>
      </c>
      <c r="AS37" s="1" t="n">
        <v>2</v>
      </c>
      <c r="AT37" s="1" t="n">
        <f aca="false">IF(AU37=AU36,AT36+AT$1,AT$3-0.5*AT$1*(COUNTIF(AU$11:AU$1000,AU37)-1))</f>
        <v>4.08695652173913</v>
      </c>
      <c r="AU37" s="1" t="n">
        <v>4</v>
      </c>
      <c r="AV37" s="1" t="n">
        <f aca="false">IF(AW37=AW36,AV36+AV$1,AV$3-0.5*AV$1*(COUNTIF(AW$11:AW$1000,AW37)-1))</f>
        <v>4.64285714285714</v>
      </c>
      <c r="AW37" s="1" t="n">
        <v>4</v>
      </c>
      <c r="AY37" s="1" t="n">
        <v>27</v>
      </c>
      <c r="AZ37" s="1" t="n">
        <f aca="false">IF(BA37=BA36,AZ36+AZ$1,AZ$3-0.5*AZ$1*(COUNTIF(BA$11:BA$1000,BA37)-1))</f>
        <v>1.05106382978723</v>
      </c>
      <c r="BA37" s="1" t="n">
        <v>1</v>
      </c>
      <c r="BB37" s="1" t="n">
        <f aca="false">IF(BC37=BC36,BB36+BB$1,BB$3-0.5*BB$1*(COUNTIF(BC$11:BC$1000,BC37)-1))</f>
        <v>2.26153846153846</v>
      </c>
      <c r="BC37" s="1" t="n">
        <v>2</v>
      </c>
      <c r="BE37" s="1" t="n">
        <f aca="false">IF(BF37=BF36,BE36+BE$1,BE$3-0.5*BE$1*(COUNTIF(BF$11:BF$1000,BF37)-1))</f>
        <v>1.04848484848485</v>
      </c>
      <c r="BF37" s="1" t="n">
        <v>2</v>
      </c>
      <c r="BG37" s="1" t="n">
        <f aca="false">IF(BH37=BH36,BG36+BG$1,BG$3-0.5*BG$1*(COUNTIF(BH$11:BH$1000,BH37)-1))</f>
        <v>2.23333333333333</v>
      </c>
      <c r="BH37" s="1" t="n">
        <v>6</v>
      </c>
    </row>
    <row r="38" customFormat="false" ht="16" hidden="false" customHeight="false" outlineLevel="0" collapsed="false">
      <c r="A38" s="1" t="n">
        <v>28</v>
      </c>
      <c r="B38" s="1" t="n">
        <f aca="false">IF(C38=C37,B37+B$1,B$3-0.5*B$1*(COUNTIF(C$11:C$1000,C38)-1))</f>
        <v>0.992982456140352</v>
      </c>
      <c r="C38" s="1" t="n">
        <v>1</v>
      </c>
      <c r="D38" s="1" t="n">
        <f aca="false">IF(E38=E37,D37+D$1,D$3-0.5*D$1*(COUNTIF(E$11:E$1000,E38)-1))</f>
        <v>1.92289156626506</v>
      </c>
      <c r="E38" s="1" t="n">
        <v>1</v>
      </c>
      <c r="F38" s="1" t="n">
        <f aca="false">IF(G38=G37,F37+F$1,F$3-0.5*F$1*(COUNTIF(G$11:G$1000,G38)-1))</f>
        <v>3.14375</v>
      </c>
      <c r="G38" s="1" t="n">
        <v>1</v>
      </c>
      <c r="H38" s="1" t="n">
        <f aca="false">IF(I38=I37,H37+H$1,H$3-0.5*H$1*(COUNTIF(I$11:I$1000,I38)-1))</f>
        <v>4.02424242424243</v>
      </c>
      <c r="I38" s="1" t="n">
        <v>1</v>
      </c>
      <c r="J38" s="1" t="n">
        <f aca="false">IF(K38=K37,J37+J$1,J$3-0.5*J$1*(COUNTIF(K$11:K$1000,K38)-1))</f>
        <v>4.60547945205479</v>
      </c>
      <c r="K38" s="1" t="n">
        <v>2</v>
      </c>
      <c r="L38" s="1" t="n">
        <f aca="false">IF(M38=M37,L37+L$1,L$3-0.5*L$1*(COUNTIF(M$11:M$1000,M38)-1))</f>
        <v>6.09473684210525</v>
      </c>
      <c r="M38" s="1" t="n">
        <v>1</v>
      </c>
      <c r="O38" s="1" t="n">
        <f aca="false">IF(P38=P37,O37+O$1,O$3-0.5*O$1*(COUNTIF(P$11:P$1000,P38)-1))</f>
        <v>0.992982456140352</v>
      </c>
      <c r="P38" s="1" t="n">
        <v>1</v>
      </c>
      <c r="Q38" s="1" t="n">
        <f aca="false">IF(R38=R37,Q37+Q$1,Q$3-0.5*Q$1*(COUNTIF(R$11:R$1000,R38)-1))</f>
        <v>1.95714285714286</v>
      </c>
      <c r="R38" s="1" t="n">
        <v>1</v>
      </c>
      <c r="S38" s="1" t="n">
        <f aca="false">IF(T38=T37,S37+S$1,S$3-0.5*S$1*(COUNTIF(T$11:T$1000,T38)-1))</f>
        <v>2.69454545454546</v>
      </c>
      <c r="T38" s="1" t="n">
        <v>2</v>
      </c>
      <c r="U38" s="1" t="n">
        <f aca="false">IF(V38=V37,U37+U$1,U$3-0.5*U$1*(COUNTIF(V$11:V$1000,V38)-1))</f>
        <v>3.65490196078431</v>
      </c>
      <c r="V38" s="1" t="n">
        <v>2</v>
      </c>
      <c r="W38" s="1" t="n">
        <f aca="false">IF(X38=X37,W37+W$1,W$3-0.5*W$1*(COUNTIF(X$11:X$1000,X38)-1))</f>
        <v>4.93846153846154</v>
      </c>
      <c r="X38" s="1" t="n">
        <v>2</v>
      </c>
      <c r="Y38" s="1" t="n">
        <f aca="false">IF(Z38=Z37,Y37+Y$1,Y$3-0.5*Y$1*(COUNTIF(Z$11:Z$1000,Z38)-1))</f>
        <v>6.12307692307692</v>
      </c>
      <c r="Z38" s="1" t="n">
        <v>2</v>
      </c>
      <c r="AB38" s="1" t="n">
        <v>28</v>
      </c>
      <c r="AC38" s="1" t="n">
        <f aca="false">IF(AD38=AD37,AC37+AC$1,AC$3-0.5*AC$1*(COUNTIF(AD$11:AD$1000,AD38)-1))</f>
        <v>0.866666666666667</v>
      </c>
      <c r="AD38" s="1" t="n">
        <v>1</v>
      </c>
      <c r="AE38" s="1" t="n">
        <f aca="false">IF(AF38=AF37,AE37+AE$1,AE$3-0.5*AE$1*(COUNTIF(AF$11:AF$1000,AF38)-1))</f>
        <v>2.13076923076923</v>
      </c>
      <c r="AF38" s="1" t="n">
        <v>1</v>
      </c>
      <c r="AG38" s="1" t="n">
        <f aca="false">IF(AH38=AH37,AG37+AG$1,AG$3-0.5*AG$1*(COUNTIF(AH$11:AH$1000,AH38)-1))</f>
        <v>2.65283018867925</v>
      </c>
      <c r="AH38" s="1" t="n">
        <v>2</v>
      </c>
      <c r="AI38" s="1" t="n">
        <f aca="false">IF(AJ38=AJ37,AI37+AI$1,AI$3-0.5*AI$1*(COUNTIF(AJ$11:AJ$1000,AJ38)-1))</f>
        <v>3.97714285714285</v>
      </c>
      <c r="AJ38" s="1" t="n">
        <v>2</v>
      </c>
      <c r="AK38" s="1" t="n">
        <f aca="false">IF(AL38=AL37,AK37+AK$1,AK$3-0.5*AK$1*(COUNTIF(AL$11:AL$1000,AL38)-1))</f>
        <v>4.79661016949152</v>
      </c>
      <c r="AL38" s="1" t="n">
        <v>2</v>
      </c>
      <c r="AN38" s="1" t="n">
        <f aca="false">IF(AO38=AO37,AN37+AN$1,AN$3-0.5*AN$1*(COUNTIF(AO$11:AO$1000,AO38)-1))</f>
        <v>0.911538461538461</v>
      </c>
      <c r="AO38" s="1" t="n">
        <v>1</v>
      </c>
      <c r="AP38" s="1" t="n">
        <f aca="false">IF(AQ38=AQ37,AP37+AP$1,AP$3-0.5*AP$1*(COUNTIF(AQ$11:AQ$1000,AQ38)-1))</f>
        <v>1.76170212765957</v>
      </c>
      <c r="AQ38" s="1" t="n">
        <v>2</v>
      </c>
      <c r="AR38" s="1" t="n">
        <f aca="false">IF(AS38=AS37,AR37+AR$1,AR$3-0.5*AR$1*(COUNTIF(AS$11:AS$1000,AS38)-1))</f>
        <v>3.0969696969697</v>
      </c>
      <c r="AS38" s="1" t="n">
        <v>2</v>
      </c>
      <c r="AT38" s="1" t="n">
        <f aca="false">IF(AU38=AU37,AT37+AT$1,AT$3-0.5*AT$1*(COUNTIF(AU$11:AU$1000,AU38)-1))</f>
        <v>4.12173913043478</v>
      </c>
      <c r="AU38" s="1" t="n">
        <v>4</v>
      </c>
      <c r="AV38" s="1" t="n">
        <f aca="false">IF(AW38=AW37,AV37+AV$1,AV$3-0.5*AV$1*(COUNTIF(AW$11:AW$1000,AW38)-1))</f>
        <v>4.67142857142857</v>
      </c>
      <c r="AW38" s="1" t="n">
        <v>4</v>
      </c>
      <c r="AY38" s="1" t="n">
        <v>28</v>
      </c>
      <c r="AZ38" s="1" t="n">
        <f aca="false">IF(BA38=BA37,AZ37+AZ$1,AZ$3-0.5*AZ$1*(COUNTIF(BA$11:BA$1000,BA38)-1))</f>
        <v>1.06808510638298</v>
      </c>
      <c r="BA38" s="1" t="n">
        <v>1</v>
      </c>
      <c r="BB38" s="1" t="n">
        <f aca="false">IF(BC38=BC37,BB37+BB$1,BB$3-0.5*BB$1*(COUNTIF(BC$11:BC$1000,BC38)-1))</f>
        <v>2.29230769230769</v>
      </c>
      <c r="BC38" s="1" t="n">
        <v>2</v>
      </c>
      <c r="BE38" s="1" t="n">
        <f aca="false">IF(BF38=BF37,BE37+BE$1,BE$3-0.5*BE$1*(COUNTIF(BF$11:BF$1000,BF38)-1))</f>
        <v>1.07272727272727</v>
      </c>
      <c r="BF38" s="1" t="n">
        <v>2</v>
      </c>
      <c r="BG38" s="1" t="n">
        <f aca="false">IF(BH38=BH37,BG37+BG$1,BG$3-0.5*BG$1*(COUNTIF(BH$11:BH$1000,BH38)-1))</f>
        <v>2.3</v>
      </c>
      <c r="BH38" s="1" t="n">
        <v>6</v>
      </c>
    </row>
    <row r="39" customFormat="false" ht="16" hidden="false" customHeight="false" outlineLevel="0" collapsed="false">
      <c r="A39" s="1" t="n">
        <v>29</v>
      </c>
      <c r="B39" s="1" t="n">
        <f aca="false">IF(C39=C38,B38+B$1,B$3-0.5*B$1*(COUNTIF(C$11:C$1000,C39)-1))</f>
        <v>1.00701754385965</v>
      </c>
      <c r="C39" s="1" t="n">
        <v>1</v>
      </c>
      <c r="D39" s="1" t="n">
        <f aca="false">IF(E39=E38,D38+D$1,D$3-0.5*D$1*(COUNTIF(E$11:E$1000,E39)-1))</f>
        <v>1.93253012048193</v>
      </c>
      <c r="E39" s="1" t="n">
        <v>1</v>
      </c>
      <c r="F39" s="1" t="n">
        <f aca="false">IF(G39=G38,F38+F$1,F$3-0.5*F$1*(COUNTIF(G$11:G$1000,G39)-1))</f>
        <v>3.15625</v>
      </c>
      <c r="G39" s="1" t="n">
        <v>1</v>
      </c>
      <c r="H39" s="1" t="n">
        <f aca="false">IF(I39=I38,H38+H$1,H$3-0.5*H$1*(COUNTIF(I$11:I$1000,I39)-1))</f>
        <v>4.03636363636364</v>
      </c>
      <c r="I39" s="1" t="n">
        <v>1</v>
      </c>
      <c r="J39" s="1" t="n">
        <f aca="false">IF(K39=K38,J38+J$1,J$3-0.5*J$1*(COUNTIF(K$11:K$1000,K39)-1))</f>
        <v>4.61643835616438</v>
      </c>
      <c r="K39" s="1" t="n">
        <v>2</v>
      </c>
      <c r="L39" s="1" t="n">
        <f aca="false">IF(M39=M38,L38+L$1,L$3-0.5*L$1*(COUNTIF(M$11:M$1000,M39)-1))</f>
        <v>6.10526315789473</v>
      </c>
      <c r="M39" s="1" t="n">
        <v>1</v>
      </c>
      <c r="O39" s="1" t="n">
        <f aca="false">IF(P39=P38,O38+O$1,O$3-0.5*O$1*(COUNTIF(P$11:P$1000,P39)-1))</f>
        <v>1.00701754385965</v>
      </c>
      <c r="P39" s="1" t="n">
        <v>1</v>
      </c>
      <c r="Q39" s="1" t="n">
        <f aca="false">IF(R39=R38,Q38+Q$1,Q$3-0.5*Q$1*(COUNTIF(R$11:R$1000,R39)-1))</f>
        <v>1.96666666666667</v>
      </c>
      <c r="R39" s="1" t="n">
        <v>1</v>
      </c>
      <c r="S39" s="1" t="n">
        <f aca="false">IF(T39=T38,S38+S$1,S$3-0.5*S$1*(COUNTIF(T$11:T$1000,T39)-1))</f>
        <v>2.70909090909091</v>
      </c>
      <c r="T39" s="1" t="n">
        <v>2</v>
      </c>
      <c r="U39" s="1" t="n">
        <f aca="false">IF(V39=V38,U38+U$1,U$3-0.5*U$1*(COUNTIF(V$11:V$1000,V39)-1))</f>
        <v>3.67058823529412</v>
      </c>
      <c r="V39" s="1" t="n">
        <v>2</v>
      </c>
      <c r="W39" s="1" t="n">
        <f aca="false">IF(X39=X38,W38+W$1,W$3-0.5*W$1*(COUNTIF(X$11:X$1000,X39)-1))</f>
        <v>4.95897435897436</v>
      </c>
      <c r="X39" s="1" t="n">
        <v>2</v>
      </c>
      <c r="Y39" s="1" t="n">
        <f aca="false">IF(Z39=Z38,Y38+Y$1,Y$3-0.5*Y$1*(COUNTIF(Z$11:Z$1000,Z39)-1))</f>
        <v>6.14358974358974</v>
      </c>
      <c r="Z39" s="1" t="n">
        <v>2</v>
      </c>
      <c r="AB39" s="1" t="n">
        <v>29</v>
      </c>
      <c r="AC39" s="1" t="n">
        <f aca="false">IF(AD39=AD38,AC38+AC$1,AC$3-0.5*AC$1*(COUNTIF(AD$11:AD$1000,AD39)-1))</f>
        <v>0.874285714285715</v>
      </c>
      <c r="AD39" s="1" t="n">
        <v>1</v>
      </c>
      <c r="AE39" s="1" t="n">
        <f aca="false">IF(AF39=AF38,AE38+AE$1,AE$3-0.5*AE$1*(COUNTIF(AF$11:AF$1000,AF39)-1))</f>
        <v>2.14615384615384</v>
      </c>
      <c r="AF39" s="1" t="n">
        <v>1</v>
      </c>
      <c r="AG39" s="1" t="n">
        <f aca="false">IF(AH39=AH38,AG38+AG$1,AG$3-0.5*AG$1*(COUNTIF(AH$11:AH$1000,AH39)-1))</f>
        <v>2.66792452830189</v>
      </c>
      <c r="AH39" s="1" t="n">
        <v>2</v>
      </c>
      <c r="AI39" s="1" t="n">
        <f aca="false">IF(AJ39=AJ38,AI38+AI$1,AI$3-0.5*AI$1*(COUNTIF(AJ$11:AJ$1000,AJ39)-1))</f>
        <v>4</v>
      </c>
      <c r="AJ39" s="1" t="n">
        <v>2</v>
      </c>
      <c r="AK39" s="1" t="n">
        <f aca="false">IF(AL39=AL38,AK38+AK$1,AK$3-0.5*AK$1*(COUNTIF(AL$11:AL$1000,AL39)-1))</f>
        <v>4.81016949152542</v>
      </c>
      <c r="AL39" s="1" t="n">
        <v>2</v>
      </c>
      <c r="AN39" s="1" t="n">
        <f aca="false">IF(AO39=AO38,AN38+AN$1,AN$3-0.5*AN$1*(COUNTIF(AO$11:AO$1000,AO39)-1))</f>
        <v>0.919230769230768</v>
      </c>
      <c r="AO39" s="1" t="n">
        <v>1</v>
      </c>
      <c r="AP39" s="1" t="n">
        <f aca="false">IF(AQ39=AQ38,AP38+AP$1,AP$3-0.5*AP$1*(COUNTIF(AQ$11:AQ$1000,AQ39)-1))</f>
        <v>1.77872340425532</v>
      </c>
      <c r="AQ39" s="1" t="n">
        <v>2</v>
      </c>
      <c r="AR39" s="1" t="n">
        <f aca="false">IF(AS39=AS38,AR38+AR$1,AR$3-0.5*AR$1*(COUNTIF(AS$11:AS$1000,AS39)-1))</f>
        <v>3.12121212121212</v>
      </c>
      <c r="AS39" s="1" t="n">
        <v>2</v>
      </c>
      <c r="AT39" s="1" t="n">
        <f aca="false">IF(AU39=AU38,AT38+AT$1,AT$3-0.5*AT$1*(COUNTIF(AU$11:AU$1000,AU39)-1))</f>
        <v>4.15652173913043</v>
      </c>
      <c r="AU39" s="1" t="n">
        <v>4</v>
      </c>
      <c r="AV39" s="1" t="n">
        <f aca="false">IF(AW39=AW38,AV38+AV$1,AV$3-0.5*AV$1*(COUNTIF(AW$11:AW$1000,AW39)-1))</f>
        <v>4.7</v>
      </c>
      <c r="AW39" s="1" t="n">
        <v>4</v>
      </c>
      <c r="AY39" s="1" t="n">
        <v>29</v>
      </c>
      <c r="AZ39" s="1" t="n">
        <f aca="false">IF(BA39=BA38,AZ38+AZ$1,AZ$3-0.5*AZ$1*(COUNTIF(BA$11:BA$1000,BA39)-1))</f>
        <v>1.08510638297872</v>
      </c>
      <c r="BA39" s="1" t="n">
        <v>1</v>
      </c>
      <c r="BB39" s="1" t="n">
        <f aca="false">IF(BC39=BC38,BB38+BB$1,BB$3-0.5*BB$1*(COUNTIF(BC$11:BC$1000,BC39)-1))</f>
        <v>2.32307692307692</v>
      </c>
      <c r="BC39" s="1" t="n">
        <v>2</v>
      </c>
      <c r="BE39" s="1" t="n">
        <f aca="false">IF(BF39=BF38,BE38+BE$1,BE$3-0.5*BE$1*(COUNTIF(BF$11:BF$1000,BF39)-1))</f>
        <v>1.0969696969697</v>
      </c>
      <c r="BF39" s="1" t="n">
        <v>2</v>
      </c>
      <c r="BG39" s="1" t="n">
        <f aca="false">IF(BH39=BH38,BG38+BG$1,BG$3-0.5*BG$1*(COUNTIF(BH$11:BH$1000,BH39)-1))</f>
        <v>2.36666666666667</v>
      </c>
      <c r="BH39" s="1" t="n">
        <v>6</v>
      </c>
    </row>
    <row r="40" customFormat="false" ht="16" hidden="false" customHeight="false" outlineLevel="0" collapsed="false">
      <c r="A40" s="1" t="n">
        <v>30</v>
      </c>
      <c r="B40" s="1" t="n">
        <f aca="false">IF(C40=C39,B39+B$1,B$3-0.5*B$1*(COUNTIF(C$11:C$1000,C40)-1))</f>
        <v>1.02105263157895</v>
      </c>
      <c r="C40" s="1" t="n">
        <v>1</v>
      </c>
      <c r="D40" s="1" t="n">
        <f aca="false">IF(E40=E39,D39+D$1,D$3-0.5*D$1*(COUNTIF(E$11:E$1000,E40)-1))</f>
        <v>1.9421686746988</v>
      </c>
      <c r="E40" s="1" t="n">
        <v>1</v>
      </c>
      <c r="F40" s="1" t="n">
        <f aca="false">IF(G40=G39,F39+F$1,F$3-0.5*F$1*(COUNTIF(G$11:G$1000,G40)-1))</f>
        <v>3.16875</v>
      </c>
      <c r="G40" s="1" t="n">
        <v>1</v>
      </c>
      <c r="H40" s="1" t="n">
        <f aca="false">IF(I40=I39,H39+H$1,H$3-0.5*H$1*(COUNTIF(I$11:I$1000,I40)-1))</f>
        <v>4.04848484848485</v>
      </c>
      <c r="I40" s="1" t="n">
        <v>1</v>
      </c>
      <c r="J40" s="1" t="n">
        <f aca="false">IF(K40=K39,J39+J$1,J$3-0.5*J$1*(COUNTIF(K$11:K$1000,K40)-1))</f>
        <v>4.62739726027397</v>
      </c>
      <c r="K40" s="1" t="n">
        <v>2</v>
      </c>
      <c r="L40" s="1" t="n">
        <f aca="false">IF(M40=M39,L39+L$1,L$3-0.5*L$1*(COUNTIF(M$11:M$1000,M40)-1))</f>
        <v>6.1157894736842</v>
      </c>
      <c r="M40" s="1" t="n">
        <v>1</v>
      </c>
      <c r="O40" s="1" t="n">
        <f aca="false">IF(P40=P39,O39+O$1,O$3-0.5*O$1*(COUNTIF(P$11:P$1000,P40)-1))</f>
        <v>1.02105263157895</v>
      </c>
      <c r="P40" s="1" t="n">
        <v>1</v>
      </c>
      <c r="Q40" s="1" t="n">
        <f aca="false">IF(R40=R39,Q39+Q$1,Q$3-0.5*Q$1*(COUNTIF(R$11:R$1000,R40)-1))</f>
        <v>1.97619047619048</v>
      </c>
      <c r="R40" s="1" t="n">
        <v>1</v>
      </c>
      <c r="S40" s="1" t="n">
        <f aca="false">IF(T40=T39,S39+S$1,S$3-0.5*S$1*(COUNTIF(T$11:T$1000,T40)-1))</f>
        <v>2.72363636363636</v>
      </c>
      <c r="T40" s="1" t="n">
        <v>2</v>
      </c>
      <c r="U40" s="1" t="n">
        <f aca="false">IF(V40=V39,U39+U$1,U$3-0.5*U$1*(COUNTIF(V$11:V$1000,V40)-1))</f>
        <v>3.68627450980392</v>
      </c>
      <c r="V40" s="1" t="n">
        <v>2</v>
      </c>
      <c r="W40" s="1" t="n">
        <f aca="false">IF(X40=X39,W39+W$1,W$3-0.5*W$1*(COUNTIF(X$11:X$1000,X40)-1))</f>
        <v>4.97948717948718</v>
      </c>
      <c r="X40" s="1" t="n">
        <v>2</v>
      </c>
      <c r="Y40" s="1" t="n">
        <f aca="false">IF(Z40=Z39,Y39+Y$1,Y$3-0.5*Y$1*(COUNTIF(Z$11:Z$1000,Z40)-1))</f>
        <v>6.16410256410256</v>
      </c>
      <c r="Z40" s="1" t="n">
        <v>2</v>
      </c>
      <c r="AB40" s="1" t="n">
        <v>30</v>
      </c>
      <c r="AC40" s="1" t="n">
        <f aca="false">IF(AD40=AD39,AC39+AC$1,AC$3-0.5*AC$1*(COUNTIF(AD$11:AD$1000,AD40)-1))</f>
        <v>0.881904761904762</v>
      </c>
      <c r="AD40" s="1" t="n">
        <v>1</v>
      </c>
      <c r="AE40" s="1" t="n">
        <f aca="false">IF(AF40=AF39,AE39+AE$1,AE$3-0.5*AE$1*(COUNTIF(AF$11:AF$1000,AF40)-1))</f>
        <v>2.16153846153846</v>
      </c>
      <c r="AF40" s="1" t="n">
        <v>1</v>
      </c>
      <c r="AG40" s="1" t="n">
        <f aca="false">IF(AH40=AH39,AG39+AG$1,AG$3-0.5*AG$1*(COUNTIF(AH$11:AH$1000,AH40)-1))</f>
        <v>2.68301886792453</v>
      </c>
      <c r="AH40" s="1" t="n">
        <v>2</v>
      </c>
      <c r="AI40" s="1" t="n">
        <f aca="false">IF(AJ40=AJ39,AI39+AI$1,AI$3-0.5*AI$1*(COUNTIF(AJ$11:AJ$1000,AJ40)-1))</f>
        <v>4.02285714285714</v>
      </c>
      <c r="AJ40" s="1" t="n">
        <v>2</v>
      </c>
      <c r="AK40" s="1" t="n">
        <f aca="false">IF(AL40=AL39,AK39+AK$1,AK$3-0.5*AK$1*(COUNTIF(AL$11:AL$1000,AL40)-1))</f>
        <v>4.82372881355932</v>
      </c>
      <c r="AL40" s="1" t="n">
        <v>2</v>
      </c>
      <c r="AN40" s="1" t="n">
        <f aca="false">IF(AO40=AO39,AN39+AN$1,AN$3-0.5*AN$1*(COUNTIF(AO$11:AO$1000,AO40)-1))</f>
        <v>0.926923076923076</v>
      </c>
      <c r="AO40" s="1" t="n">
        <v>1</v>
      </c>
      <c r="AP40" s="1" t="n">
        <f aca="false">IF(AQ40=AQ39,AP39+AP$1,AP$3-0.5*AP$1*(COUNTIF(AQ$11:AQ$1000,AQ40)-1))</f>
        <v>1.79574468085106</v>
      </c>
      <c r="AQ40" s="1" t="n">
        <v>2</v>
      </c>
      <c r="AR40" s="1" t="n">
        <f aca="false">IF(AS40=AS39,AR39+AR$1,AR$3-0.5*AR$1*(COUNTIF(AS$11:AS$1000,AS40)-1))</f>
        <v>3.14545454545455</v>
      </c>
      <c r="AS40" s="1" t="n">
        <v>2</v>
      </c>
      <c r="AT40" s="1" t="n">
        <f aca="false">IF(AU40=AU39,AT39+AT$1,AT$3-0.5*AT$1*(COUNTIF(AU$11:AU$1000,AU40)-1))</f>
        <v>4.19130434782609</v>
      </c>
      <c r="AU40" s="1" t="n">
        <v>4</v>
      </c>
      <c r="AV40" s="1" t="n">
        <f aca="false">IF(AW40=AW39,AV39+AV$1,AV$3-0.5*AV$1*(COUNTIF(AW$11:AW$1000,AW40)-1))</f>
        <v>4.72857142857143</v>
      </c>
      <c r="AW40" s="1" t="n">
        <v>4</v>
      </c>
      <c r="AY40" s="1" t="n">
        <v>30</v>
      </c>
      <c r="AZ40" s="1" t="n">
        <f aca="false">IF(BA40=BA39,AZ39+AZ$1,AZ$3-0.5*AZ$1*(COUNTIF(BA$11:BA$1000,BA40)-1))</f>
        <v>1.10212765957447</v>
      </c>
      <c r="BA40" s="1" t="n">
        <v>1</v>
      </c>
      <c r="BB40" s="1" t="n">
        <f aca="false">IF(BC40=BC39,BB39+BB$1,BB$3-0.5*BB$1*(COUNTIF(BC$11:BC$1000,BC40)-1))</f>
        <v>2.35384615384615</v>
      </c>
      <c r="BC40" s="1" t="n">
        <v>2</v>
      </c>
      <c r="BE40" s="1" t="n">
        <f aca="false">IF(BF40=BF39,BE39+BE$1,BE$3-0.5*BE$1*(COUNTIF(BF$11:BF$1000,BF40)-1))</f>
        <v>1.12121212121212</v>
      </c>
      <c r="BF40" s="1" t="n">
        <v>2</v>
      </c>
      <c r="BG40" s="1" t="n">
        <f aca="false">IF(BH40=BH39,BG39+BG$1,BG$3-0.5*BG$1*(COUNTIF(BH$11:BH$1000,BH40)-1))</f>
        <v>1.93333333333333</v>
      </c>
      <c r="BH40" s="1" t="n">
        <v>7</v>
      </c>
    </row>
    <row r="41" customFormat="false" ht="16" hidden="false" customHeight="false" outlineLevel="0" collapsed="false">
      <c r="A41" s="1" t="n">
        <v>31</v>
      </c>
      <c r="B41" s="1" t="n">
        <f aca="false">IF(C41=C40,B40+B$1,B$3-0.5*B$1*(COUNTIF(C$11:C$1000,C41)-1))</f>
        <v>1.03508771929825</v>
      </c>
      <c r="C41" s="1" t="n">
        <v>1</v>
      </c>
      <c r="D41" s="1" t="n">
        <f aca="false">IF(E41=E40,D40+D$1,D$3-0.5*D$1*(COUNTIF(E$11:E$1000,E41)-1))</f>
        <v>1.95180722891567</v>
      </c>
      <c r="E41" s="1" t="n">
        <v>1</v>
      </c>
      <c r="F41" s="1" t="n">
        <f aca="false">IF(G41=G40,F40+F$1,F$3-0.5*F$1*(COUNTIF(G$11:G$1000,G41)-1))</f>
        <v>3.18125000000001</v>
      </c>
      <c r="G41" s="1" t="n">
        <v>1</v>
      </c>
      <c r="H41" s="1" t="n">
        <f aca="false">IF(I41=I40,H40+H$1,H$3-0.5*H$1*(COUNTIF(I$11:I$1000,I41)-1))</f>
        <v>4.06060606060606</v>
      </c>
      <c r="I41" s="1" t="n">
        <v>1</v>
      </c>
      <c r="J41" s="1" t="n">
        <f aca="false">IF(K41=K40,J40+J$1,J$3-0.5*J$1*(COUNTIF(K$11:K$1000,K41)-1))</f>
        <v>4.63835616438356</v>
      </c>
      <c r="K41" s="1" t="n">
        <v>2</v>
      </c>
      <c r="L41" s="1" t="n">
        <f aca="false">IF(M41=M40,L40+L$1,L$3-0.5*L$1*(COUNTIF(M$11:M$1000,M41)-1))</f>
        <v>6.12631578947367</v>
      </c>
      <c r="M41" s="1" t="n">
        <v>1</v>
      </c>
      <c r="O41" s="1" t="n">
        <f aca="false">IF(P41=P40,O40+O$1,O$3-0.5*O$1*(COUNTIF(P$11:P$1000,P41)-1))</f>
        <v>1.03508771929825</v>
      </c>
      <c r="P41" s="1" t="n">
        <v>1</v>
      </c>
      <c r="Q41" s="1" t="n">
        <f aca="false">IF(R41=R40,Q40+Q$1,Q$3-0.5*Q$1*(COUNTIF(R$11:R$1000,R41)-1))</f>
        <v>1.98571428571429</v>
      </c>
      <c r="R41" s="1" t="n">
        <v>1</v>
      </c>
      <c r="S41" s="1" t="n">
        <f aca="false">IF(T41=T40,S40+S$1,S$3-0.5*S$1*(COUNTIF(T$11:T$1000,T41)-1))</f>
        <v>2.73818181818182</v>
      </c>
      <c r="T41" s="1" t="n">
        <v>2</v>
      </c>
      <c r="U41" s="1" t="n">
        <f aca="false">IF(V41=V40,U40+U$1,U$3-0.5*U$1*(COUNTIF(V$11:V$1000,V41)-1))</f>
        <v>3.70196078431373</v>
      </c>
      <c r="V41" s="1" t="n">
        <v>2</v>
      </c>
      <c r="W41" s="1" t="n">
        <f aca="false">IF(X41=X40,W40+W$1,W$3-0.5*W$1*(COUNTIF(X$11:X$1000,X41)-1))</f>
        <v>5</v>
      </c>
      <c r="X41" s="1" t="n">
        <v>2</v>
      </c>
      <c r="Y41" s="1" t="n">
        <f aca="false">IF(Z41=Z40,Y40+Y$1,Y$3-0.5*Y$1*(COUNTIF(Z$11:Z$1000,Z41)-1))</f>
        <v>6.18461538461538</v>
      </c>
      <c r="Z41" s="1" t="n">
        <v>2</v>
      </c>
      <c r="AB41" s="1" t="n">
        <v>31</v>
      </c>
      <c r="AC41" s="1" t="n">
        <f aca="false">IF(AD41=AD40,AC40+AC$1,AC$3-0.5*AC$1*(COUNTIF(AD$11:AD$1000,AD41)-1))</f>
        <v>0.88952380952381</v>
      </c>
      <c r="AD41" s="1" t="n">
        <v>1</v>
      </c>
      <c r="AE41" s="1" t="n">
        <f aca="false">IF(AF41=AF40,AE40+AE$1,AE$3-0.5*AE$1*(COUNTIF(AF$11:AF$1000,AF41)-1))</f>
        <v>2.17692307692308</v>
      </c>
      <c r="AF41" s="1" t="n">
        <v>1</v>
      </c>
      <c r="AG41" s="1" t="n">
        <f aca="false">IF(AH41=AH40,AG40+AG$1,AG$3-0.5*AG$1*(COUNTIF(AH$11:AH$1000,AH41)-1))</f>
        <v>2.69811320754717</v>
      </c>
      <c r="AH41" s="1" t="n">
        <v>2</v>
      </c>
      <c r="AI41" s="1" t="n">
        <f aca="false">IF(AJ41=AJ40,AI40+AI$1,AI$3-0.5*AI$1*(COUNTIF(AJ$11:AJ$1000,AJ41)-1))</f>
        <v>4.04571428571428</v>
      </c>
      <c r="AJ41" s="1" t="n">
        <v>2</v>
      </c>
      <c r="AK41" s="1" t="n">
        <f aca="false">IF(AL41=AL40,AK40+AK$1,AK$3-0.5*AK$1*(COUNTIF(AL$11:AL$1000,AL41)-1))</f>
        <v>4.83728813559322</v>
      </c>
      <c r="AL41" s="1" t="n">
        <v>2</v>
      </c>
      <c r="AN41" s="1" t="n">
        <f aca="false">IF(AO41=AO40,AN40+AN$1,AN$3-0.5*AN$1*(COUNTIF(AO$11:AO$1000,AO41)-1))</f>
        <v>0.934615384615384</v>
      </c>
      <c r="AO41" s="1" t="n">
        <v>1</v>
      </c>
      <c r="AP41" s="1" t="n">
        <f aca="false">IF(AQ41=AQ40,AP40+AP$1,AP$3-0.5*AP$1*(COUNTIF(AQ$11:AQ$1000,AQ41)-1))</f>
        <v>1.81276595744681</v>
      </c>
      <c r="AQ41" s="1" t="n">
        <v>2</v>
      </c>
      <c r="AR41" s="1" t="n">
        <f aca="false">IF(AS41=AS40,AR40+AR$1,AR$3-0.5*AR$1*(COUNTIF(AS$11:AS$1000,AS41)-1))</f>
        <v>3.16969696969697</v>
      </c>
      <c r="AS41" s="1" t="n">
        <v>2</v>
      </c>
      <c r="AT41" s="1" t="n">
        <f aca="false">IF(AU41=AU40,AT40+AT$1,AT$3-0.5*AT$1*(COUNTIF(AU$11:AU$1000,AU41)-1))</f>
        <v>3.77391304347826</v>
      </c>
      <c r="AU41" s="1" t="n">
        <v>5</v>
      </c>
      <c r="AV41" s="1" t="n">
        <f aca="false">IF(AW41=AW40,AV40+AV$1,AV$3-0.5*AV$1*(COUNTIF(AW$11:AW$1000,AW41)-1))</f>
        <v>4.75714285714286</v>
      </c>
      <c r="AW41" s="1" t="n">
        <v>4</v>
      </c>
      <c r="AY41" s="1" t="n">
        <v>31</v>
      </c>
      <c r="AZ41" s="1" t="n">
        <f aca="false">IF(BA41=BA40,AZ40+AZ$1,AZ$3-0.5*AZ$1*(COUNTIF(BA$11:BA$1000,BA41)-1))</f>
        <v>1.11914893617021</v>
      </c>
      <c r="BA41" s="1" t="n">
        <v>1</v>
      </c>
      <c r="BB41" s="1" t="n">
        <f aca="false">IF(BC41=BC40,BB40+BB$1,BB$3-0.5*BB$1*(COUNTIF(BC$11:BC$1000,BC41)-1))</f>
        <v>2.38461538461538</v>
      </c>
      <c r="BC41" s="1" t="n">
        <v>2</v>
      </c>
      <c r="BE41" s="1" t="n">
        <f aca="false">IF(BF41=BF40,BE40+BE$1,BE$3-0.5*BE$1*(COUNTIF(BF$11:BF$1000,BF41)-1))</f>
        <v>1.14545454545455</v>
      </c>
      <c r="BF41" s="1" t="n">
        <v>2</v>
      </c>
      <c r="BG41" s="1" t="n">
        <f aca="false">IF(BH41=BH40,BG40+BG$1,BG$3-0.5*BG$1*(COUNTIF(BH$11:BH$1000,BH41)-1))</f>
        <v>2</v>
      </c>
      <c r="BH41" s="1" t="n">
        <v>7</v>
      </c>
    </row>
    <row r="42" customFormat="false" ht="16" hidden="false" customHeight="false" outlineLevel="0" collapsed="false">
      <c r="A42" s="1" t="n">
        <v>32</v>
      </c>
      <c r="B42" s="1" t="n">
        <f aca="false">IF(C42=C41,B41+B$1,B$3-0.5*B$1*(COUNTIF(C$11:C$1000,C42)-1))</f>
        <v>1.04912280701755</v>
      </c>
      <c r="C42" s="1" t="n">
        <v>1</v>
      </c>
      <c r="D42" s="1" t="n">
        <f aca="false">IF(E42=E41,D41+D$1,D$3-0.5*D$1*(COUNTIF(E$11:E$1000,E42)-1))</f>
        <v>1.96144578313253</v>
      </c>
      <c r="E42" s="1" t="n">
        <v>1</v>
      </c>
      <c r="F42" s="1" t="n">
        <f aca="false">IF(G42=G41,F41+F$1,F$3-0.5*F$1*(COUNTIF(G$11:G$1000,G42)-1))</f>
        <v>3.19375000000001</v>
      </c>
      <c r="G42" s="1" t="n">
        <v>1</v>
      </c>
      <c r="H42" s="1" t="n">
        <f aca="false">IF(I42=I41,H41+H$1,H$3-0.5*H$1*(COUNTIF(I$11:I$1000,I42)-1))</f>
        <v>4.07272727272727</v>
      </c>
      <c r="I42" s="1" t="n">
        <v>1</v>
      </c>
      <c r="J42" s="1" t="n">
        <f aca="false">IF(K42=K41,J41+J$1,J$3-0.5*J$1*(COUNTIF(K$11:K$1000,K42)-1))</f>
        <v>4.64931506849315</v>
      </c>
      <c r="K42" s="1" t="n">
        <v>2</v>
      </c>
      <c r="L42" s="1" t="n">
        <f aca="false">IF(M42=M41,L41+L$1,L$3-0.5*L$1*(COUNTIF(M$11:M$1000,M42)-1))</f>
        <v>6.13684210526315</v>
      </c>
      <c r="M42" s="1" t="n">
        <v>1</v>
      </c>
      <c r="O42" s="1" t="n">
        <f aca="false">IF(P42=P41,O41+O$1,O$3-0.5*O$1*(COUNTIF(P$11:P$1000,P42)-1))</f>
        <v>1.04912280701755</v>
      </c>
      <c r="P42" s="1" t="n">
        <v>1</v>
      </c>
      <c r="Q42" s="1" t="n">
        <f aca="false">IF(R42=R41,Q41+Q$1,Q$3-0.5*Q$1*(COUNTIF(R$11:R$1000,R42)-1))</f>
        <v>1.99523809523809</v>
      </c>
      <c r="R42" s="1" t="n">
        <v>1</v>
      </c>
      <c r="S42" s="1" t="n">
        <f aca="false">IF(T42=T41,S41+S$1,S$3-0.5*S$1*(COUNTIF(T$11:T$1000,T42)-1))</f>
        <v>2.75272727272727</v>
      </c>
      <c r="T42" s="1" t="n">
        <v>2</v>
      </c>
      <c r="U42" s="1" t="n">
        <f aca="false">IF(V42=V41,U41+U$1,U$3-0.5*U$1*(COUNTIF(V$11:V$1000,V42)-1))</f>
        <v>3.71764705882353</v>
      </c>
      <c r="V42" s="1" t="n">
        <v>2</v>
      </c>
      <c r="W42" s="1" t="n">
        <f aca="false">IF(X42=X41,W41+W$1,W$3-0.5*W$1*(COUNTIF(X$11:X$1000,X42)-1))</f>
        <v>5.02051282051282</v>
      </c>
      <c r="X42" s="1" t="n">
        <v>2</v>
      </c>
      <c r="Y42" s="1" t="n">
        <f aca="false">IF(Z42=Z41,Y41+Y$1,Y$3-0.5*Y$1*(COUNTIF(Z$11:Z$1000,Z42)-1))</f>
        <v>6.2051282051282</v>
      </c>
      <c r="Z42" s="1" t="n">
        <v>2</v>
      </c>
      <c r="AB42" s="1" t="n">
        <v>32</v>
      </c>
      <c r="AC42" s="1" t="n">
        <f aca="false">IF(AD42=AD41,AC41+AC$1,AC$3-0.5*AC$1*(COUNTIF(AD$11:AD$1000,AD42)-1))</f>
        <v>0.897142857142858</v>
      </c>
      <c r="AD42" s="1" t="n">
        <v>1</v>
      </c>
      <c r="AE42" s="1" t="n">
        <f aca="false">IF(AF42=AF41,AE41+AE$1,AE$3-0.5*AE$1*(COUNTIF(AF$11:AF$1000,AF42)-1))</f>
        <v>2.19230769230769</v>
      </c>
      <c r="AF42" s="1" t="n">
        <v>1</v>
      </c>
      <c r="AG42" s="1" t="n">
        <f aca="false">IF(AH42=AH41,AG41+AG$1,AG$3-0.5*AG$1*(COUNTIF(AH$11:AH$1000,AH42)-1))</f>
        <v>2.71320754716981</v>
      </c>
      <c r="AH42" s="1" t="n">
        <v>2</v>
      </c>
      <c r="AI42" s="1" t="n">
        <f aca="false">IF(AJ42=AJ41,AI41+AI$1,AI$3-0.5*AI$1*(COUNTIF(AJ$11:AJ$1000,AJ42)-1))</f>
        <v>4.06857142857143</v>
      </c>
      <c r="AJ42" s="1" t="n">
        <v>2</v>
      </c>
      <c r="AK42" s="1" t="n">
        <f aca="false">IF(AL42=AL41,AK41+AK$1,AK$3-0.5*AK$1*(COUNTIF(AL$11:AL$1000,AL42)-1))</f>
        <v>4.85084745762712</v>
      </c>
      <c r="AL42" s="1" t="n">
        <v>2</v>
      </c>
      <c r="AN42" s="1" t="n">
        <f aca="false">IF(AO42=AO41,AN41+AN$1,AN$3-0.5*AN$1*(COUNTIF(AO$11:AO$1000,AO42)-1))</f>
        <v>0.942307692307691</v>
      </c>
      <c r="AO42" s="1" t="n">
        <v>1</v>
      </c>
      <c r="AP42" s="1" t="n">
        <f aca="false">IF(AQ42=AQ41,AP41+AP$1,AP$3-0.5*AP$1*(COUNTIF(AQ$11:AQ$1000,AQ42)-1))</f>
        <v>1.82978723404255</v>
      </c>
      <c r="AQ42" s="1" t="n">
        <v>2</v>
      </c>
      <c r="AR42" s="1" t="n">
        <f aca="false">IF(AS42=AS41,AR41+AR$1,AR$3-0.5*AR$1*(COUNTIF(AS$11:AS$1000,AS42)-1))</f>
        <v>3.1939393939394</v>
      </c>
      <c r="AS42" s="1" t="n">
        <v>2</v>
      </c>
      <c r="AT42" s="1" t="n">
        <f aca="false">IF(AU42=AU41,AT41+AT$1,AT$3-0.5*AT$1*(COUNTIF(AU$11:AU$1000,AU42)-1))</f>
        <v>3.80869565217391</v>
      </c>
      <c r="AU42" s="1" t="n">
        <v>5</v>
      </c>
      <c r="AV42" s="1" t="n">
        <f aca="false">IF(AW42=AW41,AV41+AV$1,AV$3-0.5*AV$1*(COUNTIF(AW$11:AW$1000,AW42)-1))</f>
        <v>4.78571428571429</v>
      </c>
      <c r="AW42" s="1" t="n">
        <v>4</v>
      </c>
      <c r="AY42" s="1" t="n">
        <v>32</v>
      </c>
      <c r="AZ42" s="1" t="n">
        <f aca="false">IF(BA42=BA41,AZ41+AZ$1,AZ$3-0.5*AZ$1*(COUNTIF(BA$11:BA$1000,BA42)-1))</f>
        <v>1.13617021276596</v>
      </c>
      <c r="BA42" s="1" t="n">
        <v>1</v>
      </c>
      <c r="BB42" s="1" t="n">
        <f aca="false">IF(BC42=BC41,BB41+BB$1,BB$3-0.5*BB$1*(COUNTIF(BC$11:BC$1000,BC42)-1))</f>
        <v>1.95384615384615</v>
      </c>
      <c r="BC42" s="1" t="n">
        <v>3</v>
      </c>
      <c r="BE42" s="1" t="n">
        <f aca="false">IF(BF42=BF41,BE41+BE$1,BE$3-0.5*BE$1*(COUNTIF(BF$11:BF$1000,BF42)-1))</f>
        <v>1.16969696969697</v>
      </c>
      <c r="BF42" s="1" t="n">
        <v>2</v>
      </c>
      <c r="BG42" s="1" t="n">
        <f aca="false">IF(BH42=BH41,BG41+BG$1,BG$3-0.5*BG$1*(COUNTIF(BH$11:BH$1000,BH42)-1))</f>
        <v>2.06666666666667</v>
      </c>
      <c r="BH42" s="1" t="n">
        <v>7</v>
      </c>
    </row>
    <row r="43" customFormat="false" ht="16" hidden="false" customHeight="false" outlineLevel="0" collapsed="false">
      <c r="A43" s="1" t="n">
        <v>33</v>
      </c>
      <c r="B43" s="1" t="n">
        <f aca="false">IF(C43=C42,B42+B$1,B$3-0.5*B$1*(COUNTIF(C$11:C$1000,C43)-1))</f>
        <v>1.06315789473684</v>
      </c>
      <c r="C43" s="1" t="n">
        <v>1</v>
      </c>
      <c r="D43" s="1" t="n">
        <f aca="false">IF(E43=E42,D42+D$1,D$3-0.5*D$1*(COUNTIF(E$11:E$1000,E43)-1))</f>
        <v>1.9710843373494</v>
      </c>
      <c r="E43" s="1" t="n">
        <v>1</v>
      </c>
      <c r="F43" s="1" t="n">
        <f aca="false">IF(G43=G42,F42+F$1,F$3-0.5*F$1*(COUNTIF(G$11:G$1000,G43)-1))</f>
        <v>2.60625</v>
      </c>
      <c r="G43" s="1" t="n">
        <v>2</v>
      </c>
      <c r="H43" s="1" t="n">
        <f aca="false">IF(I43=I42,H42+H$1,H$3-0.5*H$1*(COUNTIF(I$11:I$1000,I43)-1))</f>
        <v>4.08484848484848</v>
      </c>
      <c r="I43" s="1" t="n">
        <v>1</v>
      </c>
      <c r="J43" s="1" t="n">
        <f aca="false">IF(K43=K42,J42+J$1,J$3-0.5*J$1*(COUNTIF(K$11:K$1000,K43)-1))</f>
        <v>4.66027397260274</v>
      </c>
      <c r="K43" s="1" t="n">
        <v>2</v>
      </c>
      <c r="L43" s="1" t="n">
        <f aca="false">IF(M43=M42,L42+L$1,L$3-0.5*L$1*(COUNTIF(M$11:M$1000,M43)-1))</f>
        <v>6.14736842105262</v>
      </c>
      <c r="M43" s="1" t="n">
        <v>1</v>
      </c>
      <c r="O43" s="1" t="n">
        <f aca="false">IF(P43=P42,O42+O$1,O$3-0.5*O$1*(COUNTIF(P$11:P$1000,P43)-1))</f>
        <v>1.06315789473684</v>
      </c>
      <c r="P43" s="1" t="n">
        <v>1</v>
      </c>
      <c r="Q43" s="1" t="n">
        <f aca="false">IF(R43=R42,Q42+Q$1,Q$3-0.5*Q$1*(COUNTIF(R$11:R$1000,R43)-1))</f>
        <v>2.0047619047619</v>
      </c>
      <c r="R43" s="1" t="n">
        <v>1</v>
      </c>
      <c r="S43" s="1" t="n">
        <f aca="false">IF(T43=T42,S42+S$1,S$3-0.5*S$1*(COUNTIF(T$11:T$1000,T43)-1))</f>
        <v>2.76727272727273</v>
      </c>
      <c r="T43" s="1" t="n">
        <v>2</v>
      </c>
      <c r="U43" s="1" t="n">
        <f aca="false">IF(V43=V42,U42+U$1,U$3-0.5*U$1*(COUNTIF(V$11:V$1000,V43)-1))</f>
        <v>3.73333333333333</v>
      </c>
      <c r="V43" s="1" t="n">
        <v>2</v>
      </c>
      <c r="W43" s="1" t="n">
        <f aca="false">IF(X43=X42,W42+W$1,W$3-0.5*W$1*(COUNTIF(X$11:X$1000,X43)-1))</f>
        <v>5.04102564102564</v>
      </c>
      <c r="X43" s="1" t="n">
        <v>2</v>
      </c>
      <c r="Y43" s="1" t="n">
        <f aca="false">IF(Z43=Z42,Y42+Y$1,Y$3-0.5*Y$1*(COUNTIF(Z$11:Z$1000,Z43)-1))</f>
        <v>6.22564102564102</v>
      </c>
      <c r="Z43" s="1" t="n">
        <v>2</v>
      </c>
      <c r="AB43" s="1" t="n">
        <v>33</v>
      </c>
      <c r="AC43" s="1" t="n">
        <f aca="false">IF(AD43=AD42,AC42+AC$1,AC$3-0.5*AC$1*(COUNTIF(AD$11:AD$1000,AD43)-1))</f>
        <v>0.904761904761905</v>
      </c>
      <c r="AD43" s="1" t="n">
        <v>1</v>
      </c>
      <c r="AE43" s="1" t="n">
        <f aca="false">IF(AF43=AF42,AE42+AE$1,AE$3-0.5*AE$1*(COUNTIF(AF$11:AF$1000,AF43)-1))</f>
        <v>2.20769230769231</v>
      </c>
      <c r="AF43" s="1" t="n">
        <v>1</v>
      </c>
      <c r="AG43" s="1" t="n">
        <f aca="false">IF(AH43=AH42,AG42+AG$1,AG$3-0.5*AG$1*(COUNTIF(AH$11:AH$1000,AH43)-1))</f>
        <v>2.72830188679245</v>
      </c>
      <c r="AH43" s="1" t="n">
        <v>2</v>
      </c>
      <c r="AI43" s="1" t="n">
        <f aca="false">IF(AJ43=AJ42,AI42+AI$1,AI$3-0.5*AI$1*(COUNTIF(AJ$11:AJ$1000,AJ43)-1))</f>
        <v>4.09142857142857</v>
      </c>
      <c r="AJ43" s="1" t="n">
        <v>2</v>
      </c>
      <c r="AK43" s="1" t="n">
        <f aca="false">IF(AL43=AL42,AK42+AK$1,AK$3-0.5*AK$1*(COUNTIF(AL$11:AL$1000,AL43)-1))</f>
        <v>4.86440677966101</v>
      </c>
      <c r="AL43" s="1" t="n">
        <v>2</v>
      </c>
      <c r="AN43" s="1" t="n">
        <f aca="false">IF(AO43=AO42,AN42+AN$1,AN$3-0.5*AN$1*(COUNTIF(AO$11:AO$1000,AO43)-1))</f>
        <v>0.949999999999999</v>
      </c>
      <c r="AO43" s="1" t="n">
        <v>1</v>
      </c>
      <c r="AP43" s="1" t="n">
        <f aca="false">IF(AQ43=AQ42,AP42+AP$1,AP$3-0.5*AP$1*(COUNTIF(AQ$11:AQ$1000,AQ43)-1))</f>
        <v>1.8468085106383</v>
      </c>
      <c r="AQ43" s="1" t="n">
        <v>2</v>
      </c>
      <c r="AR43" s="1" t="n">
        <f aca="false">IF(AS43=AS42,AR42+AR$1,AR$3-0.5*AR$1*(COUNTIF(AS$11:AS$1000,AS43)-1))</f>
        <v>3.21818181818182</v>
      </c>
      <c r="AS43" s="1" t="n">
        <v>2</v>
      </c>
      <c r="AT43" s="1" t="n">
        <f aca="false">IF(AU43=AU42,AT42+AT$1,AT$3-0.5*AT$1*(COUNTIF(AU$11:AU$1000,AU43)-1))</f>
        <v>3.84347826086956</v>
      </c>
      <c r="AU43" s="1" t="n">
        <v>5</v>
      </c>
      <c r="AV43" s="1" t="n">
        <f aca="false">IF(AW43=AW42,AV42+AV$1,AV$3-0.5*AV$1*(COUNTIF(AW$11:AW$1000,AW43)-1))</f>
        <v>4.81428571428571</v>
      </c>
      <c r="AW43" s="1" t="n">
        <v>4</v>
      </c>
      <c r="AY43" s="1" t="n">
        <v>33</v>
      </c>
      <c r="AZ43" s="1" t="n">
        <f aca="false">IF(BA43=BA42,AZ42+AZ$1,AZ$3-0.5*AZ$1*(COUNTIF(BA$11:BA$1000,BA43)-1))</f>
        <v>1.1531914893617</v>
      </c>
      <c r="BA43" s="1" t="n">
        <v>1</v>
      </c>
      <c r="BB43" s="1" t="n">
        <f aca="false">IF(BC43=BC42,BB42+BB$1,BB$3-0.5*BB$1*(COUNTIF(BC$11:BC$1000,BC43)-1))</f>
        <v>1.98461538461538</v>
      </c>
      <c r="BC43" s="1" t="n">
        <v>3</v>
      </c>
      <c r="BE43" s="1" t="n">
        <f aca="false">IF(BF43=BF42,BE42+BE$1,BE$3-0.5*BE$1*(COUNTIF(BF$11:BF$1000,BF43)-1))</f>
        <v>1.19393939393939</v>
      </c>
      <c r="BF43" s="1" t="n">
        <v>2</v>
      </c>
      <c r="BG43" s="1" t="n">
        <f aca="false">IF(BH43=BH42,BG42+BG$1,BG$3-0.5*BG$1*(COUNTIF(BH$11:BH$1000,BH43)-1))</f>
        <v>1.8</v>
      </c>
      <c r="BH43" s="1" t="n">
        <v>8</v>
      </c>
    </row>
    <row r="44" customFormat="false" ht="16" hidden="false" customHeight="false" outlineLevel="0" collapsed="false">
      <c r="A44" s="1" t="n">
        <v>34</v>
      </c>
      <c r="B44" s="1" t="n">
        <f aca="false">IF(C44=C43,B43+B$1,B$3-0.5*B$1*(COUNTIF(C$11:C$1000,C44)-1))</f>
        <v>1.07719298245614</v>
      </c>
      <c r="C44" s="1" t="n">
        <v>1</v>
      </c>
      <c r="D44" s="1" t="n">
        <f aca="false">IF(E44=E43,D43+D$1,D$3-0.5*D$1*(COUNTIF(E$11:E$1000,E44)-1))</f>
        <v>1.98072289156627</v>
      </c>
      <c r="E44" s="1" t="n">
        <v>1</v>
      </c>
      <c r="F44" s="1" t="n">
        <f aca="false">IF(G44=G43,F43+F$1,F$3-0.5*F$1*(COUNTIF(G$11:G$1000,G44)-1))</f>
        <v>2.61875</v>
      </c>
      <c r="G44" s="1" t="n">
        <v>2</v>
      </c>
      <c r="H44" s="1" t="n">
        <f aca="false">IF(I44=I43,H43+H$1,H$3-0.5*H$1*(COUNTIF(I$11:I$1000,I44)-1))</f>
        <v>4.0969696969697</v>
      </c>
      <c r="I44" s="1" t="n">
        <v>1</v>
      </c>
      <c r="J44" s="1" t="n">
        <f aca="false">IF(K44=K43,J43+J$1,J$3-0.5*J$1*(COUNTIF(K$11:K$1000,K44)-1))</f>
        <v>4.67123287671233</v>
      </c>
      <c r="K44" s="1" t="n">
        <v>2</v>
      </c>
      <c r="L44" s="1" t="n">
        <f aca="false">IF(M44=M43,L43+L$1,L$3-0.5*L$1*(COUNTIF(M$11:M$1000,M44)-1))</f>
        <v>6.15789473684209</v>
      </c>
      <c r="M44" s="1" t="n">
        <v>1</v>
      </c>
      <c r="O44" s="1" t="n">
        <f aca="false">IF(P44=P43,O43+O$1,O$3-0.5*O$1*(COUNTIF(P$11:P$1000,P44)-1))</f>
        <v>1.07719298245614</v>
      </c>
      <c r="P44" s="1" t="n">
        <v>1</v>
      </c>
      <c r="Q44" s="1" t="n">
        <f aca="false">IF(R44=R43,Q43+Q$1,Q$3-0.5*Q$1*(COUNTIF(R$11:R$1000,R44)-1))</f>
        <v>2.01428571428571</v>
      </c>
      <c r="R44" s="1" t="n">
        <v>1</v>
      </c>
      <c r="S44" s="1" t="n">
        <f aca="false">IF(T44=T43,S43+S$1,S$3-0.5*S$1*(COUNTIF(T$11:T$1000,T44)-1))</f>
        <v>2.78181818181818</v>
      </c>
      <c r="T44" s="1" t="n">
        <v>2</v>
      </c>
      <c r="U44" s="1" t="n">
        <f aca="false">IF(V44=V43,U43+U$1,U$3-0.5*U$1*(COUNTIF(V$11:V$1000,V44)-1))</f>
        <v>3.74901960784314</v>
      </c>
      <c r="V44" s="1" t="n">
        <v>2</v>
      </c>
      <c r="W44" s="1" t="n">
        <f aca="false">IF(X44=X43,W43+W$1,W$3-0.5*W$1*(COUNTIF(X$11:X$1000,X44)-1))</f>
        <v>5.06153846153846</v>
      </c>
      <c r="X44" s="1" t="n">
        <v>2</v>
      </c>
      <c r="Y44" s="1" t="n">
        <f aca="false">IF(Z44=Z43,Y43+Y$1,Y$3-0.5*Y$1*(COUNTIF(Z$11:Z$1000,Z44)-1))</f>
        <v>5.65128205128205</v>
      </c>
      <c r="Z44" s="1" t="n">
        <v>3</v>
      </c>
      <c r="AB44" s="1" t="n">
        <v>34</v>
      </c>
      <c r="AC44" s="1" t="n">
        <f aca="false">IF(AD44=AD43,AC43+AC$1,AC$3-0.5*AC$1*(COUNTIF(AD$11:AD$1000,AD44)-1))</f>
        <v>0.912380952380953</v>
      </c>
      <c r="AD44" s="1" t="n">
        <v>1</v>
      </c>
      <c r="AE44" s="1" t="n">
        <f aca="false">IF(AF44=AF43,AE43+AE$1,AE$3-0.5*AE$1*(COUNTIF(AF$11:AF$1000,AF44)-1))</f>
        <v>2.22307692307692</v>
      </c>
      <c r="AF44" s="1" t="n">
        <v>1</v>
      </c>
      <c r="AG44" s="1" t="n">
        <f aca="false">IF(AH44=AH43,AG43+AG$1,AG$3-0.5*AG$1*(COUNTIF(AH$11:AH$1000,AH44)-1))</f>
        <v>2.74339622641509</v>
      </c>
      <c r="AH44" s="1" t="n">
        <v>2</v>
      </c>
      <c r="AI44" s="1" t="n">
        <f aca="false">IF(AJ44=AJ43,AI43+AI$1,AI$3-0.5*AI$1*(COUNTIF(AJ$11:AJ$1000,AJ44)-1))</f>
        <v>4.11428571428571</v>
      </c>
      <c r="AJ44" s="1" t="n">
        <v>2</v>
      </c>
      <c r="AK44" s="1" t="n">
        <f aca="false">IF(AL44=AL43,AK43+AK$1,AK$3-0.5*AK$1*(COUNTIF(AL$11:AL$1000,AL44)-1))</f>
        <v>4.87796610169491</v>
      </c>
      <c r="AL44" s="1" t="n">
        <v>2</v>
      </c>
      <c r="AN44" s="1" t="n">
        <f aca="false">IF(AO44=AO43,AN43+AN$1,AN$3-0.5*AN$1*(COUNTIF(AO$11:AO$1000,AO44)-1))</f>
        <v>0.957692307692307</v>
      </c>
      <c r="AO44" s="1" t="n">
        <v>1</v>
      </c>
      <c r="AP44" s="1" t="n">
        <f aca="false">IF(AQ44=AQ43,AP43+AP$1,AP$3-0.5*AP$1*(COUNTIF(AQ$11:AQ$1000,AQ44)-1))</f>
        <v>1.86382978723404</v>
      </c>
      <c r="AQ44" s="1" t="n">
        <v>2</v>
      </c>
      <c r="AR44" s="1" t="n">
        <f aca="false">IF(AS44=AS43,AR43+AR$1,AR$3-0.5*AR$1*(COUNTIF(AS$11:AS$1000,AS44)-1))</f>
        <v>3.24242424242425</v>
      </c>
      <c r="AS44" s="1" t="n">
        <v>2</v>
      </c>
      <c r="AT44" s="1" t="n">
        <f aca="false">IF(AU44=AU43,AT43+AT$1,AT$3-0.5*AT$1*(COUNTIF(AU$11:AU$1000,AU44)-1))</f>
        <v>3.87826086956522</v>
      </c>
      <c r="AU44" s="1" t="n">
        <v>5</v>
      </c>
      <c r="AV44" s="1" t="n">
        <f aca="false">IF(AW44=AW43,AV43+AV$1,AV$3-0.5*AV$1*(COUNTIF(AW$11:AW$1000,AW44)-1))</f>
        <v>4.84285714285714</v>
      </c>
      <c r="AW44" s="1" t="n">
        <v>4</v>
      </c>
      <c r="AY44" s="1" t="n">
        <v>34</v>
      </c>
      <c r="AZ44" s="1" t="n">
        <f aca="false">IF(BA44=BA43,AZ43+AZ$1,AZ$3-0.5*AZ$1*(COUNTIF(BA$11:BA$1000,BA44)-1))</f>
        <v>1.17021276595745</v>
      </c>
      <c r="BA44" s="1" t="n">
        <v>1</v>
      </c>
      <c r="BB44" s="1" t="n">
        <f aca="false">IF(BC44=BC43,BB43+BB$1,BB$3-0.5*BB$1*(COUNTIF(BC$11:BC$1000,BC44)-1))</f>
        <v>2.01538461538462</v>
      </c>
      <c r="BC44" s="1" t="n">
        <v>3</v>
      </c>
      <c r="BE44" s="1" t="n">
        <f aca="false">IF(BF44=BF43,BE43+BE$1,BE$3-0.5*BE$1*(COUNTIF(BF$11:BF$1000,BF44)-1))</f>
        <v>1.21818181818182</v>
      </c>
      <c r="BF44" s="1" t="n">
        <v>2</v>
      </c>
      <c r="BG44" s="1" t="n">
        <f aca="false">IF(BH44=BH43,BG43+BG$1,BG$3-0.5*BG$1*(COUNTIF(BH$11:BH$1000,BH44)-1))</f>
        <v>1.86666666666667</v>
      </c>
      <c r="BH44" s="1" t="n">
        <v>8</v>
      </c>
    </row>
    <row r="45" customFormat="false" ht="16" hidden="false" customHeight="false" outlineLevel="0" collapsed="false">
      <c r="A45" s="1" t="n">
        <v>35</v>
      </c>
      <c r="B45" s="1" t="n">
        <f aca="false">IF(C45=C44,B44+B$1,B$3-0.5*B$1*(COUNTIF(C$11:C$1000,C45)-1))</f>
        <v>1.09122807017544</v>
      </c>
      <c r="C45" s="1" t="n">
        <v>1</v>
      </c>
      <c r="D45" s="1" t="n">
        <f aca="false">IF(E45=E44,D44+D$1,D$3-0.5*D$1*(COUNTIF(E$11:E$1000,E45)-1))</f>
        <v>1.99036144578314</v>
      </c>
      <c r="E45" s="1" t="n">
        <v>1</v>
      </c>
      <c r="F45" s="1" t="n">
        <f aca="false">IF(G45=G44,F44+F$1,F$3-0.5*F$1*(COUNTIF(G$11:G$1000,G45)-1))</f>
        <v>2.63125</v>
      </c>
      <c r="G45" s="1" t="n">
        <v>2</v>
      </c>
      <c r="H45" s="1" t="n">
        <f aca="false">IF(I45=I44,H44+H$1,H$3-0.5*H$1*(COUNTIF(I$11:I$1000,I45)-1))</f>
        <v>4.10909090909091</v>
      </c>
      <c r="I45" s="1" t="n">
        <v>1</v>
      </c>
      <c r="J45" s="1" t="n">
        <f aca="false">IF(K45=K44,J44+J$1,J$3-0.5*J$1*(COUNTIF(K$11:K$1000,K45)-1))</f>
        <v>4.68219178082192</v>
      </c>
      <c r="K45" s="1" t="n">
        <v>2</v>
      </c>
      <c r="L45" s="1" t="n">
        <f aca="false">IF(M45=M44,L44+L$1,L$3-0.5*L$1*(COUNTIF(M$11:M$1000,M45)-1))</f>
        <v>6.16842105263157</v>
      </c>
      <c r="M45" s="1" t="n">
        <v>1</v>
      </c>
      <c r="O45" s="1" t="n">
        <f aca="false">IF(P45=P44,O44+O$1,O$3-0.5*O$1*(COUNTIF(P$11:P$1000,P45)-1))</f>
        <v>1.09122807017544</v>
      </c>
      <c r="P45" s="1" t="n">
        <v>1</v>
      </c>
      <c r="Q45" s="1" t="n">
        <f aca="false">IF(R45=R44,Q44+Q$1,Q$3-0.5*Q$1*(COUNTIF(R$11:R$1000,R45)-1))</f>
        <v>2.02380952380952</v>
      </c>
      <c r="R45" s="1" t="n">
        <v>1</v>
      </c>
      <c r="S45" s="1" t="n">
        <f aca="false">IF(T45=T44,S44+S$1,S$3-0.5*S$1*(COUNTIF(T$11:T$1000,T45)-1))</f>
        <v>2.79636363636364</v>
      </c>
      <c r="T45" s="1" t="n">
        <v>2</v>
      </c>
      <c r="U45" s="1" t="n">
        <f aca="false">IF(V45=V44,U44+U$1,U$3-0.5*U$1*(COUNTIF(V$11:V$1000,V45)-1))</f>
        <v>3.76470588235294</v>
      </c>
      <c r="V45" s="1" t="n">
        <v>2</v>
      </c>
      <c r="W45" s="1" t="n">
        <f aca="false">IF(X45=X44,W44+W$1,W$3-0.5*W$1*(COUNTIF(X$11:X$1000,X45)-1))</f>
        <v>5.08205128205128</v>
      </c>
      <c r="X45" s="1" t="n">
        <v>2</v>
      </c>
      <c r="Y45" s="1" t="n">
        <f aca="false">IF(Z45=Z44,Y44+Y$1,Y$3-0.5*Y$1*(COUNTIF(Z$11:Z$1000,Z45)-1))</f>
        <v>5.67179487179487</v>
      </c>
      <c r="Z45" s="1" t="n">
        <v>3</v>
      </c>
      <c r="AB45" s="1" t="n">
        <v>35</v>
      </c>
      <c r="AC45" s="1" t="n">
        <f aca="false">IF(AD45=AD44,AC44+AC$1,AC$3-0.5*AC$1*(COUNTIF(AD$11:AD$1000,AD45)-1))</f>
        <v>0.92</v>
      </c>
      <c r="AD45" s="1" t="n">
        <v>1</v>
      </c>
      <c r="AE45" s="1" t="n">
        <f aca="false">IF(AF45=AF44,AE44+AE$1,AE$3-0.5*AE$1*(COUNTIF(AF$11:AF$1000,AF45)-1))</f>
        <v>2.23846153846154</v>
      </c>
      <c r="AF45" s="1" t="n">
        <v>1</v>
      </c>
      <c r="AG45" s="1" t="n">
        <f aca="false">IF(AH45=AH44,AG44+AG$1,AG$3-0.5*AG$1*(COUNTIF(AH$11:AH$1000,AH45)-1))</f>
        <v>2.75849056603774</v>
      </c>
      <c r="AH45" s="1" t="n">
        <v>2</v>
      </c>
      <c r="AI45" s="1" t="n">
        <f aca="false">IF(AJ45=AJ44,AI44+AI$1,AI$3-0.5*AI$1*(COUNTIF(AJ$11:AJ$1000,AJ45)-1))</f>
        <v>4.13714285714286</v>
      </c>
      <c r="AJ45" s="1" t="n">
        <v>2</v>
      </c>
      <c r="AK45" s="1" t="n">
        <f aca="false">IF(AL45=AL44,AK44+AK$1,AK$3-0.5*AK$1*(COUNTIF(AL$11:AL$1000,AL45)-1))</f>
        <v>4.89152542372881</v>
      </c>
      <c r="AL45" s="1" t="n">
        <v>2</v>
      </c>
      <c r="AN45" s="1" t="n">
        <f aca="false">IF(AO45=AO44,AN44+AN$1,AN$3-0.5*AN$1*(COUNTIF(AO$11:AO$1000,AO45)-1))</f>
        <v>0.965384615384614</v>
      </c>
      <c r="AO45" s="1" t="n">
        <v>1</v>
      </c>
      <c r="AP45" s="1" t="n">
        <f aca="false">IF(AQ45=AQ44,AP44+AP$1,AP$3-0.5*AP$1*(COUNTIF(AQ$11:AQ$1000,AQ45)-1))</f>
        <v>1.88085106382979</v>
      </c>
      <c r="AQ45" s="1" t="n">
        <v>2</v>
      </c>
      <c r="AR45" s="1" t="n">
        <f aca="false">IF(AS45=AS44,AR44+AR$1,AR$3-0.5*AR$1*(COUNTIF(AS$11:AS$1000,AS45)-1))</f>
        <v>3.26666666666667</v>
      </c>
      <c r="AS45" s="1" t="n">
        <v>2</v>
      </c>
      <c r="AT45" s="1" t="n">
        <f aca="false">IF(AU45=AU44,AT44+AT$1,AT$3-0.5*AT$1*(COUNTIF(AU$11:AU$1000,AU45)-1))</f>
        <v>3.91304347826087</v>
      </c>
      <c r="AU45" s="1" t="n">
        <v>5</v>
      </c>
      <c r="AV45" s="1" t="n">
        <f aca="false">IF(AW45=AW44,AV44+AV$1,AV$3-0.5*AV$1*(COUNTIF(AW$11:AW$1000,AW45)-1))</f>
        <v>4.87142857142857</v>
      </c>
      <c r="AW45" s="1" t="n">
        <v>4</v>
      </c>
      <c r="AY45" s="1" t="n">
        <v>35</v>
      </c>
      <c r="AZ45" s="1" t="n">
        <f aca="false">IF(BA45=BA44,AZ44+AZ$1,AZ$3-0.5*AZ$1*(COUNTIF(BA$11:BA$1000,BA45)-1))</f>
        <v>1.18723404255319</v>
      </c>
      <c r="BA45" s="1" t="n">
        <v>1</v>
      </c>
      <c r="BB45" s="1" t="n">
        <f aca="false">IF(BC45=BC44,BB44+BB$1,BB$3-0.5*BB$1*(COUNTIF(BC$11:BC$1000,BC45)-1))</f>
        <v>2.04615384615385</v>
      </c>
      <c r="BC45" s="1" t="n">
        <v>3</v>
      </c>
      <c r="BE45" s="1" t="n">
        <f aca="false">IF(BF45=BF44,BE44+BE$1,BE$3-0.5*BE$1*(COUNTIF(BF$11:BF$1000,BF45)-1))</f>
        <v>1.24242424242424</v>
      </c>
      <c r="BF45" s="1" t="n">
        <v>2</v>
      </c>
      <c r="BG45" s="1" t="n">
        <f aca="false">IF(BH45=BH44,BG44+BG$1,BG$3-0.5*BG$1*(COUNTIF(BH$11:BH$1000,BH45)-1))</f>
        <v>1.93333333333333</v>
      </c>
      <c r="BH45" s="1" t="n">
        <v>8</v>
      </c>
    </row>
    <row r="46" customFormat="false" ht="16" hidden="false" customHeight="false" outlineLevel="0" collapsed="false">
      <c r="A46" s="1" t="n">
        <v>36</v>
      </c>
      <c r="B46" s="1" t="n">
        <f aca="false">IF(C46=C45,B45+B$1,B$3-0.5*B$1*(COUNTIF(C$11:C$1000,C46)-1))</f>
        <v>1.10526315789474</v>
      </c>
      <c r="C46" s="1" t="n">
        <v>1</v>
      </c>
      <c r="D46" s="1" t="n">
        <f aca="false">IF(E46=E45,D45+D$1,D$3-0.5*D$1*(COUNTIF(E$11:E$1000,E46)-1))</f>
        <v>2</v>
      </c>
      <c r="E46" s="1" t="n">
        <v>1</v>
      </c>
      <c r="F46" s="1" t="n">
        <f aca="false">IF(G46=G45,F45+F$1,F$3-0.5*F$1*(COUNTIF(G$11:G$1000,G46)-1))</f>
        <v>2.64375</v>
      </c>
      <c r="G46" s="1" t="n">
        <v>2</v>
      </c>
      <c r="H46" s="1" t="n">
        <f aca="false">IF(I46=I45,H45+H$1,H$3-0.5*H$1*(COUNTIF(I$11:I$1000,I46)-1))</f>
        <v>4.12121212121212</v>
      </c>
      <c r="I46" s="1" t="n">
        <v>1</v>
      </c>
      <c r="J46" s="1" t="n">
        <f aca="false">IF(K46=K45,J45+J$1,J$3-0.5*J$1*(COUNTIF(K$11:K$1000,K46)-1))</f>
        <v>4.69315068493151</v>
      </c>
      <c r="K46" s="1" t="n">
        <v>2</v>
      </c>
      <c r="L46" s="1" t="n">
        <f aca="false">IF(M46=M45,L45+L$1,L$3-0.5*L$1*(COUNTIF(M$11:M$1000,M46)-1))</f>
        <v>6.17894736842104</v>
      </c>
      <c r="M46" s="1" t="n">
        <v>1</v>
      </c>
      <c r="O46" s="1" t="n">
        <f aca="false">IF(P46=P45,O45+O$1,O$3-0.5*O$1*(COUNTIF(P$11:P$1000,P46)-1))</f>
        <v>1.10526315789474</v>
      </c>
      <c r="P46" s="1" t="n">
        <v>1</v>
      </c>
      <c r="Q46" s="1" t="n">
        <f aca="false">IF(R46=R45,Q45+Q$1,Q$3-0.5*Q$1*(COUNTIF(R$11:R$1000,R46)-1))</f>
        <v>2.03333333333333</v>
      </c>
      <c r="R46" s="1" t="n">
        <v>1</v>
      </c>
      <c r="S46" s="1" t="n">
        <f aca="false">IF(T46=T45,S45+S$1,S$3-0.5*S$1*(COUNTIF(T$11:T$1000,T46)-1))</f>
        <v>2.81090909090909</v>
      </c>
      <c r="T46" s="1" t="n">
        <v>2</v>
      </c>
      <c r="U46" s="1" t="n">
        <f aca="false">IF(V46=V45,U45+U$1,U$3-0.5*U$1*(COUNTIF(V$11:V$1000,V46)-1))</f>
        <v>3.78039215686274</v>
      </c>
      <c r="V46" s="1" t="n">
        <v>2</v>
      </c>
      <c r="W46" s="1" t="n">
        <f aca="false">IF(X46=X45,W45+W$1,W$3-0.5*W$1*(COUNTIF(X$11:X$1000,X46)-1))</f>
        <v>5.1025641025641</v>
      </c>
      <c r="X46" s="1" t="n">
        <v>2</v>
      </c>
      <c r="Y46" s="1" t="n">
        <f aca="false">IF(Z46=Z45,Y45+Y$1,Y$3-0.5*Y$1*(COUNTIF(Z$11:Z$1000,Z46)-1))</f>
        <v>5.69230769230769</v>
      </c>
      <c r="Z46" s="1" t="n">
        <v>3</v>
      </c>
      <c r="AB46" s="1" t="n">
        <v>36</v>
      </c>
      <c r="AC46" s="1" t="n">
        <f aca="false">IF(AD46=AD45,AC45+AC$1,AC$3-0.5*AC$1*(COUNTIF(AD$11:AD$1000,AD46)-1))</f>
        <v>0.927619047619048</v>
      </c>
      <c r="AD46" s="1" t="n">
        <v>1</v>
      </c>
      <c r="AE46" s="1" t="n">
        <f aca="false">IF(AF46=AF45,AE45+AE$1,AE$3-0.5*AE$1*(COUNTIF(AF$11:AF$1000,AF46)-1))</f>
        <v>2.25384615384615</v>
      </c>
      <c r="AF46" s="1" t="n">
        <v>1</v>
      </c>
      <c r="AG46" s="1" t="n">
        <f aca="false">IF(AH46=AH45,AG45+AG$1,AG$3-0.5*AG$1*(COUNTIF(AH$11:AH$1000,AH46)-1))</f>
        <v>2.77358490566038</v>
      </c>
      <c r="AH46" s="1" t="n">
        <v>2</v>
      </c>
      <c r="AI46" s="1" t="n">
        <f aca="false">IF(AJ46=AJ45,AI45+AI$1,AI$3-0.5*AI$1*(COUNTIF(AJ$11:AJ$1000,AJ46)-1))</f>
        <v>4.16</v>
      </c>
      <c r="AJ46" s="1" t="n">
        <v>2</v>
      </c>
      <c r="AK46" s="1" t="n">
        <f aca="false">IF(AL46=AL45,AK45+AK$1,AK$3-0.5*AK$1*(COUNTIF(AL$11:AL$1000,AL46)-1))</f>
        <v>4.90508474576271</v>
      </c>
      <c r="AL46" s="1" t="n">
        <v>2</v>
      </c>
      <c r="AN46" s="1" t="n">
        <f aca="false">IF(AO46=AO45,AN45+AN$1,AN$3-0.5*AN$1*(COUNTIF(AO$11:AO$1000,AO46)-1))</f>
        <v>0.973076923076922</v>
      </c>
      <c r="AO46" s="1" t="n">
        <v>1</v>
      </c>
      <c r="AP46" s="1" t="n">
        <f aca="false">IF(AQ46=AQ45,AP45+AP$1,AP$3-0.5*AP$1*(COUNTIF(AQ$11:AQ$1000,AQ46)-1))</f>
        <v>1.89787234042553</v>
      </c>
      <c r="AQ46" s="1" t="n">
        <v>2</v>
      </c>
      <c r="AR46" s="1" t="n">
        <f aca="false">IF(AS46=AS45,AR45+AR$1,AR$3-0.5*AR$1*(COUNTIF(AS$11:AS$1000,AS46)-1))</f>
        <v>3.29090909090909</v>
      </c>
      <c r="AS46" s="1" t="n">
        <v>2</v>
      </c>
      <c r="AT46" s="1" t="n">
        <f aca="false">IF(AU46=AU45,AT45+AT$1,AT$3-0.5*AT$1*(COUNTIF(AU$11:AU$1000,AU46)-1))</f>
        <v>3.94782608695652</v>
      </c>
      <c r="AU46" s="1" t="n">
        <v>5</v>
      </c>
      <c r="AV46" s="1" t="n">
        <f aca="false">IF(AW46=AW45,AV45+AV$1,AV$3-0.5*AV$1*(COUNTIF(AW$11:AW$1000,AW46)-1))</f>
        <v>4.9</v>
      </c>
      <c r="AW46" s="1" t="n">
        <v>4</v>
      </c>
      <c r="AY46" s="1" t="n">
        <v>36</v>
      </c>
      <c r="AZ46" s="1" t="n">
        <f aca="false">IF(BA46=BA45,AZ45+AZ$1,AZ$3-0.5*AZ$1*(COUNTIF(BA$11:BA$1000,BA46)-1))</f>
        <v>1.20425531914894</v>
      </c>
      <c r="BA46" s="1" t="n">
        <v>1</v>
      </c>
      <c r="BB46" s="1" t="n">
        <f aca="false">IF(BC46=BC45,BB45+BB$1,BB$3-0.5*BB$1*(COUNTIF(BC$11:BC$1000,BC46)-1))</f>
        <v>1.84615384615385</v>
      </c>
      <c r="BC46" s="1" t="n">
        <v>4</v>
      </c>
      <c r="BE46" s="1" t="n">
        <f aca="false">IF(BF46=BF45,BE45+BE$1,BE$3-0.5*BE$1*(COUNTIF(BF$11:BF$1000,BF46)-1))</f>
        <v>1.26666666666667</v>
      </c>
      <c r="BF46" s="1" t="n">
        <v>2</v>
      </c>
      <c r="BG46" s="1" t="n">
        <f aca="false">IF(BH46=BH45,BG45+BG$1,BG$3-0.5*BG$1*(COUNTIF(BH$11:BH$1000,BH46)-1))</f>
        <v>2</v>
      </c>
      <c r="BH46" s="1" t="n">
        <v>8</v>
      </c>
    </row>
    <row r="47" customFormat="false" ht="16" hidden="false" customHeight="false" outlineLevel="0" collapsed="false">
      <c r="A47" s="1" t="n">
        <v>37</v>
      </c>
      <c r="B47" s="1" t="n">
        <f aca="false">IF(C47=C46,B46+B$1,B$3-0.5*B$1*(COUNTIF(C$11:C$1000,C47)-1))</f>
        <v>1.11929824561404</v>
      </c>
      <c r="C47" s="1" t="n">
        <v>1</v>
      </c>
      <c r="D47" s="1" t="n">
        <f aca="false">IF(E47=E46,D46+D$1,D$3-0.5*D$1*(COUNTIF(E$11:E$1000,E47)-1))</f>
        <v>2.00963855421687</v>
      </c>
      <c r="E47" s="1" t="n">
        <v>1</v>
      </c>
      <c r="F47" s="1" t="n">
        <f aca="false">IF(G47=G46,F46+F$1,F$3-0.5*F$1*(COUNTIF(G$11:G$1000,G47)-1))</f>
        <v>2.65625</v>
      </c>
      <c r="G47" s="1" t="n">
        <v>2</v>
      </c>
      <c r="H47" s="1" t="n">
        <f aca="false">IF(I47=I46,H46+H$1,H$3-0.5*H$1*(COUNTIF(I$11:I$1000,I47)-1))</f>
        <v>4.13333333333333</v>
      </c>
      <c r="I47" s="1" t="n">
        <v>1</v>
      </c>
      <c r="J47" s="1" t="n">
        <f aca="false">IF(K47=K46,J46+J$1,J$3-0.5*J$1*(COUNTIF(K$11:K$1000,K47)-1))</f>
        <v>4.7041095890411</v>
      </c>
      <c r="K47" s="1" t="n">
        <v>2</v>
      </c>
      <c r="L47" s="1" t="n">
        <f aca="false">IF(M47=M46,L46+L$1,L$3-0.5*L$1*(COUNTIF(M$11:M$1000,M47)-1))</f>
        <v>6.18947368421051</v>
      </c>
      <c r="M47" s="1" t="n">
        <v>1</v>
      </c>
      <c r="O47" s="1" t="n">
        <f aca="false">IF(P47=P46,O46+O$1,O$3-0.5*O$1*(COUNTIF(P$11:P$1000,P47)-1))</f>
        <v>1.11929824561404</v>
      </c>
      <c r="P47" s="1" t="n">
        <v>1</v>
      </c>
      <c r="Q47" s="1" t="n">
        <f aca="false">IF(R47=R46,Q46+Q$1,Q$3-0.5*Q$1*(COUNTIF(R$11:R$1000,R47)-1))</f>
        <v>2.04285714285714</v>
      </c>
      <c r="R47" s="1" t="n">
        <v>1</v>
      </c>
      <c r="S47" s="1" t="n">
        <f aca="false">IF(T47=T46,S46+S$1,S$3-0.5*S$1*(COUNTIF(T$11:T$1000,T47)-1))</f>
        <v>2.82545454545455</v>
      </c>
      <c r="T47" s="1" t="n">
        <v>2</v>
      </c>
      <c r="U47" s="1" t="n">
        <f aca="false">IF(V47=V46,U46+U$1,U$3-0.5*U$1*(COUNTIF(V$11:V$1000,V47)-1))</f>
        <v>3.79607843137255</v>
      </c>
      <c r="V47" s="1" t="n">
        <v>2</v>
      </c>
      <c r="W47" s="1" t="n">
        <f aca="false">IF(X47=X46,W46+W$1,W$3-0.5*W$1*(COUNTIF(X$11:X$1000,X47)-1))</f>
        <v>5.12307692307692</v>
      </c>
      <c r="X47" s="1" t="n">
        <v>2</v>
      </c>
      <c r="Y47" s="1" t="n">
        <f aca="false">IF(Z47=Z46,Y46+Y$1,Y$3-0.5*Y$1*(COUNTIF(Z$11:Z$1000,Z47)-1))</f>
        <v>5.71282051282051</v>
      </c>
      <c r="Z47" s="1" t="n">
        <v>3</v>
      </c>
      <c r="AB47" s="1" t="n">
        <v>37</v>
      </c>
      <c r="AC47" s="1" t="n">
        <f aca="false">IF(AD47=AD46,AC46+AC$1,AC$3-0.5*AC$1*(COUNTIF(AD$11:AD$1000,AD47)-1))</f>
        <v>0.935238095238096</v>
      </c>
      <c r="AD47" s="1" t="n">
        <v>1</v>
      </c>
      <c r="AE47" s="1" t="n">
        <f aca="false">IF(AF47=AF46,AE46+AE$1,AE$3-0.5*AE$1*(COUNTIF(AF$11:AF$1000,AF47)-1))</f>
        <v>2.26923076923077</v>
      </c>
      <c r="AF47" s="1" t="n">
        <v>1</v>
      </c>
      <c r="AG47" s="1" t="n">
        <f aca="false">IF(AH47=AH46,AG46+AG$1,AG$3-0.5*AG$1*(COUNTIF(AH$11:AH$1000,AH47)-1))</f>
        <v>2.78867924528302</v>
      </c>
      <c r="AH47" s="1" t="n">
        <v>2</v>
      </c>
      <c r="AI47" s="1" t="n">
        <f aca="false">IF(AJ47=AJ46,AI46+AI$1,AI$3-0.5*AI$1*(COUNTIF(AJ$11:AJ$1000,AJ47)-1))</f>
        <v>4.18285714285714</v>
      </c>
      <c r="AJ47" s="1" t="n">
        <v>2</v>
      </c>
      <c r="AK47" s="1" t="n">
        <f aca="false">IF(AL47=AL46,AK46+AK$1,AK$3-0.5*AK$1*(COUNTIF(AL$11:AL$1000,AL47)-1))</f>
        <v>4.91864406779661</v>
      </c>
      <c r="AL47" s="1" t="n">
        <v>2</v>
      </c>
      <c r="AN47" s="1" t="n">
        <f aca="false">IF(AO47=AO46,AN46+AN$1,AN$3-0.5*AN$1*(COUNTIF(AO$11:AO$1000,AO47)-1))</f>
        <v>0.98076923076923</v>
      </c>
      <c r="AO47" s="1" t="n">
        <v>1</v>
      </c>
      <c r="AP47" s="1" t="n">
        <f aca="false">IF(AQ47=AQ46,AP46+AP$1,AP$3-0.5*AP$1*(COUNTIF(AQ$11:AQ$1000,AQ47)-1))</f>
        <v>1.91489361702128</v>
      </c>
      <c r="AQ47" s="1" t="n">
        <v>2</v>
      </c>
      <c r="AR47" s="1" t="n">
        <f aca="false">IF(AS47=AS46,AR46+AR$1,AR$3-0.5*AR$1*(COUNTIF(AS$11:AS$1000,AS47)-1))</f>
        <v>3.31515151515152</v>
      </c>
      <c r="AS47" s="1" t="n">
        <v>2</v>
      </c>
      <c r="AT47" s="1" t="n">
        <f aca="false">IF(AU47=AU46,AT46+AT$1,AT$3-0.5*AT$1*(COUNTIF(AU$11:AU$1000,AU47)-1))</f>
        <v>3.98260869565217</v>
      </c>
      <c r="AU47" s="1" t="n">
        <v>5</v>
      </c>
      <c r="AV47" s="1" t="n">
        <f aca="false">IF(AW47=AW46,AV46+AV$1,AV$3-0.5*AV$1*(COUNTIF(AW$11:AW$1000,AW47)-1))</f>
        <v>4.92857142857143</v>
      </c>
      <c r="AW47" s="1" t="n">
        <v>4</v>
      </c>
      <c r="AY47" s="1" t="n">
        <v>37</v>
      </c>
      <c r="AZ47" s="1" t="n">
        <f aca="false">IF(BA47=BA46,AZ46+AZ$1,AZ$3-0.5*AZ$1*(COUNTIF(BA$11:BA$1000,BA47)-1))</f>
        <v>1.22127659574468</v>
      </c>
      <c r="BA47" s="1" t="n">
        <v>1</v>
      </c>
      <c r="BB47" s="1" t="n">
        <f aca="false">IF(BC47=BC46,BB46+BB$1,BB$3-0.5*BB$1*(COUNTIF(BC$11:BC$1000,BC47)-1))</f>
        <v>1.87692307692308</v>
      </c>
      <c r="BC47" s="1" t="n">
        <v>4</v>
      </c>
      <c r="BE47" s="1" t="n">
        <f aca="false">IF(BF47=BF46,BE46+BE$1,BE$3-0.5*BE$1*(COUNTIF(BF$11:BF$1000,BF47)-1))</f>
        <v>1.29090909090909</v>
      </c>
      <c r="BF47" s="1" t="n">
        <v>2</v>
      </c>
      <c r="BG47" s="1" t="n">
        <f aca="false">IF(BH47=BH46,BG46+BG$1,BG$3-0.5*BG$1*(COUNTIF(BH$11:BH$1000,BH47)-1))</f>
        <v>2.06666666666667</v>
      </c>
      <c r="BH47" s="1" t="n">
        <v>8</v>
      </c>
    </row>
    <row r="48" customFormat="false" ht="16" hidden="false" customHeight="false" outlineLevel="0" collapsed="false">
      <c r="A48" s="1" t="n">
        <v>38</v>
      </c>
      <c r="B48" s="1" t="n">
        <f aca="false">IF(C48=C47,B47+B$1,B$3-0.5*B$1*(COUNTIF(C$11:C$1000,C48)-1))</f>
        <v>1.13333333333333</v>
      </c>
      <c r="C48" s="1" t="n">
        <v>1</v>
      </c>
      <c r="D48" s="1" t="n">
        <f aca="false">IF(E48=E47,D47+D$1,D$3-0.5*D$1*(COUNTIF(E$11:E$1000,E48)-1))</f>
        <v>2.01927710843374</v>
      </c>
      <c r="E48" s="1" t="n">
        <v>1</v>
      </c>
      <c r="F48" s="1" t="n">
        <f aca="false">IF(G48=G47,F47+F$1,F$3-0.5*F$1*(COUNTIF(G$11:G$1000,G48)-1))</f>
        <v>2.66875</v>
      </c>
      <c r="G48" s="1" t="n">
        <v>2</v>
      </c>
      <c r="H48" s="1" t="n">
        <f aca="false">IF(I48=I47,H47+H$1,H$3-0.5*H$1*(COUNTIF(I$11:I$1000,I48)-1))</f>
        <v>4.14545454545454</v>
      </c>
      <c r="I48" s="1" t="n">
        <v>1</v>
      </c>
      <c r="J48" s="1" t="n">
        <f aca="false">IF(K48=K47,J47+J$1,J$3-0.5*J$1*(COUNTIF(K$11:K$1000,K48)-1))</f>
        <v>4.71506849315069</v>
      </c>
      <c r="K48" s="1" t="n">
        <v>2</v>
      </c>
      <c r="L48" s="1" t="n">
        <f aca="false">IF(M48=M47,L47+L$1,L$3-0.5*L$1*(COUNTIF(M$11:M$1000,M48)-1))</f>
        <v>5.60526315789474</v>
      </c>
      <c r="M48" s="1" t="n">
        <v>2</v>
      </c>
      <c r="O48" s="1" t="n">
        <f aca="false">IF(P48=P47,O47+O$1,O$3-0.5*O$1*(COUNTIF(P$11:P$1000,P48)-1))</f>
        <v>1.13333333333333</v>
      </c>
      <c r="P48" s="1" t="n">
        <v>1</v>
      </c>
      <c r="Q48" s="1" t="n">
        <f aca="false">IF(R48=R47,Q47+Q$1,Q$3-0.5*Q$1*(COUNTIF(R$11:R$1000,R48)-1))</f>
        <v>2.05238095238095</v>
      </c>
      <c r="R48" s="1" t="n">
        <v>1</v>
      </c>
      <c r="S48" s="1" t="n">
        <f aca="false">IF(T48=T47,S47+S$1,S$3-0.5*S$1*(COUNTIF(T$11:T$1000,T48)-1))</f>
        <v>2.84</v>
      </c>
      <c r="T48" s="1" t="n">
        <v>2</v>
      </c>
      <c r="U48" s="1" t="n">
        <f aca="false">IF(V48=V47,U47+U$1,U$3-0.5*U$1*(COUNTIF(V$11:V$1000,V48)-1))</f>
        <v>3.81176470588235</v>
      </c>
      <c r="V48" s="1" t="n">
        <v>2</v>
      </c>
      <c r="W48" s="1" t="n">
        <f aca="false">IF(X48=X47,W47+W$1,W$3-0.5*W$1*(COUNTIF(X$11:X$1000,X48)-1))</f>
        <v>5.14358974358974</v>
      </c>
      <c r="X48" s="1" t="n">
        <v>2</v>
      </c>
      <c r="Y48" s="1" t="n">
        <f aca="false">IF(Z48=Z47,Y47+Y$1,Y$3-0.5*Y$1*(COUNTIF(Z$11:Z$1000,Z48)-1))</f>
        <v>5.73333333333333</v>
      </c>
      <c r="Z48" s="1" t="n">
        <v>3</v>
      </c>
      <c r="AB48" s="1" t="n">
        <v>38</v>
      </c>
      <c r="AC48" s="1" t="n">
        <f aca="false">IF(AD48=AD47,AC47+AC$1,AC$3-0.5*AC$1*(COUNTIF(AD$11:AD$1000,AD48)-1))</f>
        <v>0.942857142857143</v>
      </c>
      <c r="AD48" s="1" t="n">
        <v>1</v>
      </c>
      <c r="AE48" s="1" t="n">
        <f aca="false">IF(AF48=AF47,AE47+AE$1,AE$3-0.5*AE$1*(COUNTIF(AF$11:AF$1000,AF48)-1))</f>
        <v>2.28461538461538</v>
      </c>
      <c r="AF48" s="1" t="n">
        <v>1</v>
      </c>
      <c r="AG48" s="1" t="n">
        <f aca="false">IF(AH48=AH47,AG47+AG$1,AG$3-0.5*AG$1*(COUNTIF(AH$11:AH$1000,AH48)-1))</f>
        <v>2.80377358490566</v>
      </c>
      <c r="AH48" s="1" t="n">
        <v>2</v>
      </c>
      <c r="AI48" s="1" t="n">
        <f aca="false">IF(AJ48=AJ47,AI47+AI$1,AI$3-0.5*AI$1*(COUNTIF(AJ$11:AJ$1000,AJ48)-1))</f>
        <v>4.20571428571428</v>
      </c>
      <c r="AJ48" s="1" t="n">
        <v>2</v>
      </c>
      <c r="AK48" s="1" t="n">
        <f aca="false">IF(AL48=AL47,AK47+AK$1,AK$3-0.5*AK$1*(COUNTIF(AL$11:AL$1000,AL48)-1))</f>
        <v>4.9322033898305</v>
      </c>
      <c r="AL48" s="1" t="n">
        <v>2</v>
      </c>
      <c r="AN48" s="1" t="n">
        <f aca="false">IF(AO48=AO47,AN47+AN$1,AN$3-0.5*AN$1*(COUNTIF(AO$11:AO$1000,AO48)-1))</f>
        <v>0.988461538461537</v>
      </c>
      <c r="AO48" s="1" t="n">
        <v>1</v>
      </c>
      <c r="AP48" s="1" t="n">
        <f aca="false">IF(AQ48=AQ47,AP47+AP$1,AP$3-0.5*AP$1*(COUNTIF(AQ$11:AQ$1000,AQ48)-1))</f>
        <v>1.93191489361702</v>
      </c>
      <c r="AQ48" s="1" t="n">
        <v>2</v>
      </c>
      <c r="AR48" s="1" t="n">
        <f aca="false">IF(AS48=AS47,AR47+AR$1,AR$3-0.5*AR$1*(COUNTIF(AS$11:AS$1000,AS48)-1))</f>
        <v>2.84242424242424</v>
      </c>
      <c r="AS48" s="1" t="n">
        <v>3</v>
      </c>
      <c r="AT48" s="1" t="n">
        <f aca="false">IF(AU48=AU47,AT47+AT$1,AT$3-0.5*AT$1*(COUNTIF(AU$11:AU$1000,AU48)-1))</f>
        <v>4.01739130434783</v>
      </c>
      <c r="AU48" s="1" t="n">
        <v>5</v>
      </c>
      <c r="AV48" s="1" t="n">
        <f aca="false">IF(AW48=AW47,AV47+AV$1,AV$3-0.5*AV$1*(COUNTIF(AW$11:AW$1000,AW48)-1))</f>
        <v>4.95714285714286</v>
      </c>
      <c r="AW48" s="1" t="n">
        <v>4</v>
      </c>
      <c r="AY48" s="1" t="n">
        <v>38</v>
      </c>
      <c r="AZ48" s="1" t="n">
        <f aca="false">IF(BA48=BA47,AZ47+AZ$1,AZ$3-0.5*AZ$1*(COUNTIF(BA$11:BA$1000,BA48)-1))</f>
        <v>1.23829787234043</v>
      </c>
      <c r="BA48" s="1" t="n">
        <v>1</v>
      </c>
      <c r="BB48" s="1" t="n">
        <f aca="false">IF(BC48=BC47,BB47+BB$1,BB$3-0.5*BB$1*(COUNTIF(BC$11:BC$1000,BC48)-1))</f>
        <v>1.90769230769231</v>
      </c>
      <c r="BC48" s="1" t="n">
        <v>4</v>
      </c>
      <c r="BE48" s="1" t="n">
        <f aca="false">IF(BF48=BF47,BE47+BE$1,BE$3-0.5*BE$1*(COUNTIF(BF$11:BF$1000,BF48)-1))</f>
        <v>1.31515151515152</v>
      </c>
      <c r="BF48" s="1" t="n">
        <v>2</v>
      </c>
      <c r="BG48" s="1" t="n">
        <f aca="false">IF(BH48=BH47,BG47+BG$1,BG$3-0.5*BG$1*(COUNTIF(BH$11:BH$1000,BH48)-1))</f>
        <v>2.13333333333333</v>
      </c>
      <c r="BH48" s="1" t="n">
        <v>8</v>
      </c>
    </row>
    <row r="49" customFormat="false" ht="16" hidden="false" customHeight="false" outlineLevel="0" collapsed="false">
      <c r="A49" s="1" t="n">
        <v>39</v>
      </c>
      <c r="B49" s="1" t="n">
        <f aca="false">IF(C49=C48,B48+B$1,B$3-0.5*B$1*(COUNTIF(C$11:C$1000,C49)-1))</f>
        <v>1.14736842105263</v>
      </c>
      <c r="C49" s="1" t="n">
        <v>1</v>
      </c>
      <c r="D49" s="1" t="n">
        <f aca="false">IF(E49=E48,D48+D$1,D$3-0.5*D$1*(COUNTIF(E$11:E$1000,E49)-1))</f>
        <v>2.0289156626506</v>
      </c>
      <c r="E49" s="1" t="n">
        <v>1</v>
      </c>
      <c r="F49" s="1" t="n">
        <f aca="false">IF(G49=G48,F48+F$1,F$3-0.5*F$1*(COUNTIF(G$11:G$1000,G49)-1))</f>
        <v>2.68125</v>
      </c>
      <c r="G49" s="1" t="n">
        <v>2</v>
      </c>
      <c r="H49" s="1" t="n">
        <f aca="false">IF(I49=I48,H48+H$1,H$3-0.5*H$1*(COUNTIF(I$11:I$1000,I49)-1))</f>
        <v>4.15757575757575</v>
      </c>
      <c r="I49" s="1" t="n">
        <v>1</v>
      </c>
      <c r="J49" s="1" t="n">
        <f aca="false">IF(K49=K48,J48+J$1,J$3-0.5*J$1*(COUNTIF(K$11:K$1000,K49)-1))</f>
        <v>4.72602739726028</v>
      </c>
      <c r="K49" s="1" t="n">
        <v>2</v>
      </c>
      <c r="L49" s="1" t="n">
        <f aca="false">IF(M49=M48,L48+L$1,L$3-0.5*L$1*(COUNTIF(M$11:M$1000,M49)-1))</f>
        <v>5.61578947368421</v>
      </c>
      <c r="M49" s="1" t="n">
        <v>2</v>
      </c>
      <c r="O49" s="1" t="n">
        <f aca="false">IF(P49=P48,O48+O$1,O$3-0.5*O$1*(COUNTIF(P$11:P$1000,P49)-1))</f>
        <v>1.14736842105263</v>
      </c>
      <c r="P49" s="1" t="n">
        <v>1</v>
      </c>
      <c r="Q49" s="1" t="n">
        <f aca="false">IF(R49=R48,Q48+Q$1,Q$3-0.5*Q$1*(COUNTIF(R$11:R$1000,R49)-1))</f>
        <v>2.06190476190476</v>
      </c>
      <c r="R49" s="1" t="n">
        <v>1</v>
      </c>
      <c r="S49" s="1" t="n">
        <f aca="false">IF(T49=T48,S48+S$1,S$3-0.5*S$1*(COUNTIF(T$11:T$1000,T49)-1))</f>
        <v>2.85454545454546</v>
      </c>
      <c r="T49" s="1" t="n">
        <v>2</v>
      </c>
      <c r="U49" s="1" t="n">
        <f aca="false">IF(V49=V48,U48+U$1,U$3-0.5*U$1*(COUNTIF(V$11:V$1000,V49)-1))</f>
        <v>3.82745098039216</v>
      </c>
      <c r="V49" s="1" t="n">
        <v>2</v>
      </c>
      <c r="W49" s="1" t="n">
        <f aca="false">IF(X49=X48,W48+W$1,W$3-0.5*W$1*(COUNTIF(X$11:X$1000,X49)-1))</f>
        <v>5.16410256410256</v>
      </c>
      <c r="X49" s="1" t="n">
        <v>2</v>
      </c>
      <c r="Y49" s="1" t="n">
        <f aca="false">IF(Z49=Z48,Y48+Y$1,Y$3-0.5*Y$1*(COUNTIF(Z$11:Z$1000,Z49)-1))</f>
        <v>5.75384615384615</v>
      </c>
      <c r="Z49" s="1" t="n">
        <v>3</v>
      </c>
      <c r="AB49" s="1" t="n">
        <v>39</v>
      </c>
      <c r="AC49" s="1" t="n">
        <f aca="false">IF(AD49=AD48,AC48+AC$1,AC$3-0.5*AC$1*(COUNTIF(AD$11:AD$1000,AD49)-1))</f>
        <v>0.950476190476191</v>
      </c>
      <c r="AD49" s="1" t="n">
        <v>1</v>
      </c>
      <c r="AE49" s="1" t="n">
        <f aca="false">IF(AF49=AF48,AE48+AE$1,AE$3-0.5*AE$1*(COUNTIF(AF$11:AF$1000,AF49)-1))</f>
        <v>1.60769230769231</v>
      </c>
      <c r="AF49" s="1" t="n">
        <v>2</v>
      </c>
      <c r="AG49" s="1" t="n">
        <f aca="false">IF(AH49=AH48,AG48+AG$1,AG$3-0.5*AG$1*(COUNTIF(AH$11:AH$1000,AH49)-1))</f>
        <v>2.8188679245283</v>
      </c>
      <c r="AH49" s="1" t="n">
        <v>2</v>
      </c>
      <c r="AI49" s="1" t="n">
        <f aca="false">IF(AJ49=AJ48,AI48+AI$1,AI$3-0.5*AI$1*(COUNTIF(AJ$11:AJ$1000,AJ49)-1))</f>
        <v>4.22857142857143</v>
      </c>
      <c r="AJ49" s="1" t="n">
        <v>2</v>
      </c>
      <c r="AK49" s="1" t="n">
        <f aca="false">IF(AL49=AL48,AK48+AK$1,AK$3-0.5*AK$1*(COUNTIF(AL$11:AL$1000,AL49)-1))</f>
        <v>4.9457627118644</v>
      </c>
      <c r="AL49" s="1" t="n">
        <v>2</v>
      </c>
      <c r="AN49" s="1" t="n">
        <f aca="false">IF(AO49=AO48,AN48+AN$1,AN$3-0.5*AN$1*(COUNTIF(AO$11:AO$1000,AO49)-1))</f>
        <v>0.996153846153845</v>
      </c>
      <c r="AO49" s="1" t="n">
        <v>1</v>
      </c>
      <c r="AP49" s="1" t="n">
        <f aca="false">IF(AQ49=AQ48,AP48+AP$1,AP$3-0.5*AP$1*(COUNTIF(AQ$11:AQ$1000,AQ49)-1))</f>
        <v>1.94893617021277</v>
      </c>
      <c r="AQ49" s="1" t="n">
        <v>2</v>
      </c>
      <c r="AR49" s="1" t="n">
        <f aca="false">IF(AS49=AS48,AR48+AR$1,AR$3-0.5*AR$1*(COUNTIF(AS$11:AS$1000,AS49)-1))</f>
        <v>2.86666666666667</v>
      </c>
      <c r="AS49" s="1" t="n">
        <v>3</v>
      </c>
      <c r="AT49" s="1" t="n">
        <f aca="false">IF(AU49=AU48,AT48+AT$1,AT$3-0.5*AT$1*(COUNTIF(AU$11:AU$1000,AU49)-1))</f>
        <v>4.05217391304348</v>
      </c>
      <c r="AU49" s="1" t="n">
        <v>5</v>
      </c>
      <c r="AV49" s="1" t="n">
        <f aca="false">IF(AW49=AW48,AV48+AV$1,AV$3-0.5*AV$1*(COUNTIF(AW$11:AW$1000,AW49)-1))</f>
        <v>4.98571428571428</v>
      </c>
      <c r="AW49" s="1" t="n">
        <v>4</v>
      </c>
      <c r="AY49" s="1" t="n">
        <v>39</v>
      </c>
      <c r="AZ49" s="1" t="n">
        <f aca="false">IF(BA49=BA48,AZ48+AZ$1,AZ$3-0.5*AZ$1*(COUNTIF(BA$11:BA$1000,BA49)-1))</f>
        <v>1.25531914893617</v>
      </c>
      <c r="BA49" s="1" t="n">
        <v>1</v>
      </c>
      <c r="BB49" s="1" t="n">
        <f aca="false">IF(BC49=BC48,BB48+BB$1,BB$3-0.5*BB$1*(COUNTIF(BC$11:BC$1000,BC49)-1))</f>
        <v>1.93846153846154</v>
      </c>
      <c r="BC49" s="1" t="n">
        <v>4</v>
      </c>
      <c r="BE49" s="1" t="n">
        <f aca="false">IF(BF49=BF48,BE48+BE$1,BE$3-0.5*BE$1*(COUNTIF(BF$11:BF$1000,BF49)-1))</f>
        <v>1.33939393939394</v>
      </c>
      <c r="BF49" s="1" t="n">
        <v>2</v>
      </c>
      <c r="BG49" s="1" t="n">
        <f aca="false">IF(BH49=BH48,BG48+BG$1,BG$3-0.5*BG$1*(COUNTIF(BH$11:BH$1000,BH49)-1))</f>
        <v>2.2</v>
      </c>
      <c r="BH49" s="1" t="n">
        <v>8</v>
      </c>
    </row>
    <row r="50" customFormat="false" ht="16" hidden="false" customHeight="false" outlineLevel="0" collapsed="false">
      <c r="A50" s="1" t="n">
        <v>40</v>
      </c>
      <c r="B50" s="1" t="n">
        <f aca="false">IF(C50=C49,B49+B$1,B$3-0.5*B$1*(COUNTIF(C$11:C$1000,C50)-1))</f>
        <v>1.16140350877193</v>
      </c>
      <c r="C50" s="1" t="n">
        <v>1</v>
      </c>
      <c r="D50" s="1" t="n">
        <f aca="false">IF(E50=E49,D49+D$1,D$3-0.5*D$1*(COUNTIF(E$11:E$1000,E50)-1))</f>
        <v>2.03855421686747</v>
      </c>
      <c r="E50" s="1" t="n">
        <v>1</v>
      </c>
      <c r="F50" s="1" t="n">
        <f aca="false">IF(G50=G49,F49+F$1,F$3-0.5*F$1*(COUNTIF(G$11:G$1000,G50)-1))</f>
        <v>2.69375</v>
      </c>
      <c r="G50" s="1" t="n">
        <v>2</v>
      </c>
      <c r="H50" s="1" t="n">
        <f aca="false">IF(I50=I49,H49+H$1,H$3-0.5*H$1*(COUNTIF(I$11:I$1000,I50)-1))</f>
        <v>4.16969696969697</v>
      </c>
      <c r="I50" s="1" t="n">
        <v>1</v>
      </c>
      <c r="J50" s="1" t="n">
        <f aca="false">IF(K50=K49,J49+J$1,J$3-0.5*J$1*(COUNTIF(K$11:K$1000,K50)-1))</f>
        <v>4.73698630136987</v>
      </c>
      <c r="K50" s="1" t="n">
        <v>2</v>
      </c>
      <c r="L50" s="1" t="n">
        <f aca="false">IF(M50=M49,L49+L$1,L$3-0.5*L$1*(COUNTIF(M$11:M$1000,M50)-1))</f>
        <v>5.62631578947368</v>
      </c>
      <c r="M50" s="1" t="n">
        <v>2</v>
      </c>
      <c r="O50" s="1" t="n">
        <f aca="false">IF(P50=P49,O49+O$1,O$3-0.5*O$1*(COUNTIF(P$11:P$1000,P50)-1))</f>
        <v>1.16140350877193</v>
      </c>
      <c r="P50" s="1" t="n">
        <v>1</v>
      </c>
      <c r="Q50" s="1" t="n">
        <f aca="false">IF(R50=R49,Q49+Q$1,Q$3-0.5*Q$1*(COUNTIF(R$11:R$1000,R50)-1))</f>
        <v>2.07142857142857</v>
      </c>
      <c r="R50" s="1" t="n">
        <v>1</v>
      </c>
      <c r="S50" s="1" t="n">
        <f aca="false">IF(T50=T49,S49+S$1,S$3-0.5*S$1*(COUNTIF(T$11:T$1000,T50)-1))</f>
        <v>2.86909090909091</v>
      </c>
      <c r="T50" s="1" t="n">
        <v>2</v>
      </c>
      <c r="U50" s="1" t="n">
        <f aca="false">IF(V50=V49,U49+U$1,U$3-0.5*U$1*(COUNTIF(V$11:V$1000,V50)-1))</f>
        <v>3.84313725490196</v>
      </c>
      <c r="V50" s="1" t="n">
        <v>2</v>
      </c>
      <c r="W50" s="1" t="n">
        <f aca="false">IF(X50=X49,W49+W$1,W$3-0.5*W$1*(COUNTIF(X$11:X$1000,X50)-1))</f>
        <v>5.18461538461538</v>
      </c>
      <c r="X50" s="1" t="n">
        <v>2</v>
      </c>
      <c r="Y50" s="1" t="n">
        <f aca="false">IF(Z50=Z49,Y49+Y$1,Y$3-0.5*Y$1*(COUNTIF(Z$11:Z$1000,Z50)-1))</f>
        <v>5.77435897435897</v>
      </c>
      <c r="Z50" s="1" t="n">
        <v>3</v>
      </c>
      <c r="AB50" s="1" t="n">
        <v>40</v>
      </c>
      <c r="AC50" s="1" t="n">
        <f aca="false">IF(AD50=AD49,AC49+AC$1,AC$3-0.5*AC$1*(COUNTIF(AD$11:AD$1000,AD50)-1))</f>
        <v>0.958095238095239</v>
      </c>
      <c r="AD50" s="1" t="n">
        <v>1</v>
      </c>
      <c r="AE50" s="1" t="n">
        <f aca="false">IF(AF50=AF49,AE49+AE$1,AE$3-0.5*AE$1*(COUNTIF(AF$11:AF$1000,AF50)-1))</f>
        <v>1.62307692307692</v>
      </c>
      <c r="AF50" s="1" t="n">
        <v>2</v>
      </c>
      <c r="AG50" s="1" t="n">
        <f aca="false">IF(AH50=AH49,AG49+AG$1,AG$3-0.5*AG$1*(COUNTIF(AH$11:AH$1000,AH50)-1))</f>
        <v>2.83396226415094</v>
      </c>
      <c r="AH50" s="1" t="n">
        <v>2</v>
      </c>
      <c r="AI50" s="1" t="n">
        <f aca="false">IF(AJ50=AJ49,AI49+AI$1,AI$3-0.5*AI$1*(COUNTIF(AJ$11:AJ$1000,AJ50)-1))</f>
        <v>4.25142857142857</v>
      </c>
      <c r="AJ50" s="1" t="n">
        <v>2</v>
      </c>
      <c r="AK50" s="1" t="n">
        <f aca="false">IF(AL50=AL49,AK49+AK$1,AK$3-0.5*AK$1*(COUNTIF(AL$11:AL$1000,AL50)-1))</f>
        <v>4.9593220338983</v>
      </c>
      <c r="AL50" s="1" t="n">
        <v>2</v>
      </c>
      <c r="AN50" s="1" t="n">
        <f aca="false">IF(AO50=AO49,AN49+AN$1,AN$3-0.5*AN$1*(COUNTIF(AO$11:AO$1000,AO50)-1))</f>
        <v>1.00384615384615</v>
      </c>
      <c r="AO50" s="1" t="n">
        <v>1</v>
      </c>
      <c r="AP50" s="1" t="n">
        <f aca="false">IF(AQ50=AQ49,AP49+AP$1,AP$3-0.5*AP$1*(COUNTIF(AQ$11:AQ$1000,AQ50)-1))</f>
        <v>1.96595744680851</v>
      </c>
      <c r="AQ50" s="1" t="n">
        <v>2</v>
      </c>
      <c r="AR50" s="1" t="n">
        <f aca="false">IF(AS50=AS49,AR49+AR$1,AR$3-0.5*AR$1*(COUNTIF(AS$11:AS$1000,AS50)-1))</f>
        <v>2.89090909090909</v>
      </c>
      <c r="AS50" s="1" t="n">
        <v>3</v>
      </c>
      <c r="AT50" s="1" t="n">
        <f aca="false">IF(AU50=AU49,AT49+AT$1,AT$3-0.5*AT$1*(COUNTIF(AU$11:AU$1000,AU50)-1))</f>
        <v>4.08695652173913</v>
      </c>
      <c r="AU50" s="1" t="n">
        <v>5</v>
      </c>
      <c r="AV50" s="1" t="n">
        <f aca="false">IF(AW50=AW49,AV49+AV$1,AV$3-0.5*AV$1*(COUNTIF(AW$11:AW$1000,AW50)-1))</f>
        <v>5.01428571428571</v>
      </c>
      <c r="AW50" s="1" t="n">
        <v>4</v>
      </c>
      <c r="AY50" s="1" t="n">
        <v>40</v>
      </c>
      <c r="AZ50" s="1" t="n">
        <f aca="false">IF(BA50=BA49,AZ49+AZ$1,AZ$3-0.5*AZ$1*(COUNTIF(BA$11:BA$1000,BA50)-1))</f>
        <v>1.27234042553192</v>
      </c>
      <c r="BA50" s="1" t="n">
        <v>1</v>
      </c>
      <c r="BB50" s="1" t="n">
        <f aca="false">IF(BC50=BC49,BB49+BB$1,BB$3-0.5*BB$1*(COUNTIF(BC$11:BC$1000,BC50)-1))</f>
        <v>1.96923076923077</v>
      </c>
      <c r="BC50" s="1" t="n">
        <v>4</v>
      </c>
      <c r="BE50" s="1" t="n">
        <f aca="false">IF(BF50=BF49,BE49+BE$1,BE$3-0.5*BE$1*(COUNTIF(BF$11:BF$1000,BF50)-1))</f>
        <v>1.36363636363636</v>
      </c>
      <c r="BF50" s="1" t="n">
        <v>2</v>
      </c>
      <c r="BG50" s="1" t="n">
        <f aca="false">IF(BH50=BH49,BG49+BG$1,BG$3-0.5*BG$1*(COUNTIF(BH$11:BH$1000,BH50)-1))</f>
        <v>2</v>
      </c>
      <c r="BH50" s="1" t="n">
        <v>9</v>
      </c>
    </row>
    <row r="51" customFormat="false" ht="16" hidden="false" customHeight="false" outlineLevel="0" collapsed="false">
      <c r="A51" s="1" t="n">
        <v>41</v>
      </c>
      <c r="B51" s="1" t="n">
        <f aca="false">IF(C51=C50,B50+B$1,B$3-0.5*B$1*(COUNTIF(C$11:C$1000,C51)-1))</f>
        <v>1.17543859649123</v>
      </c>
      <c r="C51" s="1" t="n">
        <v>1</v>
      </c>
      <c r="D51" s="1" t="n">
        <f aca="false">IF(E51=E50,D50+D$1,D$3-0.5*D$1*(COUNTIF(E$11:E$1000,E51)-1))</f>
        <v>2.04819277108434</v>
      </c>
      <c r="E51" s="1" t="n">
        <v>1</v>
      </c>
      <c r="F51" s="1" t="n">
        <f aca="false">IF(G51=G50,F50+F$1,F$3-0.5*F$1*(COUNTIF(G$11:G$1000,G51)-1))</f>
        <v>2.70625</v>
      </c>
      <c r="G51" s="1" t="n">
        <v>2</v>
      </c>
      <c r="H51" s="1" t="n">
        <f aca="false">IF(I51=I50,H50+H$1,H$3-0.5*H$1*(COUNTIF(I$11:I$1000,I51)-1))</f>
        <v>4.18181818181818</v>
      </c>
      <c r="I51" s="1" t="n">
        <v>1</v>
      </c>
      <c r="J51" s="1" t="n">
        <f aca="false">IF(K51=K50,J50+J$1,J$3-0.5*J$1*(COUNTIF(K$11:K$1000,K51)-1))</f>
        <v>4.74794520547946</v>
      </c>
      <c r="K51" s="1" t="n">
        <v>2</v>
      </c>
      <c r="L51" s="1" t="n">
        <f aca="false">IF(M51=M50,L50+L$1,L$3-0.5*L$1*(COUNTIF(M$11:M$1000,M51)-1))</f>
        <v>5.63684210526316</v>
      </c>
      <c r="M51" s="1" t="n">
        <v>2</v>
      </c>
      <c r="O51" s="1" t="n">
        <f aca="false">IF(P51=P50,O50+O$1,O$3-0.5*O$1*(COUNTIF(P$11:P$1000,P51)-1))</f>
        <v>1.17543859649123</v>
      </c>
      <c r="P51" s="1" t="n">
        <v>1</v>
      </c>
      <c r="Q51" s="1" t="n">
        <f aca="false">IF(R51=R50,Q50+Q$1,Q$3-0.5*Q$1*(COUNTIF(R$11:R$1000,R51)-1))</f>
        <v>2.08095238095238</v>
      </c>
      <c r="R51" s="1" t="n">
        <v>1</v>
      </c>
      <c r="S51" s="1" t="n">
        <f aca="false">IF(T51=T50,S50+S$1,S$3-0.5*S$1*(COUNTIF(T$11:T$1000,T51)-1))</f>
        <v>2.88363636363637</v>
      </c>
      <c r="T51" s="1" t="n">
        <v>2</v>
      </c>
      <c r="U51" s="1" t="n">
        <f aca="false">IF(V51=V50,U50+U$1,U$3-0.5*U$1*(COUNTIF(V$11:V$1000,V51)-1))</f>
        <v>3.85882352941176</v>
      </c>
      <c r="V51" s="1" t="n">
        <v>2</v>
      </c>
      <c r="W51" s="1" t="n">
        <f aca="false">IF(X51=X50,W50+W$1,W$3-0.5*W$1*(COUNTIF(X$11:X$1000,X51)-1))</f>
        <v>5.2051282051282</v>
      </c>
      <c r="X51" s="1" t="n">
        <v>2</v>
      </c>
      <c r="Y51" s="1" t="n">
        <f aca="false">IF(Z51=Z50,Y50+Y$1,Y$3-0.5*Y$1*(COUNTIF(Z$11:Z$1000,Z51)-1))</f>
        <v>5.7948717948718</v>
      </c>
      <c r="Z51" s="1" t="n">
        <v>3</v>
      </c>
      <c r="AB51" s="1" t="n">
        <v>41</v>
      </c>
      <c r="AC51" s="1" t="n">
        <f aca="false">IF(AD51=AD50,AC50+AC$1,AC$3-0.5*AC$1*(COUNTIF(AD$11:AD$1000,AD51)-1))</f>
        <v>0.965714285714286</v>
      </c>
      <c r="AD51" s="1" t="n">
        <v>1</v>
      </c>
      <c r="AE51" s="1" t="n">
        <f aca="false">IF(AF51=AF50,AE50+AE$1,AE$3-0.5*AE$1*(COUNTIF(AF$11:AF$1000,AF51)-1))</f>
        <v>1.63846153846154</v>
      </c>
      <c r="AF51" s="1" t="n">
        <v>2</v>
      </c>
      <c r="AG51" s="1" t="n">
        <f aca="false">IF(AH51=AH50,AG50+AG$1,AG$3-0.5*AG$1*(COUNTIF(AH$11:AH$1000,AH51)-1))</f>
        <v>2.84905660377358</v>
      </c>
      <c r="AH51" s="1" t="n">
        <v>2</v>
      </c>
      <c r="AI51" s="1" t="n">
        <f aca="false">IF(AJ51=AJ50,AI50+AI$1,AI$3-0.5*AI$1*(COUNTIF(AJ$11:AJ$1000,AJ51)-1))</f>
        <v>4.27428571428571</v>
      </c>
      <c r="AJ51" s="1" t="n">
        <v>2</v>
      </c>
      <c r="AK51" s="1" t="n">
        <f aca="false">IF(AL51=AL50,AK50+AK$1,AK$3-0.5*AK$1*(COUNTIF(AL$11:AL$1000,AL51)-1))</f>
        <v>4.9728813559322</v>
      </c>
      <c r="AL51" s="1" t="n">
        <v>2</v>
      </c>
      <c r="AN51" s="1" t="n">
        <f aca="false">IF(AO51=AO50,AN50+AN$1,AN$3-0.5*AN$1*(COUNTIF(AO$11:AO$1000,AO51)-1))</f>
        <v>1.01153846153846</v>
      </c>
      <c r="AO51" s="1" t="n">
        <v>1</v>
      </c>
      <c r="AP51" s="1" t="n">
        <f aca="false">IF(AQ51=AQ50,AP50+AP$1,AP$3-0.5*AP$1*(COUNTIF(AQ$11:AQ$1000,AQ51)-1))</f>
        <v>1.98297872340426</v>
      </c>
      <c r="AQ51" s="1" t="n">
        <v>2</v>
      </c>
      <c r="AR51" s="1" t="n">
        <f aca="false">IF(AS51=AS50,AR50+AR$1,AR$3-0.5*AR$1*(COUNTIF(AS$11:AS$1000,AS51)-1))</f>
        <v>2.91515151515152</v>
      </c>
      <c r="AS51" s="1" t="n">
        <v>3</v>
      </c>
      <c r="AT51" s="1" t="n">
        <f aca="false">IF(AU51=AU50,AT50+AT$1,AT$3-0.5*AT$1*(COUNTIF(AU$11:AU$1000,AU51)-1))</f>
        <v>4.12173913043478</v>
      </c>
      <c r="AU51" s="1" t="n">
        <v>5</v>
      </c>
      <c r="AV51" s="1" t="n">
        <f aca="false">IF(AW51=AW50,AV50+AV$1,AV$3-0.5*AV$1*(COUNTIF(AW$11:AW$1000,AW51)-1))</f>
        <v>5.04285714285714</v>
      </c>
      <c r="AW51" s="1" t="n">
        <v>4</v>
      </c>
      <c r="AY51" s="1" t="n">
        <v>41</v>
      </c>
      <c r="AZ51" s="1" t="n">
        <f aca="false">IF(BA51=BA50,AZ50+AZ$1,AZ$3-0.5*AZ$1*(COUNTIF(BA$11:BA$1000,BA51)-1))</f>
        <v>1.28936170212766</v>
      </c>
      <c r="BA51" s="1" t="n">
        <v>1</v>
      </c>
      <c r="BB51" s="1" t="n">
        <f aca="false">IF(BC51=BC50,BB50+BB$1,BB$3-0.5*BB$1*(COUNTIF(BC$11:BC$1000,BC51)-1))</f>
        <v>2</v>
      </c>
      <c r="BC51" s="1" t="n">
        <v>4</v>
      </c>
      <c r="BE51" s="1" t="n">
        <f aca="false">IF(BF51=BF50,BE50+BE$1,BE$3-0.5*BE$1*(COUNTIF(BF$11:BF$1000,BF51)-1))</f>
        <v>1.38787878787879</v>
      </c>
      <c r="BF51" s="1" t="n">
        <v>2</v>
      </c>
      <c r="BG51" s="1" t="n">
        <f aca="false">IF(BH51=BH50,BG50+BG$1,BG$3-0.5*BG$1*(COUNTIF(BH$11:BH$1000,BH51)-1))</f>
        <v>1.86666666666667</v>
      </c>
      <c r="BH51" s="1" t="n">
        <v>10</v>
      </c>
    </row>
    <row r="52" customFormat="false" ht="16" hidden="false" customHeight="false" outlineLevel="0" collapsed="false">
      <c r="A52" s="1" t="n">
        <v>42</v>
      </c>
      <c r="B52" s="1" t="n">
        <f aca="false">IF(C52=C51,B51+B$1,B$3-0.5*B$1*(COUNTIF(C$11:C$1000,C52)-1))</f>
        <v>1.18947368421053</v>
      </c>
      <c r="C52" s="1" t="n">
        <v>1</v>
      </c>
      <c r="D52" s="1" t="n">
        <f aca="false">IF(E52=E51,D51+D$1,D$3-0.5*D$1*(COUNTIF(E$11:E$1000,E52)-1))</f>
        <v>2.05783132530121</v>
      </c>
      <c r="E52" s="1" t="n">
        <v>1</v>
      </c>
      <c r="F52" s="1" t="n">
        <f aca="false">IF(G52=G51,F51+F$1,F$3-0.5*F$1*(COUNTIF(G$11:G$1000,G52)-1))</f>
        <v>2.71875</v>
      </c>
      <c r="G52" s="1" t="n">
        <v>2</v>
      </c>
      <c r="H52" s="1" t="n">
        <f aca="false">IF(I52=I51,H51+H$1,H$3-0.5*H$1*(COUNTIF(I$11:I$1000,I52)-1))</f>
        <v>4.19393939393939</v>
      </c>
      <c r="I52" s="1" t="n">
        <v>1</v>
      </c>
      <c r="J52" s="1" t="n">
        <f aca="false">IF(K52=K51,J51+J$1,J$3-0.5*J$1*(COUNTIF(K$11:K$1000,K52)-1))</f>
        <v>4.75890410958905</v>
      </c>
      <c r="K52" s="1" t="n">
        <v>2</v>
      </c>
      <c r="L52" s="1" t="n">
        <f aca="false">IF(M52=M51,L51+L$1,L$3-0.5*L$1*(COUNTIF(M$11:M$1000,M52)-1))</f>
        <v>5.64736842105263</v>
      </c>
      <c r="M52" s="1" t="n">
        <v>2</v>
      </c>
      <c r="O52" s="1" t="n">
        <f aca="false">IF(P52=P51,O51+O$1,O$3-0.5*O$1*(COUNTIF(P$11:P$1000,P52)-1))</f>
        <v>1.18947368421053</v>
      </c>
      <c r="P52" s="1" t="n">
        <v>1</v>
      </c>
      <c r="Q52" s="1" t="n">
        <f aca="false">IF(R52=R51,Q51+Q$1,Q$3-0.5*Q$1*(COUNTIF(R$11:R$1000,R52)-1))</f>
        <v>2.09047619047619</v>
      </c>
      <c r="R52" s="1" t="n">
        <v>1</v>
      </c>
      <c r="S52" s="1" t="n">
        <f aca="false">IF(T52=T51,S51+S$1,S$3-0.5*S$1*(COUNTIF(T$11:T$1000,T52)-1))</f>
        <v>2.89818181818182</v>
      </c>
      <c r="T52" s="1" t="n">
        <v>2</v>
      </c>
      <c r="U52" s="1" t="n">
        <f aca="false">IF(V52=V51,U51+U$1,U$3-0.5*U$1*(COUNTIF(V$11:V$1000,V52)-1))</f>
        <v>3.87450980392157</v>
      </c>
      <c r="V52" s="1" t="n">
        <v>2</v>
      </c>
      <c r="W52" s="1" t="n">
        <f aca="false">IF(X52=X51,W51+W$1,W$3-0.5*W$1*(COUNTIF(X$11:X$1000,X52)-1))</f>
        <v>5.22564102564102</v>
      </c>
      <c r="X52" s="1" t="n">
        <v>2</v>
      </c>
      <c r="Y52" s="1" t="n">
        <f aca="false">IF(Z52=Z51,Y51+Y$1,Y$3-0.5*Y$1*(COUNTIF(Z$11:Z$1000,Z52)-1))</f>
        <v>5.81538461538462</v>
      </c>
      <c r="Z52" s="1" t="n">
        <v>3</v>
      </c>
      <c r="AB52" s="1" t="n">
        <v>42</v>
      </c>
      <c r="AC52" s="1" t="n">
        <f aca="false">IF(AD52=AD51,AC51+AC$1,AC$3-0.5*AC$1*(COUNTIF(AD$11:AD$1000,AD52)-1))</f>
        <v>0.973333333333334</v>
      </c>
      <c r="AD52" s="1" t="n">
        <v>1</v>
      </c>
      <c r="AE52" s="1" t="n">
        <f aca="false">IF(AF52=AF51,AE51+AE$1,AE$3-0.5*AE$1*(COUNTIF(AF$11:AF$1000,AF52)-1))</f>
        <v>1.65384615384615</v>
      </c>
      <c r="AF52" s="1" t="n">
        <v>2</v>
      </c>
      <c r="AG52" s="1" t="n">
        <f aca="false">IF(AH52=AH51,AG51+AG$1,AG$3-0.5*AG$1*(COUNTIF(AH$11:AH$1000,AH52)-1))</f>
        <v>2.86415094339623</v>
      </c>
      <c r="AH52" s="1" t="n">
        <v>2</v>
      </c>
      <c r="AI52" s="1" t="n">
        <f aca="false">IF(AJ52=AJ51,AI51+AI$1,AI$3-0.5*AI$1*(COUNTIF(AJ$11:AJ$1000,AJ52)-1))</f>
        <v>4.29714285714286</v>
      </c>
      <c r="AJ52" s="1" t="n">
        <v>2</v>
      </c>
      <c r="AK52" s="1" t="n">
        <f aca="false">IF(AL52=AL51,AK51+AK$1,AK$3-0.5*AK$1*(COUNTIF(AL$11:AL$1000,AL52)-1))</f>
        <v>4.9864406779661</v>
      </c>
      <c r="AL52" s="1" t="n">
        <v>2</v>
      </c>
      <c r="AN52" s="1" t="n">
        <f aca="false">IF(AO52=AO51,AN51+AN$1,AN$3-0.5*AN$1*(COUNTIF(AO$11:AO$1000,AO52)-1))</f>
        <v>1.01923076923077</v>
      </c>
      <c r="AO52" s="1" t="n">
        <v>1</v>
      </c>
      <c r="AP52" s="1" t="n">
        <f aca="false">IF(AQ52=AQ51,AP51+AP$1,AP$3-0.5*AP$1*(COUNTIF(AQ$11:AQ$1000,AQ52)-1))</f>
        <v>2</v>
      </c>
      <c r="AQ52" s="1" t="n">
        <v>2</v>
      </c>
      <c r="AR52" s="1" t="n">
        <f aca="false">IF(AS52=AS51,AR51+AR$1,AR$3-0.5*AR$1*(COUNTIF(AS$11:AS$1000,AS52)-1))</f>
        <v>2.93939393939394</v>
      </c>
      <c r="AS52" s="1" t="n">
        <v>3</v>
      </c>
      <c r="AT52" s="1" t="n">
        <f aca="false">IF(AU52=AU51,AT51+AT$1,AT$3-0.5*AT$1*(COUNTIF(AU$11:AU$1000,AU52)-1))</f>
        <v>4.15652173913043</v>
      </c>
      <c r="AU52" s="1" t="n">
        <v>5</v>
      </c>
      <c r="AV52" s="1" t="n">
        <f aca="false">IF(AW52=AW51,AV51+AV$1,AV$3-0.5*AV$1*(COUNTIF(AW$11:AW$1000,AW52)-1))</f>
        <v>5.07142857142857</v>
      </c>
      <c r="AW52" s="1" t="n">
        <v>4</v>
      </c>
      <c r="AY52" s="1" t="n">
        <v>42</v>
      </c>
      <c r="AZ52" s="1" t="n">
        <f aca="false">IF(BA52=BA51,AZ51+AZ$1,AZ$3-0.5*AZ$1*(COUNTIF(BA$11:BA$1000,BA52)-1))</f>
        <v>1.30638297872341</v>
      </c>
      <c r="BA52" s="1" t="n">
        <v>1</v>
      </c>
      <c r="BB52" s="1" t="n">
        <f aca="false">IF(BC52=BC51,BB51+BB$1,BB$3-0.5*BB$1*(COUNTIF(BC$11:BC$1000,BC52)-1))</f>
        <v>2.03076923076923</v>
      </c>
      <c r="BC52" s="1" t="n">
        <v>4</v>
      </c>
      <c r="BE52" s="1" t="n">
        <f aca="false">IF(BF52=BF51,BE51+BE$1,BE$3-0.5*BE$1*(COUNTIF(BF$11:BF$1000,BF52)-1))</f>
        <v>0.818181818181818</v>
      </c>
      <c r="BF52" s="1" t="n">
        <v>3</v>
      </c>
      <c r="BG52" s="1" t="n">
        <f aca="false">IF(BH52=BH51,BG51+BG$1,BG$3-0.5*BG$1*(COUNTIF(BH$11:BH$1000,BH52)-1))</f>
        <v>1.93333333333333</v>
      </c>
      <c r="BH52" s="1" t="n">
        <v>10</v>
      </c>
    </row>
    <row r="53" customFormat="false" ht="16" hidden="false" customHeight="false" outlineLevel="0" collapsed="false">
      <c r="A53" s="1" t="n">
        <v>43</v>
      </c>
      <c r="B53" s="1" t="n">
        <f aca="false">IF(C53=C52,B52+B$1,B$3-0.5*B$1*(COUNTIF(C$11:C$1000,C53)-1))</f>
        <v>1.20350877192983</v>
      </c>
      <c r="C53" s="1" t="n">
        <v>1</v>
      </c>
      <c r="D53" s="1" t="n">
        <f aca="false">IF(E53=E52,D52+D$1,D$3-0.5*D$1*(COUNTIF(E$11:E$1000,E53)-1))</f>
        <v>2.06746987951807</v>
      </c>
      <c r="E53" s="1" t="n">
        <v>1</v>
      </c>
      <c r="F53" s="1" t="n">
        <f aca="false">IF(G53=G52,F52+F$1,F$3-0.5*F$1*(COUNTIF(G$11:G$1000,G53)-1))</f>
        <v>2.73125</v>
      </c>
      <c r="G53" s="1" t="n">
        <v>2</v>
      </c>
      <c r="H53" s="1" t="n">
        <f aca="false">IF(I53=I52,H52+H$1,H$3-0.5*H$1*(COUNTIF(I$11:I$1000,I53)-1))</f>
        <v>4.2060606060606</v>
      </c>
      <c r="I53" s="1" t="n">
        <v>1</v>
      </c>
      <c r="J53" s="1" t="n">
        <f aca="false">IF(K53=K52,J52+J$1,J$3-0.5*J$1*(COUNTIF(K$11:K$1000,K53)-1))</f>
        <v>4.76986301369864</v>
      </c>
      <c r="K53" s="1" t="n">
        <v>2</v>
      </c>
      <c r="L53" s="1" t="n">
        <f aca="false">IF(M53=M52,L52+L$1,L$3-0.5*L$1*(COUNTIF(M$11:M$1000,M53)-1))</f>
        <v>5.6578947368421</v>
      </c>
      <c r="M53" s="1" t="n">
        <v>2</v>
      </c>
      <c r="O53" s="1" t="n">
        <f aca="false">IF(P53=P52,O52+O$1,O$3-0.5*O$1*(COUNTIF(P$11:P$1000,P53)-1))</f>
        <v>1.20350877192983</v>
      </c>
      <c r="P53" s="1" t="n">
        <v>1</v>
      </c>
      <c r="Q53" s="1" t="n">
        <f aca="false">IF(R53=R52,Q52+Q$1,Q$3-0.5*Q$1*(COUNTIF(R$11:R$1000,R53)-1))</f>
        <v>2.1</v>
      </c>
      <c r="R53" s="1" t="n">
        <v>1</v>
      </c>
      <c r="S53" s="1" t="n">
        <f aca="false">IF(T53=T52,S52+S$1,S$3-0.5*S$1*(COUNTIF(T$11:T$1000,T53)-1))</f>
        <v>2.91272727272727</v>
      </c>
      <c r="T53" s="1" t="n">
        <v>2</v>
      </c>
      <c r="U53" s="1" t="n">
        <f aca="false">IF(V53=V52,U52+U$1,U$3-0.5*U$1*(COUNTIF(V$11:V$1000,V53)-1))</f>
        <v>3.89019607843137</v>
      </c>
      <c r="V53" s="1" t="n">
        <v>2</v>
      </c>
      <c r="W53" s="1" t="n">
        <f aca="false">IF(X53=X52,W52+W$1,W$3-0.5*W$1*(COUNTIF(X$11:X$1000,X53)-1))</f>
        <v>5.24615384615384</v>
      </c>
      <c r="X53" s="1" t="n">
        <v>2</v>
      </c>
      <c r="Y53" s="1" t="n">
        <f aca="false">IF(Z53=Z52,Y52+Y$1,Y$3-0.5*Y$1*(COUNTIF(Z$11:Z$1000,Z53)-1))</f>
        <v>5.83589743589744</v>
      </c>
      <c r="Z53" s="1" t="n">
        <v>3</v>
      </c>
      <c r="AB53" s="1" t="n">
        <v>43</v>
      </c>
      <c r="AC53" s="1" t="n">
        <f aca="false">IF(AD53=AD52,AC52+AC$1,AC$3-0.5*AC$1*(COUNTIF(AD$11:AD$1000,AD53)-1))</f>
        <v>0.980952380952382</v>
      </c>
      <c r="AD53" s="1" t="n">
        <v>1</v>
      </c>
      <c r="AE53" s="1" t="n">
        <f aca="false">IF(AF53=AF52,AE52+AE$1,AE$3-0.5*AE$1*(COUNTIF(AF$11:AF$1000,AF53)-1))</f>
        <v>1.66923076923077</v>
      </c>
      <c r="AF53" s="1" t="n">
        <v>2</v>
      </c>
      <c r="AG53" s="1" t="n">
        <f aca="false">IF(AH53=AH52,AG52+AG$1,AG$3-0.5*AG$1*(COUNTIF(AH$11:AH$1000,AH53)-1))</f>
        <v>2.87924528301887</v>
      </c>
      <c r="AH53" s="1" t="n">
        <v>2</v>
      </c>
      <c r="AI53" s="1" t="n">
        <f aca="false">IF(AJ53=AJ52,AI52+AI$1,AI$3-0.5*AI$1*(COUNTIF(AJ$11:AJ$1000,AJ53)-1))</f>
        <v>4.32</v>
      </c>
      <c r="AJ53" s="1" t="n">
        <v>2</v>
      </c>
      <c r="AK53" s="1" t="n">
        <f aca="false">IF(AL53=AL52,AK52+AK$1,AK$3-0.5*AK$1*(COUNTIF(AL$11:AL$1000,AL53)-1))</f>
        <v>5</v>
      </c>
      <c r="AL53" s="1" t="n">
        <v>2</v>
      </c>
      <c r="AN53" s="1" t="n">
        <f aca="false">IF(AO53=AO52,AN52+AN$1,AN$3-0.5*AN$1*(COUNTIF(AO$11:AO$1000,AO53)-1))</f>
        <v>1.02692307692308</v>
      </c>
      <c r="AO53" s="1" t="n">
        <v>1</v>
      </c>
      <c r="AP53" s="1" t="n">
        <f aca="false">IF(AQ53=AQ52,AP52+AP$1,AP$3-0.5*AP$1*(COUNTIF(AQ$11:AQ$1000,AQ53)-1))</f>
        <v>2.01702127659575</v>
      </c>
      <c r="AQ53" s="1" t="n">
        <v>2</v>
      </c>
      <c r="AR53" s="1" t="n">
        <f aca="false">IF(AS53=AS52,AR52+AR$1,AR$3-0.5*AR$1*(COUNTIF(AS$11:AS$1000,AS53)-1))</f>
        <v>2.96363636363636</v>
      </c>
      <c r="AS53" s="1" t="n">
        <v>3</v>
      </c>
      <c r="AT53" s="1" t="n">
        <f aca="false">IF(AU53=AU52,AT52+AT$1,AT$3-0.5*AT$1*(COUNTIF(AU$11:AU$1000,AU53)-1))</f>
        <v>4.19130434782609</v>
      </c>
      <c r="AU53" s="1" t="n">
        <v>5</v>
      </c>
      <c r="AV53" s="1" t="n">
        <f aca="false">IF(AW53=AW52,AV52+AV$1,AV$3-0.5*AV$1*(COUNTIF(AW$11:AW$1000,AW53)-1))</f>
        <v>5.1</v>
      </c>
      <c r="AW53" s="1" t="n">
        <v>4</v>
      </c>
      <c r="AY53" s="1" t="n">
        <v>43</v>
      </c>
      <c r="AZ53" s="1" t="n">
        <f aca="false">IF(BA53=BA52,AZ52+AZ$1,AZ$3-0.5*AZ$1*(COUNTIF(BA$11:BA$1000,BA53)-1))</f>
        <v>1.32340425531915</v>
      </c>
      <c r="BA53" s="1" t="n">
        <v>1</v>
      </c>
      <c r="BB53" s="1" t="n">
        <f aca="false">IF(BC53=BC52,BB52+BB$1,BB$3-0.5*BB$1*(COUNTIF(BC$11:BC$1000,BC53)-1))</f>
        <v>2.06153846153846</v>
      </c>
      <c r="BC53" s="1" t="n">
        <v>4</v>
      </c>
      <c r="BE53" s="1" t="n">
        <f aca="false">IF(BF53=BF52,BE52+BE$1,BE$3-0.5*BE$1*(COUNTIF(BF$11:BF$1000,BF53)-1))</f>
        <v>0.842424242424242</v>
      </c>
      <c r="BF53" s="1" t="n">
        <v>3</v>
      </c>
      <c r="BG53" s="1" t="n">
        <f aca="false">IF(BH53=BH52,BG52+BG$1,BG$3-0.5*BG$1*(COUNTIF(BH$11:BH$1000,BH53)-1))</f>
        <v>2</v>
      </c>
      <c r="BH53" s="1" t="n">
        <v>10</v>
      </c>
    </row>
    <row r="54" customFormat="false" ht="16" hidden="false" customHeight="false" outlineLevel="0" collapsed="false">
      <c r="A54" s="1" t="n">
        <v>44</v>
      </c>
      <c r="B54" s="1" t="n">
        <f aca="false">IF(C54=C53,B53+B$1,B$3-0.5*B$1*(COUNTIF(C$11:C$1000,C54)-1))</f>
        <v>1.21754385964912</v>
      </c>
      <c r="C54" s="1" t="n">
        <v>1</v>
      </c>
      <c r="D54" s="1" t="n">
        <f aca="false">IF(E54=E53,D53+D$1,D$3-0.5*D$1*(COUNTIF(E$11:E$1000,E54)-1))</f>
        <v>2.07710843373494</v>
      </c>
      <c r="E54" s="1" t="n">
        <v>1</v>
      </c>
      <c r="F54" s="1" t="n">
        <f aca="false">IF(G54=G53,F53+F$1,F$3-0.5*F$1*(COUNTIF(G$11:G$1000,G54)-1))</f>
        <v>2.74375</v>
      </c>
      <c r="G54" s="1" t="n">
        <v>2</v>
      </c>
      <c r="H54" s="1" t="n">
        <f aca="false">IF(I54=I53,H53+H$1,H$3-0.5*H$1*(COUNTIF(I$11:I$1000,I54)-1))</f>
        <v>4.21818181818181</v>
      </c>
      <c r="I54" s="1" t="n">
        <v>1</v>
      </c>
      <c r="J54" s="1" t="n">
        <f aca="false">IF(K54=K53,J53+J$1,J$3-0.5*J$1*(COUNTIF(K$11:K$1000,K54)-1))</f>
        <v>4.78082191780823</v>
      </c>
      <c r="K54" s="1" t="n">
        <v>2</v>
      </c>
      <c r="L54" s="1" t="n">
        <f aca="false">IF(M54=M53,L53+L$1,L$3-0.5*L$1*(COUNTIF(M$11:M$1000,M54)-1))</f>
        <v>5.66842105263158</v>
      </c>
      <c r="M54" s="1" t="n">
        <v>2</v>
      </c>
      <c r="O54" s="1" t="n">
        <f aca="false">IF(P54=P53,O53+O$1,O$3-0.5*O$1*(COUNTIF(P$11:P$1000,P54)-1))</f>
        <v>1.21754385964912</v>
      </c>
      <c r="P54" s="1" t="n">
        <v>1</v>
      </c>
      <c r="Q54" s="1" t="n">
        <f aca="false">IF(R54=R53,Q53+Q$1,Q$3-0.5*Q$1*(COUNTIF(R$11:R$1000,R54)-1))</f>
        <v>2.10952380952381</v>
      </c>
      <c r="R54" s="1" t="n">
        <v>1</v>
      </c>
      <c r="S54" s="1" t="n">
        <f aca="false">IF(T54=T53,S53+S$1,S$3-0.5*S$1*(COUNTIF(T$11:T$1000,T54)-1))</f>
        <v>2.92727272727273</v>
      </c>
      <c r="T54" s="1" t="n">
        <v>2</v>
      </c>
      <c r="U54" s="1" t="n">
        <f aca="false">IF(V54=V53,U53+U$1,U$3-0.5*U$1*(COUNTIF(V$11:V$1000,V54)-1))</f>
        <v>3.90588235294118</v>
      </c>
      <c r="V54" s="1" t="n">
        <v>2</v>
      </c>
      <c r="W54" s="1" t="n">
        <f aca="false">IF(X54=X53,W53+W$1,W$3-0.5*W$1*(COUNTIF(X$11:X$1000,X54)-1))</f>
        <v>5.26666666666666</v>
      </c>
      <c r="X54" s="1" t="n">
        <v>2</v>
      </c>
      <c r="Y54" s="1" t="n">
        <f aca="false">IF(Z54=Z53,Y53+Y$1,Y$3-0.5*Y$1*(COUNTIF(Z$11:Z$1000,Z54)-1))</f>
        <v>5.85641025641026</v>
      </c>
      <c r="Z54" s="1" t="n">
        <v>3</v>
      </c>
      <c r="AB54" s="1" t="n">
        <v>44</v>
      </c>
      <c r="AC54" s="1" t="n">
        <f aca="false">IF(AD54=AD53,AC53+AC$1,AC$3-0.5*AC$1*(COUNTIF(AD$11:AD$1000,AD54)-1))</f>
        <v>0.988571428571429</v>
      </c>
      <c r="AD54" s="1" t="n">
        <v>1</v>
      </c>
      <c r="AE54" s="1" t="n">
        <f aca="false">IF(AF54=AF53,AE53+AE$1,AE$3-0.5*AE$1*(COUNTIF(AF$11:AF$1000,AF54)-1))</f>
        <v>1.68461538461538</v>
      </c>
      <c r="AF54" s="1" t="n">
        <v>2</v>
      </c>
      <c r="AG54" s="1" t="n">
        <f aca="false">IF(AH54=AH53,AG53+AG$1,AG$3-0.5*AG$1*(COUNTIF(AH$11:AH$1000,AH54)-1))</f>
        <v>2.89433962264151</v>
      </c>
      <c r="AH54" s="1" t="n">
        <v>2</v>
      </c>
      <c r="AI54" s="1" t="n">
        <f aca="false">IF(AJ54=AJ53,AI53+AI$1,AI$3-0.5*AI$1*(COUNTIF(AJ$11:AJ$1000,AJ54)-1))</f>
        <v>4.34285714285714</v>
      </c>
      <c r="AJ54" s="1" t="n">
        <v>2</v>
      </c>
      <c r="AK54" s="1" t="n">
        <f aca="false">IF(AL54=AL53,AK53+AK$1,AK$3-0.5*AK$1*(COUNTIF(AL$11:AL$1000,AL54)-1))</f>
        <v>5.01355932203389</v>
      </c>
      <c r="AL54" s="1" t="n">
        <v>2</v>
      </c>
      <c r="AN54" s="1" t="n">
        <f aca="false">IF(AO54=AO53,AN53+AN$1,AN$3-0.5*AN$1*(COUNTIF(AO$11:AO$1000,AO54)-1))</f>
        <v>1.03461538461538</v>
      </c>
      <c r="AO54" s="1" t="n">
        <v>1</v>
      </c>
      <c r="AP54" s="1" t="n">
        <f aca="false">IF(AQ54=AQ53,AP53+AP$1,AP$3-0.5*AP$1*(COUNTIF(AQ$11:AQ$1000,AQ54)-1))</f>
        <v>2.03404255319149</v>
      </c>
      <c r="AQ54" s="1" t="n">
        <v>2</v>
      </c>
      <c r="AR54" s="1" t="n">
        <f aca="false">IF(AS54=AS53,AR53+AR$1,AR$3-0.5*AR$1*(COUNTIF(AS$11:AS$1000,AS54)-1))</f>
        <v>2.98787878787879</v>
      </c>
      <c r="AS54" s="1" t="n">
        <v>3</v>
      </c>
      <c r="AT54" s="1" t="n">
        <f aca="false">IF(AU54=AU53,AT53+AT$1,AT$3-0.5*AT$1*(COUNTIF(AU$11:AU$1000,AU54)-1))</f>
        <v>4.22608695652174</v>
      </c>
      <c r="AU54" s="1" t="n">
        <v>5</v>
      </c>
      <c r="AV54" s="1" t="n">
        <f aca="false">IF(AW54=AW53,AV53+AV$1,AV$3-0.5*AV$1*(COUNTIF(AW$11:AW$1000,AW54)-1))</f>
        <v>5.12857142857143</v>
      </c>
      <c r="AW54" s="1" t="n">
        <v>4</v>
      </c>
      <c r="AY54" s="1" t="n">
        <v>44</v>
      </c>
      <c r="AZ54" s="1" t="n">
        <f aca="false">IF(BA54=BA53,AZ53+AZ$1,AZ$3-0.5*AZ$1*(COUNTIF(BA$11:BA$1000,BA54)-1))</f>
        <v>1.34042553191489</v>
      </c>
      <c r="BA54" s="1" t="n">
        <v>1</v>
      </c>
      <c r="BB54" s="1" t="n">
        <f aca="false">IF(BC54=BC53,BB53+BB$1,BB$3-0.5*BB$1*(COUNTIF(BC$11:BC$1000,BC54)-1))</f>
        <v>2.09230769230769</v>
      </c>
      <c r="BC54" s="1" t="n">
        <v>4</v>
      </c>
      <c r="BE54" s="1" t="n">
        <f aca="false">IF(BF54=BF53,BE53+BE$1,BE$3-0.5*BE$1*(COUNTIF(BF$11:BF$1000,BF54)-1))</f>
        <v>0.866666666666667</v>
      </c>
      <c r="BF54" s="1" t="n">
        <v>3</v>
      </c>
      <c r="BG54" s="1" t="n">
        <f aca="false">IF(BH54=BH53,BG53+BG$1,BG$3-0.5*BG$1*(COUNTIF(BH$11:BH$1000,BH54)-1))</f>
        <v>2.06666666666667</v>
      </c>
      <c r="BH54" s="1" t="n">
        <v>10</v>
      </c>
    </row>
    <row r="55" customFormat="false" ht="16" hidden="false" customHeight="false" outlineLevel="0" collapsed="false">
      <c r="A55" s="1" t="n">
        <v>45</v>
      </c>
      <c r="B55" s="1" t="n">
        <f aca="false">IF(C55=C54,B54+B$1,B$3-0.5*B$1*(COUNTIF(C$11:C$1000,C55)-1))</f>
        <v>1.23157894736842</v>
      </c>
      <c r="C55" s="1" t="n">
        <v>1</v>
      </c>
      <c r="D55" s="1" t="n">
        <f aca="false">IF(E55=E54,D54+D$1,D$3-0.5*D$1*(COUNTIF(E$11:E$1000,E55)-1))</f>
        <v>2.08674698795181</v>
      </c>
      <c r="E55" s="1" t="n">
        <v>1</v>
      </c>
      <c r="F55" s="1" t="n">
        <f aca="false">IF(G55=G54,F54+F$1,F$3-0.5*F$1*(COUNTIF(G$11:G$1000,G55)-1))</f>
        <v>2.75625</v>
      </c>
      <c r="G55" s="1" t="n">
        <v>2</v>
      </c>
      <c r="H55" s="1" t="n">
        <f aca="false">IF(I55=I54,H54+H$1,H$3-0.5*H$1*(COUNTIF(I$11:I$1000,I55)-1))</f>
        <v>4.23030303030303</v>
      </c>
      <c r="I55" s="1" t="n">
        <v>1</v>
      </c>
      <c r="J55" s="1" t="n">
        <f aca="false">IF(K55=K54,J54+J$1,J$3-0.5*J$1*(COUNTIF(K$11:K$1000,K55)-1))</f>
        <v>4.79178082191782</v>
      </c>
      <c r="K55" s="1" t="n">
        <v>2</v>
      </c>
      <c r="L55" s="1" t="n">
        <f aca="false">IF(M55=M54,L54+L$1,L$3-0.5*L$1*(COUNTIF(M$11:M$1000,M55)-1))</f>
        <v>5.67894736842105</v>
      </c>
      <c r="M55" s="1" t="n">
        <v>2</v>
      </c>
      <c r="O55" s="1" t="n">
        <f aca="false">IF(P55=P54,O54+O$1,O$3-0.5*O$1*(COUNTIF(P$11:P$1000,P55)-1))</f>
        <v>1.23157894736842</v>
      </c>
      <c r="P55" s="1" t="n">
        <v>1</v>
      </c>
      <c r="Q55" s="1" t="n">
        <f aca="false">IF(R55=R54,Q54+Q$1,Q$3-0.5*Q$1*(COUNTIF(R$11:R$1000,R55)-1))</f>
        <v>2.11904761904762</v>
      </c>
      <c r="R55" s="1" t="n">
        <v>1</v>
      </c>
      <c r="S55" s="1" t="n">
        <f aca="false">IF(T55=T54,S54+S$1,S$3-0.5*S$1*(COUNTIF(T$11:T$1000,T55)-1))</f>
        <v>2.94181818181818</v>
      </c>
      <c r="T55" s="1" t="n">
        <v>2</v>
      </c>
      <c r="U55" s="1" t="n">
        <f aca="false">IF(V55=V54,U54+U$1,U$3-0.5*U$1*(COUNTIF(V$11:V$1000,V55)-1))</f>
        <v>3.92156862745098</v>
      </c>
      <c r="V55" s="1" t="n">
        <v>2</v>
      </c>
      <c r="W55" s="1" t="n">
        <f aca="false">IF(X55=X54,W54+W$1,W$3-0.5*W$1*(COUNTIF(X$11:X$1000,X55)-1))</f>
        <v>5.28717948717948</v>
      </c>
      <c r="X55" s="1" t="n">
        <v>2</v>
      </c>
      <c r="Y55" s="1" t="n">
        <f aca="false">IF(Z55=Z54,Y54+Y$1,Y$3-0.5*Y$1*(COUNTIF(Z$11:Z$1000,Z55)-1))</f>
        <v>5.87692307692308</v>
      </c>
      <c r="Z55" s="1" t="n">
        <v>3</v>
      </c>
      <c r="AB55" s="1" t="n">
        <v>45</v>
      </c>
      <c r="AC55" s="1" t="n">
        <f aca="false">IF(AD55=AD54,AC54+AC$1,AC$3-0.5*AC$1*(COUNTIF(AD$11:AD$1000,AD55)-1))</f>
        <v>0.996190476190477</v>
      </c>
      <c r="AD55" s="1" t="n">
        <v>1</v>
      </c>
      <c r="AE55" s="1" t="n">
        <f aca="false">IF(AF55=AF54,AE54+AE$1,AE$3-0.5*AE$1*(COUNTIF(AF$11:AF$1000,AF55)-1))</f>
        <v>1.7</v>
      </c>
      <c r="AF55" s="1" t="n">
        <v>2</v>
      </c>
      <c r="AG55" s="1" t="n">
        <f aca="false">IF(AH55=AH54,AG54+AG$1,AG$3-0.5*AG$1*(COUNTIF(AH$11:AH$1000,AH55)-1))</f>
        <v>2.90943396226415</v>
      </c>
      <c r="AH55" s="1" t="n">
        <v>2</v>
      </c>
      <c r="AI55" s="1" t="n">
        <f aca="false">IF(AJ55=AJ54,AI54+AI$1,AI$3-0.5*AI$1*(COUNTIF(AJ$11:AJ$1000,AJ55)-1))</f>
        <v>4.36571428571429</v>
      </c>
      <c r="AJ55" s="1" t="n">
        <v>2</v>
      </c>
      <c r="AK55" s="1" t="n">
        <f aca="false">IF(AL55=AL54,AK54+AK$1,AK$3-0.5*AK$1*(COUNTIF(AL$11:AL$1000,AL55)-1))</f>
        <v>5.02711864406779</v>
      </c>
      <c r="AL55" s="1" t="n">
        <v>2</v>
      </c>
      <c r="AN55" s="1" t="n">
        <f aca="false">IF(AO55=AO54,AN54+AN$1,AN$3-0.5*AN$1*(COUNTIF(AO$11:AO$1000,AO55)-1))</f>
        <v>1.04230769230769</v>
      </c>
      <c r="AO55" s="1" t="n">
        <v>1</v>
      </c>
      <c r="AP55" s="1" t="n">
        <f aca="false">IF(AQ55=AQ54,AP54+AP$1,AP$3-0.5*AP$1*(COUNTIF(AQ$11:AQ$1000,AQ55)-1))</f>
        <v>2.05106382978723</v>
      </c>
      <c r="AQ55" s="1" t="n">
        <v>2</v>
      </c>
      <c r="AR55" s="1" t="n">
        <f aca="false">IF(AS55=AS54,AR54+AR$1,AR$3-0.5*AR$1*(COUNTIF(AS$11:AS$1000,AS55)-1))</f>
        <v>3.01212121212121</v>
      </c>
      <c r="AS55" s="1" t="n">
        <v>3</v>
      </c>
      <c r="AT55" s="1" t="n">
        <f aca="false">IF(AU55=AU54,AT54+AT$1,AT$3-0.5*AT$1*(COUNTIF(AU$11:AU$1000,AU55)-1))</f>
        <v>3.63478260869565</v>
      </c>
      <c r="AU55" s="1" t="n">
        <v>6</v>
      </c>
      <c r="AV55" s="1" t="n">
        <f aca="false">IF(AW55=AW54,AV54+AV$1,AV$3-0.5*AV$1*(COUNTIF(AW$11:AW$1000,AW55)-1))</f>
        <v>5.15714285714286</v>
      </c>
      <c r="AW55" s="1" t="n">
        <v>4</v>
      </c>
      <c r="AY55" s="1" t="n">
        <v>45</v>
      </c>
      <c r="AZ55" s="1" t="n">
        <f aca="false">IF(BA55=BA54,AZ54+AZ$1,AZ$3-0.5*AZ$1*(COUNTIF(BA$11:BA$1000,BA55)-1))</f>
        <v>1.35744680851064</v>
      </c>
      <c r="BA55" s="1" t="n">
        <v>1</v>
      </c>
      <c r="BB55" s="1" t="n">
        <f aca="false">IF(BC55=BC54,BB54+BB$1,BB$3-0.5*BB$1*(COUNTIF(BC$11:BC$1000,BC55)-1))</f>
        <v>2.12307692307692</v>
      </c>
      <c r="BC55" s="1" t="n">
        <v>4</v>
      </c>
      <c r="BE55" s="1" t="n">
        <f aca="false">IF(BF55=BF54,BE54+BE$1,BE$3-0.5*BE$1*(COUNTIF(BF$11:BF$1000,BF55)-1))</f>
        <v>0.890909090909091</v>
      </c>
      <c r="BF55" s="1" t="n">
        <v>3</v>
      </c>
      <c r="BG55" s="1" t="n">
        <f aca="false">IF(BH55=BH54,BG54+BG$1,BG$3-0.5*BG$1*(COUNTIF(BH$11:BH$1000,BH55)-1))</f>
        <v>2.13333333333333</v>
      </c>
      <c r="BH55" s="1" t="n">
        <v>10</v>
      </c>
    </row>
    <row r="56" customFormat="false" ht="16" hidden="false" customHeight="false" outlineLevel="0" collapsed="false">
      <c r="A56" s="1" t="n">
        <v>46</v>
      </c>
      <c r="B56" s="1" t="n">
        <f aca="false">IF(C56=C55,B55+B$1,B$3-0.5*B$1*(COUNTIF(C$11:C$1000,C56)-1))</f>
        <v>1.24561403508772</v>
      </c>
      <c r="C56" s="1" t="n">
        <v>1</v>
      </c>
      <c r="D56" s="1" t="n">
        <f aca="false">IF(E56=E55,D55+D$1,D$3-0.5*D$1*(COUNTIF(E$11:E$1000,E56)-1))</f>
        <v>2.09638554216868</v>
      </c>
      <c r="E56" s="1" t="n">
        <v>1</v>
      </c>
      <c r="F56" s="1" t="n">
        <f aca="false">IF(G56=G55,F55+F$1,F$3-0.5*F$1*(COUNTIF(G$11:G$1000,G56)-1))</f>
        <v>2.76875</v>
      </c>
      <c r="G56" s="1" t="n">
        <v>2</v>
      </c>
      <c r="H56" s="1" t="n">
        <f aca="false">IF(I56=I55,H55+H$1,H$3-0.5*H$1*(COUNTIF(I$11:I$1000,I56)-1))</f>
        <v>4.24242424242424</v>
      </c>
      <c r="I56" s="1" t="n">
        <v>1</v>
      </c>
      <c r="J56" s="1" t="n">
        <f aca="false">IF(K56=K55,J55+J$1,J$3-0.5*J$1*(COUNTIF(K$11:K$1000,K56)-1))</f>
        <v>4.8027397260274</v>
      </c>
      <c r="K56" s="1" t="n">
        <v>2</v>
      </c>
      <c r="L56" s="1" t="n">
        <f aca="false">IF(M56=M55,L55+L$1,L$3-0.5*L$1*(COUNTIF(M$11:M$1000,M56)-1))</f>
        <v>5.68947368421052</v>
      </c>
      <c r="M56" s="1" t="n">
        <v>2</v>
      </c>
      <c r="O56" s="1" t="n">
        <f aca="false">IF(P56=P55,O55+O$1,O$3-0.5*O$1*(COUNTIF(P$11:P$1000,P56)-1))</f>
        <v>1.24561403508772</v>
      </c>
      <c r="P56" s="1" t="n">
        <v>1</v>
      </c>
      <c r="Q56" s="1" t="n">
        <f aca="false">IF(R56=R55,Q55+Q$1,Q$3-0.5*Q$1*(COUNTIF(R$11:R$1000,R56)-1))</f>
        <v>2.12857142857143</v>
      </c>
      <c r="R56" s="1" t="n">
        <v>1</v>
      </c>
      <c r="S56" s="1" t="n">
        <f aca="false">IF(T56=T55,S55+S$1,S$3-0.5*S$1*(COUNTIF(T$11:T$1000,T56)-1))</f>
        <v>2.95636363636364</v>
      </c>
      <c r="T56" s="1" t="n">
        <v>2</v>
      </c>
      <c r="U56" s="1" t="n">
        <f aca="false">IF(V56=V55,U55+U$1,U$3-0.5*U$1*(COUNTIF(V$11:V$1000,V56)-1))</f>
        <v>3.93725490196078</v>
      </c>
      <c r="V56" s="1" t="n">
        <v>2</v>
      </c>
      <c r="W56" s="1" t="n">
        <f aca="false">IF(X56=X55,W55+W$1,W$3-0.5*W$1*(COUNTIF(X$11:X$1000,X56)-1))</f>
        <v>5.30769230769231</v>
      </c>
      <c r="X56" s="1" t="n">
        <v>2</v>
      </c>
      <c r="Y56" s="1" t="n">
        <f aca="false">IF(Z56=Z55,Y55+Y$1,Y$3-0.5*Y$1*(COUNTIF(Z$11:Z$1000,Z56)-1))</f>
        <v>5.8974358974359</v>
      </c>
      <c r="Z56" s="1" t="n">
        <v>3</v>
      </c>
      <c r="AB56" s="1" t="n">
        <v>46</v>
      </c>
      <c r="AC56" s="1" t="n">
        <f aca="false">IF(AD56=AD55,AC55+AC$1,AC$3-0.5*AC$1*(COUNTIF(AD$11:AD$1000,AD56)-1))</f>
        <v>1.00380952380952</v>
      </c>
      <c r="AD56" s="1" t="n">
        <v>1</v>
      </c>
      <c r="AE56" s="1" t="n">
        <f aca="false">IF(AF56=AF55,AE55+AE$1,AE$3-0.5*AE$1*(COUNTIF(AF$11:AF$1000,AF56)-1))</f>
        <v>1.71538461538462</v>
      </c>
      <c r="AF56" s="1" t="n">
        <v>2</v>
      </c>
      <c r="AG56" s="1" t="n">
        <f aca="false">IF(AH56=AH55,AG55+AG$1,AG$3-0.5*AG$1*(COUNTIF(AH$11:AH$1000,AH56)-1))</f>
        <v>2.92452830188679</v>
      </c>
      <c r="AH56" s="1" t="n">
        <v>2</v>
      </c>
      <c r="AI56" s="1" t="n">
        <f aca="false">IF(AJ56=AJ55,AI55+AI$1,AI$3-0.5*AI$1*(COUNTIF(AJ$11:AJ$1000,AJ56)-1))</f>
        <v>4.38857142857143</v>
      </c>
      <c r="AJ56" s="1" t="n">
        <v>2</v>
      </c>
      <c r="AK56" s="1" t="n">
        <f aca="false">IF(AL56=AL55,AK55+AK$1,AK$3-0.5*AK$1*(COUNTIF(AL$11:AL$1000,AL56)-1))</f>
        <v>5.04067796610169</v>
      </c>
      <c r="AL56" s="1" t="n">
        <v>2</v>
      </c>
      <c r="AN56" s="1" t="n">
        <f aca="false">IF(AO56=AO55,AN55+AN$1,AN$3-0.5*AN$1*(COUNTIF(AO$11:AO$1000,AO56)-1))</f>
        <v>1.05</v>
      </c>
      <c r="AO56" s="1" t="n">
        <v>1</v>
      </c>
      <c r="AP56" s="1" t="n">
        <f aca="false">IF(AQ56=AQ55,AP55+AP$1,AP$3-0.5*AP$1*(COUNTIF(AQ$11:AQ$1000,AQ56)-1))</f>
        <v>2.06808510638298</v>
      </c>
      <c r="AQ56" s="1" t="n">
        <v>2</v>
      </c>
      <c r="AR56" s="1" t="n">
        <f aca="false">IF(AS56=AS55,AR55+AR$1,AR$3-0.5*AR$1*(COUNTIF(AS$11:AS$1000,AS56)-1))</f>
        <v>3.03636363636364</v>
      </c>
      <c r="AS56" s="1" t="n">
        <v>3</v>
      </c>
      <c r="AT56" s="1" t="n">
        <f aca="false">IF(AU56=AU55,AT55+AT$1,AT$3-0.5*AT$1*(COUNTIF(AU$11:AU$1000,AU56)-1))</f>
        <v>3.6695652173913</v>
      </c>
      <c r="AU56" s="1" t="n">
        <v>6</v>
      </c>
      <c r="AV56" s="1" t="n">
        <f aca="false">IF(AW56=AW55,AV55+AV$1,AV$3-0.5*AV$1*(COUNTIF(AW$11:AW$1000,AW56)-1))</f>
        <v>5.18571428571428</v>
      </c>
      <c r="AW56" s="1" t="n">
        <v>4</v>
      </c>
      <c r="AY56" s="1" t="n">
        <v>46</v>
      </c>
      <c r="AZ56" s="1" t="n">
        <f aca="false">IF(BA56=BA55,AZ55+AZ$1,AZ$3-0.5*AZ$1*(COUNTIF(BA$11:BA$1000,BA56)-1))</f>
        <v>1.37446808510638</v>
      </c>
      <c r="BA56" s="1" t="n">
        <v>1</v>
      </c>
      <c r="BB56" s="1" t="n">
        <f aca="false">IF(BC56=BC55,BB55+BB$1,BB$3-0.5*BB$1*(COUNTIF(BC$11:BC$1000,BC56)-1))</f>
        <v>2.15384615384615</v>
      </c>
      <c r="BC56" s="1" t="n">
        <v>4</v>
      </c>
      <c r="BE56" s="1" t="n">
        <f aca="false">IF(BF56=BF55,BE55+BE$1,BE$3-0.5*BE$1*(COUNTIF(BF$11:BF$1000,BF56)-1))</f>
        <v>0.915151515151515</v>
      </c>
      <c r="BF56" s="1" t="n">
        <v>3</v>
      </c>
      <c r="BG56" s="1" t="n">
        <f aca="false">IF(BH56=BH55,BG55+BG$1,BG$3-0.5*BG$1*(COUNTIF(BH$11:BH$1000,BH56)-1))</f>
        <v>1.96666666666667</v>
      </c>
      <c r="BH56" s="1" t="n">
        <v>12</v>
      </c>
    </row>
    <row r="57" customFormat="false" ht="16" hidden="false" customHeight="false" outlineLevel="0" collapsed="false">
      <c r="A57" s="1" t="n">
        <v>47</v>
      </c>
      <c r="B57" s="1" t="n">
        <f aca="false">IF(C57=C56,B56+B$1,B$3-0.5*B$1*(COUNTIF(C$11:C$1000,C57)-1))</f>
        <v>1.25964912280702</v>
      </c>
      <c r="C57" s="1" t="n">
        <v>1</v>
      </c>
      <c r="D57" s="1" t="n">
        <f aca="false">IF(E57=E56,D56+D$1,D$3-0.5*D$1*(COUNTIF(E$11:E$1000,E57)-1))</f>
        <v>2.10602409638554</v>
      </c>
      <c r="E57" s="1" t="n">
        <v>1</v>
      </c>
      <c r="F57" s="1" t="n">
        <f aca="false">IF(G57=G56,F56+F$1,F$3-0.5*F$1*(COUNTIF(G$11:G$1000,G57)-1))</f>
        <v>2.78125</v>
      </c>
      <c r="G57" s="1" t="n">
        <v>2</v>
      </c>
      <c r="H57" s="1" t="n">
        <f aca="false">IF(I57=I56,H56+H$1,H$3-0.5*H$1*(COUNTIF(I$11:I$1000,I57)-1))</f>
        <v>4.25454545454545</v>
      </c>
      <c r="I57" s="1" t="n">
        <v>1</v>
      </c>
      <c r="J57" s="1" t="n">
        <f aca="false">IF(K57=K56,J56+J$1,J$3-0.5*J$1*(COUNTIF(K$11:K$1000,K57)-1))</f>
        <v>4.81369863013699</v>
      </c>
      <c r="K57" s="1" t="n">
        <v>2</v>
      </c>
      <c r="L57" s="1" t="n">
        <f aca="false">IF(M57=M56,L56+L$1,L$3-0.5*L$1*(COUNTIF(M$11:M$1000,M57)-1))</f>
        <v>5.7</v>
      </c>
      <c r="M57" s="1" t="n">
        <v>2</v>
      </c>
      <c r="O57" s="1" t="n">
        <f aca="false">IF(P57=P56,O56+O$1,O$3-0.5*O$1*(COUNTIF(P$11:P$1000,P57)-1))</f>
        <v>1.25964912280702</v>
      </c>
      <c r="P57" s="1" t="n">
        <v>1</v>
      </c>
      <c r="Q57" s="1" t="n">
        <f aca="false">IF(R57=R56,Q56+Q$1,Q$3-0.5*Q$1*(COUNTIF(R$11:R$1000,R57)-1))</f>
        <v>2.13809523809524</v>
      </c>
      <c r="R57" s="1" t="n">
        <v>1</v>
      </c>
      <c r="S57" s="1" t="n">
        <f aca="false">IF(T57=T56,S56+S$1,S$3-0.5*S$1*(COUNTIF(T$11:T$1000,T57)-1))</f>
        <v>2.97090909090909</v>
      </c>
      <c r="T57" s="1" t="n">
        <v>2</v>
      </c>
      <c r="U57" s="1" t="n">
        <f aca="false">IF(V57=V56,U56+U$1,U$3-0.5*U$1*(COUNTIF(V$11:V$1000,V57)-1))</f>
        <v>3.95294117647059</v>
      </c>
      <c r="V57" s="1" t="n">
        <v>2</v>
      </c>
      <c r="W57" s="1" t="n">
        <f aca="false">IF(X57=X56,W56+W$1,W$3-0.5*W$1*(COUNTIF(X$11:X$1000,X57)-1))</f>
        <v>5.32820512820513</v>
      </c>
      <c r="X57" s="1" t="n">
        <v>2</v>
      </c>
      <c r="Y57" s="1" t="n">
        <f aca="false">IF(Z57=Z56,Y56+Y$1,Y$3-0.5*Y$1*(COUNTIF(Z$11:Z$1000,Z57)-1))</f>
        <v>5.91794871794872</v>
      </c>
      <c r="Z57" s="1" t="n">
        <v>3</v>
      </c>
      <c r="AB57" s="1" t="n">
        <v>47</v>
      </c>
      <c r="AC57" s="1" t="n">
        <f aca="false">IF(AD57=AD56,AC56+AC$1,AC$3-0.5*AC$1*(COUNTIF(AD$11:AD$1000,AD57)-1))</f>
        <v>1.01142857142857</v>
      </c>
      <c r="AD57" s="1" t="n">
        <v>1</v>
      </c>
      <c r="AE57" s="1" t="n">
        <f aca="false">IF(AF57=AF56,AE56+AE$1,AE$3-0.5*AE$1*(COUNTIF(AF$11:AF$1000,AF57)-1))</f>
        <v>1.73076923076923</v>
      </c>
      <c r="AF57" s="1" t="n">
        <v>2</v>
      </c>
      <c r="AG57" s="1" t="n">
        <f aca="false">IF(AH57=AH56,AG56+AG$1,AG$3-0.5*AG$1*(COUNTIF(AH$11:AH$1000,AH57)-1))</f>
        <v>2.93962264150943</v>
      </c>
      <c r="AH57" s="1" t="n">
        <v>2</v>
      </c>
      <c r="AI57" s="1" t="n">
        <f aca="false">IF(AJ57=AJ56,AI56+AI$1,AI$3-0.5*AI$1*(COUNTIF(AJ$11:AJ$1000,AJ57)-1))</f>
        <v>3.87428571428571</v>
      </c>
      <c r="AJ57" s="1" t="n">
        <v>3</v>
      </c>
      <c r="AK57" s="1" t="n">
        <f aca="false">IF(AL57=AL56,AK56+AK$1,AK$3-0.5*AK$1*(COUNTIF(AL$11:AL$1000,AL57)-1))</f>
        <v>5.05423728813559</v>
      </c>
      <c r="AL57" s="1" t="n">
        <v>2</v>
      </c>
      <c r="AN57" s="1" t="n">
        <f aca="false">IF(AO57=AO56,AN56+AN$1,AN$3-0.5*AN$1*(COUNTIF(AO$11:AO$1000,AO57)-1))</f>
        <v>1.05769230769231</v>
      </c>
      <c r="AO57" s="1" t="n">
        <v>1</v>
      </c>
      <c r="AP57" s="1" t="n">
        <f aca="false">IF(AQ57=AQ56,AP56+AP$1,AP$3-0.5*AP$1*(COUNTIF(AQ$11:AQ$1000,AQ57)-1))</f>
        <v>2.08510638297872</v>
      </c>
      <c r="AQ57" s="1" t="n">
        <v>2</v>
      </c>
      <c r="AR57" s="1" t="n">
        <f aca="false">IF(AS57=AS56,AR56+AR$1,AR$3-0.5*AR$1*(COUNTIF(AS$11:AS$1000,AS57)-1))</f>
        <v>3.06060606060606</v>
      </c>
      <c r="AS57" s="1" t="n">
        <v>3</v>
      </c>
      <c r="AT57" s="1" t="n">
        <f aca="false">IF(AU57=AU56,AT56+AT$1,AT$3-0.5*AT$1*(COUNTIF(AU$11:AU$1000,AU57)-1))</f>
        <v>3.70434782608696</v>
      </c>
      <c r="AU57" s="1" t="n">
        <v>6</v>
      </c>
      <c r="AV57" s="1" t="n">
        <f aca="false">IF(AW57=AW56,AV56+AV$1,AV$3-0.5*AV$1*(COUNTIF(AW$11:AW$1000,AW57)-1))</f>
        <v>5.21428571428571</v>
      </c>
      <c r="AW57" s="1" t="n">
        <v>4</v>
      </c>
      <c r="AY57" s="1" t="n">
        <v>47</v>
      </c>
      <c r="AZ57" s="1" t="n">
        <f aca="false">IF(BA57=BA56,AZ56+AZ$1,AZ$3-0.5*AZ$1*(COUNTIF(BA$11:BA$1000,BA57)-1))</f>
        <v>1.39148936170213</v>
      </c>
      <c r="BA57" s="1" t="n">
        <v>1</v>
      </c>
      <c r="BB57" s="1" t="n">
        <f aca="false">IF(BC57=BC56,BB56+BB$1,BB$3-0.5*BB$1*(COUNTIF(BC$11:BC$1000,BC57)-1))</f>
        <v>2</v>
      </c>
      <c r="BC57" s="1" t="n">
        <v>5</v>
      </c>
      <c r="BE57" s="1" t="n">
        <f aca="false">IF(BF57=BF56,BE56+BE$1,BE$3-0.5*BE$1*(COUNTIF(BF$11:BF$1000,BF57)-1))</f>
        <v>0.939393939393939</v>
      </c>
      <c r="BF57" s="1" t="n">
        <v>3</v>
      </c>
      <c r="BG57" s="1" t="n">
        <f aca="false">IF(BH57=BH56,BG56+BG$1,BG$3-0.5*BG$1*(COUNTIF(BH$11:BH$1000,BH57)-1))</f>
        <v>2.03333333333333</v>
      </c>
      <c r="BH57" s="1" t="n">
        <v>12</v>
      </c>
    </row>
    <row r="58" customFormat="false" ht="16" hidden="false" customHeight="false" outlineLevel="0" collapsed="false">
      <c r="A58" s="1" t="n">
        <v>48</v>
      </c>
      <c r="B58" s="1" t="n">
        <f aca="false">IF(C58=C57,B57+B$1,B$3-0.5*B$1*(COUNTIF(C$11:C$1000,C58)-1))</f>
        <v>1.27368421052632</v>
      </c>
      <c r="C58" s="1" t="n">
        <v>1</v>
      </c>
      <c r="D58" s="1" t="n">
        <f aca="false">IF(E58=E57,D57+D$1,D$3-0.5*D$1*(COUNTIF(E$11:E$1000,E58)-1))</f>
        <v>2.11566265060241</v>
      </c>
      <c r="E58" s="1" t="n">
        <v>1</v>
      </c>
      <c r="F58" s="1" t="n">
        <f aca="false">IF(G58=G57,F57+F$1,F$3-0.5*F$1*(COUNTIF(G$11:G$1000,G58)-1))</f>
        <v>2.79375</v>
      </c>
      <c r="G58" s="1" t="n">
        <v>2</v>
      </c>
      <c r="H58" s="1" t="n">
        <f aca="false">IF(I58=I57,H57+H$1,H$3-0.5*H$1*(COUNTIF(I$11:I$1000,I58)-1))</f>
        <v>4.26666666666666</v>
      </c>
      <c r="I58" s="1" t="n">
        <v>1</v>
      </c>
      <c r="J58" s="1" t="n">
        <f aca="false">IF(K58=K57,J57+J$1,J$3-0.5*J$1*(COUNTIF(K$11:K$1000,K58)-1))</f>
        <v>4.82465753424658</v>
      </c>
      <c r="K58" s="1" t="n">
        <v>2</v>
      </c>
      <c r="L58" s="1" t="n">
        <f aca="false">IF(M58=M57,L57+L$1,L$3-0.5*L$1*(COUNTIF(M$11:M$1000,M58)-1))</f>
        <v>5.71052631578947</v>
      </c>
      <c r="M58" s="1" t="n">
        <v>2</v>
      </c>
      <c r="O58" s="1" t="n">
        <f aca="false">IF(P58=P57,O57+O$1,O$3-0.5*O$1*(COUNTIF(P$11:P$1000,P58)-1))</f>
        <v>1.27368421052632</v>
      </c>
      <c r="P58" s="1" t="n">
        <v>1</v>
      </c>
      <c r="Q58" s="1" t="n">
        <f aca="false">IF(R58=R57,Q57+Q$1,Q$3-0.5*Q$1*(COUNTIF(R$11:R$1000,R58)-1))</f>
        <v>2.14761904761905</v>
      </c>
      <c r="R58" s="1" t="n">
        <v>1</v>
      </c>
      <c r="S58" s="1" t="n">
        <f aca="false">IF(T58=T57,S57+S$1,S$3-0.5*S$1*(COUNTIF(T$11:T$1000,T58)-1))</f>
        <v>2.98545454545455</v>
      </c>
      <c r="T58" s="1" t="n">
        <v>2</v>
      </c>
      <c r="U58" s="1" t="n">
        <f aca="false">IF(V58=V57,U57+U$1,U$3-0.5*U$1*(COUNTIF(V$11:V$1000,V58)-1))</f>
        <v>3.96862745098039</v>
      </c>
      <c r="V58" s="1" t="n">
        <v>2</v>
      </c>
      <c r="W58" s="1" t="n">
        <f aca="false">IF(X58=X57,W57+W$1,W$3-0.5*W$1*(COUNTIF(X$11:X$1000,X58)-1))</f>
        <v>5.34871794871795</v>
      </c>
      <c r="X58" s="1" t="n">
        <v>2</v>
      </c>
      <c r="Y58" s="1" t="n">
        <f aca="false">IF(Z58=Z57,Y57+Y$1,Y$3-0.5*Y$1*(COUNTIF(Z$11:Z$1000,Z58)-1))</f>
        <v>5.93846153846154</v>
      </c>
      <c r="Z58" s="1" t="n">
        <v>3</v>
      </c>
      <c r="AB58" s="1" t="n">
        <v>48</v>
      </c>
      <c r="AC58" s="1" t="n">
        <f aca="false">IF(AD58=AD57,AC57+AC$1,AC$3-0.5*AC$1*(COUNTIF(AD$11:AD$1000,AD58)-1))</f>
        <v>1.01904761904762</v>
      </c>
      <c r="AD58" s="1" t="n">
        <v>1</v>
      </c>
      <c r="AE58" s="1" t="n">
        <f aca="false">IF(AF58=AF57,AE57+AE$1,AE$3-0.5*AE$1*(COUNTIF(AF$11:AF$1000,AF58)-1))</f>
        <v>1.74615384615385</v>
      </c>
      <c r="AF58" s="1" t="n">
        <v>2</v>
      </c>
      <c r="AG58" s="1" t="n">
        <f aca="false">IF(AH58=AH57,AG57+AG$1,AG$3-0.5*AG$1*(COUNTIF(AH$11:AH$1000,AH58)-1))</f>
        <v>2.95471698113208</v>
      </c>
      <c r="AH58" s="1" t="n">
        <v>2</v>
      </c>
      <c r="AI58" s="1" t="n">
        <f aca="false">IF(AJ58=AJ57,AI57+AI$1,AI$3-0.5*AI$1*(COUNTIF(AJ$11:AJ$1000,AJ58)-1))</f>
        <v>3.89714285714286</v>
      </c>
      <c r="AJ58" s="1" t="n">
        <v>3</v>
      </c>
      <c r="AK58" s="1" t="n">
        <f aca="false">IF(AL58=AL57,AK57+AK$1,AK$3-0.5*AK$1*(COUNTIF(AL$11:AL$1000,AL58)-1))</f>
        <v>5.06779661016948</v>
      </c>
      <c r="AL58" s="1" t="n">
        <v>2</v>
      </c>
      <c r="AN58" s="1" t="n">
        <f aca="false">IF(AO58=AO57,AN57+AN$1,AN$3-0.5*AN$1*(COUNTIF(AO$11:AO$1000,AO58)-1))</f>
        <v>1.06538461538461</v>
      </c>
      <c r="AO58" s="1" t="n">
        <v>1</v>
      </c>
      <c r="AP58" s="1" t="n">
        <f aca="false">IF(AQ58=AQ57,AP57+AP$1,AP$3-0.5*AP$1*(COUNTIF(AQ$11:AQ$1000,AQ58)-1))</f>
        <v>2.10212765957447</v>
      </c>
      <c r="AQ58" s="1" t="n">
        <v>2</v>
      </c>
      <c r="AR58" s="1" t="n">
        <f aca="false">IF(AS58=AS57,AR57+AR$1,AR$3-0.5*AR$1*(COUNTIF(AS$11:AS$1000,AS58)-1))</f>
        <v>3.08484848484849</v>
      </c>
      <c r="AS58" s="1" t="n">
        <v>3</v>
      </c>
      <c r="AT58" s="1" t="n">
        <f aca="false">IF(AU58=AU57,AT57+AT$1,AT$3-0.5*AT$1*(COUNTIF(AU$11:AU$1000,AU58)-1))</f>
        <v>3.73913043478261</v>
      </c>
      <c r="AU58" s="1" t="n">
        <v>6</v>
      </c>
      <c r="AV58" s="1" t="n">
        <f aca="false">IF(AW58=AW57,AV57+AV$1,AV$3-0.5*AV$1*(COUNTIF(AW$11:AW$1000,AW58)-1))</f>
        <v>5.24285714285714</v>
      </c>
      <c r="AW58" s="1" t="n">
        <v>4</v>
      </c>
      <c r="AY58" s="1" t="n">
        <v>48</v>
      </c>
      <c r="AZ58" s="1" t="n">
        <f aca="false">IF(BA58=BA57,AZ57+AZ$1,AZ$3-0.5*AZ$1*(COUNTIF(BA$11:BA$1000,BA58)-1))</f>
        <v>0.812765957446808</v>
      </c>
      <c r="BA58" s="1" t="n">
        <v>2</v>
      </c>
      <c r="BB58" s="1" t="n">
        <f aca="false">IF(BC58=BC57,BB57+BB$1,BB$3-0.5*BB$1*(COUNTIF(BC$11:BC$1000,BC58)-1))</f>
        <v>1.95384615384615</v>
      </c>
      <c r="BC58" s="1" t="n">
        <v>6</v>
      </c>
      <c r="BE58" s="1" t="n">
        <f aca="false">IF(BF58=BF57,BE57+BE$1,BE$3-0.5*BE$1*(COUNTIF(BF$11:BF$1000,BF58)-1))</f>
        <v>0.963636363636364</v>
      </c>
      <c r="BF58" s="1" t="n">
        <v>3</v>
      </c>
      <c r="BG58" s="1" t="n">
        <f aca="false">IF(BH58=BH57,BG57+BG$1,BG$3-0.5*BG$1*(COUNTIF(BH$11:BH$1000,BH58)-1))</f>
        <v>2</v>
      </c>
      <c r="BH58" s="1" t="n">
        <v>13</v>
      </c>
    </row>
    <row r="59" customFormat="false" ht="16" hidden="false" customHeight="false" outlineLevel="0" collapsed="false">
      <c r="A59" s="1" t="n">
        <v>49</v>
      </c>
      <c r="B59" s="1" t="n">
        <f aca="false">IF(C59=C58,B58+B$1,B$3-0.5*B$1*(COUNTIF(C$11:C$1000,C59)-1))</f>
        <v>1.28771929824562</v>
      </c>
      <c r="C59" s="1" t="n">
        <v>1</v>
      </c>
      <c r="D59" s="1" t="n">
        <f aca="false">IF(E59=E58,D58+D$1,D$3-0.5*D$1*(COUNTIF(E$11:E$1000,E59)-1))</f>
        <v>2.12530120481928</v>
      </c>
      <c r="E59" s="1" t="n">
        <v>1</v>
      </c>
      <c r="F59" s="1" t="n">
        <f aca="false">IF(G59=G58,F58+F$1,F$3-0.5*F$1*(COUNTIF(G$11:G$1000,G59)-1))</f>
        <v>2.80625</v>
      </c>
      <c r="G59" s="1" t="n">
        <v>2</v>
      </c>
      <c r="H59" s="1" t="n">
        <f aca="false">IF(I59=I58,H58+H$1,H$3-0.5*H$1*(COUNTIF(I$11:I$1000,I59)-1))</f>
        <v>4.27878787878787</v>
      </c>
      <c r="I59" s="1" t="n">
        <v>1</v>
      </c>
      <c r="J59" s="1" t="n">
        <f aca="false">IF(K59=K58,J58+J$1,J$3-0.5*J$1*(COUNTIF(K$11:K$1000,K59)-1))</f>
        <v>4.83561643835617</v>
      </c>
      <c r="K59" s="1" t="n">
        <v>2</v>
      </c>
      <c r="L59" s="1" t="n">
        <f aca="false">IF(M59=M58,L58+L$1,L$3-0.5*L$1*(COUNTIF(M$11:M$1000,M59)-1))</f>
        <v>5.72105263157894</v>
      </c>
      <c r="M59" s="1" t="n">
        <v>2</v>
      </c>
      <c r="O59" s="1" t="n">
        <f aca="false">IF(P59=P58,O58+O$1,O$3-0.5*O$1*(COUNTIF(P$11:P$1000,P59)-1))</f>
        <v>1.28771929824562</v>
      </c>
      <c r="P59" s="1" t="n">
        <v>1</v>
      </c>
      <c r="Q59" s="1" t="n">
        <f aca="false">IF(R59=R58,Q58+Q$1,Q$3-0.5*Q$1*(COUNTIF(R$11:R$1000,R59)-1))</f>
        <v>2.15714285714286</v>
      </c>
      <c r="R59" s="1" t="n">
        <v>1</v>
      </c>
      <c r="S59" s="1" t="n">
        <f aca="false">IF(T59=T58,S58+S$1,S$3-0.5*S$1*(COUNTIF(T$11:T$1000,T59)-1))</f>
        <v>3</v>
      </c>
      <c r="T59" s="1" t="n">
        <v>2</v>
      </c>
      <c r="U59" s="1" t="n">
        <f aca="false">IF(V59=V58,U58+U$1,U$3-0.5*U$1*(COUNTIF(V$11:V$1000,V59)-1))</f>
        <v>3.98431372549019</v>
      </c>
      <c r="V59" s="1" t="n">
        <v>2</v>
      </c>
      <c r="W59" s="1" t="n">
        <f aca="false">IF(X59=X58,W58+W$1,W$3-0.5*W$1*(COUNTIF(X$11:X$1000,X59)-1))</f>
        <v>5.36923076923077</v>
      </c>
      <c r="X59" s="1" t="n">
        <v>2</v>
      </c>
      <c r="Y59" s="1" t="n">
        <f aca="false">IF(Z59=Z58,Y58+Y$1,Y$3-0.5*Y$1*(COUNTIF(Z$11:Z$1000,Z59)-1))</f>
        <v>5.95897435897436</v>
      </c>
      <c r="Z59" s="1" t="n">
        <v>3</v>
      </c>
      <c r="AB59" s="1" t="n">
        <v>49</v>
      </c>
      <c r="AC59" s="1" t="n">
        <f aca="false">IF(AD59=AD58,AC58+AC$1,AC$3-0.5*AC$1*(COUNTIF(AD$11:AD$1000,AD59)-1))</f>
        <v>1.02666666666667</v>
      </c>
      <c r="AD59" s="1" t="n">
        <v>1</v>
      </c>
      <c r="AE59" s="1" t="n">
        <f aca="false">IF(AF59=AF58,AE58+AE$1,AE$3-0.5*AE$1*(COUNTIF(AF$11:AF$1000,AF59)-1))</f>
        <v>1.76153846153846</v>
      </c>
      <c r="AF59" s="1" t="n">
        <v>2</v>
      </c>
      <c r="AG59" s="1" t="n">
        <f aca="false">IF(AH59=AH58,AG58+AG$1,AG$3-0.5*AG$1*(COUNTIF(AH$11:AH$1000,AH59)-1))</f>
        <v>2.96981132075472</v>
      </c>
      <c r="AH59" s="1" t="n">
        <v>2</v>
      </c>
      <c r="AI59" s="1" t="n">
        <f aca="false">IF(AJ59=AJ58,AI58+AI$1,AI$3-0.5*AI$1*(COUNTIF(AJ$11:AJ$1000,AJ59)-1))</f>
        <v>3.92</v>
      </c>
      <c r="AJ59" s="1" t="n">
        <v>3</v>
      </c>
      <c r="AK59" s="1" t="n">
        <f aca="false">IF(AL59=AL58,AK58+AK$1,AK$3-0.5*AK$1*(COUNTIF(AL$11:AL$1000,AL59)-1))</f>
        <v>5.08135593220338</v>
      </c>
      <c r="AL59" s="1" t="n">
        <v>2</v>
      </c>
      <c r="AN59" s="1" t="n">
        <f aca="false">IF(AO59=AO58,AN58+AN$1,AN$3-0.5*AN$1*(COUNTIF(AO$11:AO$1000,AO59)-1))</f>
        <v>1.07307692307692</v>
      </c>
      <c r="AO59" s="1" t="n">
        <v>1</v>
      </c>
      <c r="AP59" s="1" t="n">
        <f aca="false">IF(AQ59=AQ58,AP58+AP$1,AP$3-0.5*AP$1*(COUNTIF(AQ$11:AQ$1000,AQ59)-1))</f>
        <v>2.11914893617021</v>
      </c>
      <c r="AQ59" s="1" t="n">
        <v>2</v>
      </c>
      <c r="AR59" s="1" t="n">
        <f aca="false">IF(AS59=AS58,AR58+AR$1,AR$3-0.5*AR$1*(COUNTIF(AS$11:AS$1000,AS59)-1))</f>
        <v>3.10909090909091</v>
      </c>
      <c r="AS59" s="1" t="n">
        <v>3</v>
      </c>
      <c r="AT59" s="1" t="n">
        <f aca="false">IF(AU59=AU58,AT58+AT$1,AT$3-0.5*AT$1*(COUNTIF(AU$11:AU$1000,AU59)-1))</f>
        <v>3.77391304347826</v>
      </c>
      <c r="AU59" s="1" t="n">
        <v>6</v>
      </c>
      <c r="AV59" s="1" t="n">
        <f aca="false">IF(AW59=AW58,AV58+AV$1,AV$3-0.5*AV$1*(COUNTIF(AW$11:AW$1000,AW59)-1))</f>
        <v>5.27142857142857</v>
      </c>
      <c r="AW59" s="1" t="n">
        <v>4</v>
      </c>
      <c r="AY59" s="1" t="n">
        <v>49</v>
      </c>
      <c r="AZ59" s="1" t="n">
        <f aca="false">IF(BA59=BA58,AZ58+AZ$1,AZ$3-0.5*AZ$1*(COUNTIF(BA$11:BA$1000,BA59)-1))</f>
        <v>0.829787234042553</v>
      </c>
      <c r="BA59" s="1" t="n">
        <v>2</v>
      </c>
      <c r="BB59" s="1" t="n">
        <f aca="false">IF(BC59=BC58,BB58+BB$1,BB$3-0.5*BB$1*(COUNTIF(BC$11:BC$1000,BC59)-1))</f>
        <v>1.98461538461538</v>
      </c>
      <c r="BC59" s="1" t="n">
        <v>6</v>
      </c>
      <c r="BE59" s="1" t="n">
        <f aca="false">IF(BF59=BF58,BE58+BE$1,BE$3-0.5*BE$1*(COUNTIF(BF$11:BF$1000,BF59)-1))</f>
        <v>0.987878787878788</v>
      </c>
      <c r="BF59" s="1" t="n">
        <v>3</v>
      </c>
      <c r="BG59" s="1" t="n">
        <f aca="false">IF(BH59=BH58,BG58+BG$1,BG$3-0.5*BG$1*(COUNTIF(BH$11:BH$1000,BH59)-1))</f>
        <v>1.96666666666667</v>
      </c>
      <c r="BH59" s="1" t="n">
        <v>14</v>
      </c>
    </row>
    <row r="60" customFormat="false" ht="16" hidden="false" customHeight="false" outlineLevel="0" collapsed="false">
      <c r="A60" s="1" t="n">
        <v>50</v>
      </c>
      <c r="B60" s="1" t="n">
        <f aca="false">IF(C60=C59,B59+B$1,B$3-0.5*B$1*(COUNTIF(C$11:C$1000,C60)-1))</f>
        <v>1.30175438596491</v>
      </c>
      <c r="C60" s="1" t="n">
        <v>1</v>
      </c>
      <c r="D60" s="1" t="n">
        <f aca="false">IF(E60=E59,D59+D$1,D$3-0.5*D$1*(COUNTIF(E$11:E$1000,E60)-1))</f>
        <v>2.13493975903615</v>
      </c>
      <c r="E60" s="1" t="n">
        <v>1</v>
      </c>
      <c r="F60" s="1" t="n">
        <f aca="false">IF(G60=G59,F59+F$1,F$3-0.5*F$1*(COUNTIF(G$11:G$1000,G60)-1))</f>
        <v>2.81875</v>
      </c>
      <c r="G60" s="1" t="n">
        <v>2</v>
      </c>
      <c r="H60" s="1" t="n">
        <f aca="false">IF(I60=I59,H59+H$1,H$3-0.5*H$1*(COUNTIF(I$11:I$1000,I60)-1))</f>
        <v>4.29090909090908</v>
      </c>
      <c r="I60" s="1" t="n">
        <v>1</v>
      </c>
      <c r="J60" s="1" t="n">
        <f aca="false">IF(K60=K59,J59+J$1,J$3-0.5*J$1*(COUNTIF(K$11:K$1000,K60)-1))</f>
        <v>4.84657534246576</v>
      </c>
      <c r="K60" s="1" t="n">
        <v>2</v>
      </c>
      <c r="L60" s="1" t="n">
        <f aca="false">IF(M60=M59,L59+L$1,L$3-0.5*L$1*(COUNTIF(M$11:M$1000,M60)-1))</f>
        <v>5.73157894736842</v>
      </c>
      <c r="M60" s="1" t="n">
        <v>2</v>
      </c>
      <c r="O60" s="1" t="n">
        <f aca="false">IF(P60=P59,O59+O$1,O$3-0.5*O$1*(COUNTIF(P$11:P$1000,P60)-1))</f>
        <v>1.30175438596491</v>
      </c>
      <c r="P60" s="1" t="n">
        <v>1</v>
      </c>
      <c r="Q60" s="1" t="n">
        <f aca="false">IF(R60=R59,Q59+Q$1,Q$3-0.5*Q$1*(COUNTIF(R$11:R$1000,R60)-1))</f>
        <v>2.16666666666667</v>
      </c>
      <c r="R60" s="1" t="n">
        <v>1</v>
      </c>
      <c r="S60" s="1" t="n">
        <f aca="false">IF(T60=T59,S59+S$1,S$3-0.5*S$1*(COUNTIF(T$11:T$1000,T60)-1))</f>
        <v>3.01454545454546</v>
      </c>
      <c r="T60" s="1" t="n">
        <v>2</v>
      </c>
      <c r="U60" s="1" t="n">
        <f aca="false">IF(V60=V59,U59+U$1,U$3-0.5*U$1*(COUNTIF(V$11:V$1000,V60)-1))</f>
        <v>4</v>
      </c>
      <c r="V60" s="1" t="n">
        <v>2</v>
      </c>
      <c r="W60" s="1" t="n">
        <f aca="false">IF(X60=X59,W59+W$1,W$3-0.5*W$1*(COUNTIF(X$11:X$1000,X60)-1))</f>
        <v>5.38974358974359</v>
      </c>
      <c r="X60" s="1" t="n">
        <v>2</v>
      </c>
      <c r="Y60" s="1" t="n">
        <f aca="false">IF(Z60=Z59,Y59+Y$1,Y$3-0.5*Y$1*(COUNTIF(Z$11:Z$1000,Z60)-1))</f>
        <v>5.97948717948718</v>
      </c>
      <c r="Z60" s="1" t="n">
        <v>3</v>
      </c>
      <c r="AB60" s="1" t="n">
        <v>50</v>
      </c>
      <c r="AC60" s="1" t="n">
        <f aca="false">IF(AD60=AD59,AC59+AC$1,AC$3-0.5*AC$1*(COUNTIF(AD$11:AD$1000,AD60)-1))</f>
        <v>1.03428571428572</v>
      </c>
      <c r="AD60" s="1" t="n">
        <v>1</v>
      </c>
      <c r="AE60" s="1" t="n">
        <f aca="false">IF(AF60=AF59,AE59+AE$1,AE$3-0.5*AE$1*(COUNTIF(AF$11:AF$1000,AF60)-1))</f>
        <v>1.77692307692308</v>
      </c>
      <c r="AF60" s="1" t="n">
        <v>2</v>
      </c>
      <c r="AG60" s="1" t="n">
        <f aca="false">IF(AH60=AH59,AG59+AG$1,AG$3-0.5*AG$1*(COUNTIF(AH$11:AH$1000,AH60)-1))</f>
        <v>2.98490566037736</v>
      </c>
      <c r="AH60" s="1" t="n">
        <v>2</v>
      </c>
      <c r="AI60" s="1" t="n">
        <f aca="false">IF(AJ60=AJ59,AI59+AI$1,AI$3-0.5*AI$1*(COUNTIF(AJ$11:AJ$1000,AJ60)-1))</f>
        <v>3.94285714285714</v>
      </c>
      <c r="AJ60" s="1" t="n">
        <v>3</v>
      </c>
      <c r="AK60" s="1" t="n">
        <f aca="false">IF(AL60=AL59,AK59+AK$1,AK$3-0.5*AK$1*(COUNTIF(AL$11:AL$1000,AL60)-1))</f>
        <v>5.09491525423728</v>
      </c>
      <c r="AL60" s="1" t="n">
        <v>2</v>
      </c>
      <c r="AN60" s="1" t="n">
        <f aca="false">IF(AO60=AO59,AN59+AN$1,AN$3-0.5*AN$1*(COUNTIF(AO$11:AO$1000,AO60)-1))</f>
        <v>1.08076923076923</v>
      </c>
      <c r="AO60" s="1" t="n">
        <v>1</v>
      </c>
      <c r="AP60" s="1" t="n">
        <f aca="false">IF(AQ60=AQ59,AP59+AP$1,AP$3-0.5*AP$1*(COUNTIF(AQ$11:AQ$1000,AQ60)-1))</f>
        <v>2.13617021276596</v>
      </c>
      <c r="AQ60" s="1" t="n">
        <v>2</v>
      </c>
      <c r="AR60" s="1" t="n">
        <f aca="false">IF(AS60=AS59,AR59+AR$1,AR$3-0.5*AR$1*(COUNTIF(AS$11:AS$1000,AS60)-1))</f>
        <v>3.13333333333333</v>
      </c>
      <c r="AS60" s="1" t="n">
        <v>3</v>
      </c>
      <c r="AT60" s="1" t="n">
        <f aca="false">IF(AU60=AU59,AT59+AT$1,AT$3-0.5*AT$1*(COUNTIF(AU$11:AU$1000,AU60)-1))</f>
        <v>3.80869565217391</v>
      </c>
      <c r="AU60" s="1" t="n">
        <v>6</v>
      </c>
      <c r="AV60" s="1" t="n">
        <f aca="false">IF(AW60=AW59,AV59+AV$1,AV$3-0.5*AV$1*(COUNTIF(AW$11:AW$1000,AW60)-1))</f>
        <v>5.3</v>
      </c>
      <c r="AW60" s="1" t="n">
        <v>4</v>
      </c>
      <c r="AY60" s="1" t="n">
        <v>50</v>
      </c>
      <c r="AZ60" s="1" t="n">
        <f aca="false">IF(BA60=BA59,AZ59+AZ$1,AZ$3-0.5*AZ$1*(COUNTIF(BA$11:BA$1000,BA60)-1))</f>
        <v>0.846808510638298</v>
      </c>
      <c r="BA60" s="1" t="n">
        <v>2</v>
      </c>
      <c r="BB60" s="1" t="n">
        <f aca="false">IF(BC60=BC59,BB59+BB$1,BB$3-0.5*BB$1*(COUNTIF(BC$11:BC$1000,BC60)-1))</f>
        <v>2.01538461538462</v>
      </c>
      <c r="BC60" s="1" t="n">
        <v>6</v>
      </c>
      <c r="BE60" s="1" t="n">
        <f aca="false">IF(BF60=BF59,BE59+BE$1,BE$3-0.5*BE$1*(COUNTIF(BF$11:BF$1000,BF60)-1))</f>
        <v>1.01212121212121</v>
      </c>
      <c r="BF60" s="1" t="n">
        <v>3</v>
      </c>
      <c r="BG60" s="1" t="n">
        <f aca="false">IF(BH60=BH59,BG59+BG$1,BG$3-0.5*BG$1*(COUNTIF(BH$11:BH$1000,BH60)-1))</f>
        <v>2.03333333333333</v>
      </c>
      <c r="BH60" s="1" t="n">
        <v>14</v>
      </c>
    </row>
    <row r="61" customFormat="false" ht="16" hidden="false" customHeight="false" outlineLevel="0" collapsed="false">
      <c r="A61" s="1" t="n">
        <v>51</v>
      </c>
      <c r="B61" s="1" t="n">
        <f aca="false">IF(C61=C60,B60+B$1,B$3-0.5*B$1*(COUNTIF(C$11:C$1000,C61)-1))</f>
        <v>1.31578947368421</v>
      </c>
      <c r="C61" s="1" t="n">
        <v>1</v>
      </c>
      <c r="D61" s="1" t="n">
        <f aca="false">IF(E61=E60,D60+D$1,D$3-0.5*D$1*(COUNTIF(E$11:E$1000,E61)-1))</f>
        <v>2.14457831325301</v>
      </c>
      <c r="E61" s="1" t="n">
        <v>1</v>
      </c>
      <c r="F61" s="1" t="n">
        <f aca="false">IF(G61=G60,F60+F$1,F$3-0.5*F$1*(COUNTIF(G$11:G$1000,G61)-1))</f>
        <v>2.83125</v>
      </c>
      <c r="G61" s="1" t="n">
        <v>2</v>
      </c>
      <c r="H61" s="1" t="n">
        <f aca="false">IF(I61=I60,H60+H$1,H$3-0.5*H$1*(COUNTIF(I$11:I$1000,I61)-1))</f>
        <v>4.3030303030303</v>
      </c>
      <c r="I61" s="1" t="n">
        <v>1</v>
      </c>
      <c r="J61" s="1" t="n">
        <f aca="false">IF(K61=K60,J60+J$1,J$3-0.5*J$1*(COUNTIF(K$11:K$1000,K61)-1))</f>
        <v>4.85753424657535</v>
      </c>
      <c r="K61" s="1" t="n">
        <v>2</v>
      </c>
      <c r="L61" s="1" t="n">
        <f aca="false">IF(M61=M60,L60+L$1,L$3-0.5*L$1*(COUNTIF(M$11:M$1000,M61)-1))</f>
        <v>5.74210526315789</v>
      </c>
      <c r="M61" s="1" t="n">
        <v>2</v>
      </c>
      <c r="O61" s="1" t="n">
        <f aca="false">IF(P61=P60,O60+O$1,O$3-0.5*O$1*(COUNTIF(P$11:P$1000,P61)-1))</f>
        <v>1.31578947368421</v>
      </c>
      <c r="P61" s="1" t="n">
        <v>1</v>
      </c>
      <c r="Q61" s="1" t="n">
        <f aca="false">IF(R61=R60,Q60+Q$1,Q$3-0.5*Q$1*(COUNTIF(R$11:R$1000,R61)-1))</f>
        <v>2.17619047619047</v>
      </c>
      <c r="R61" s="1" t="n">
        <v>1</v>
      </c>
      <c r="S61" s="1" t="n">
        <f aca="false">IF(T61=T60,S60+S$1,S$3-0.5*S$1*(COUNTIF(T$11:T$1000,T61)-1))</f>
        <v>3.02909090909091</v>
      </c>
      <c r="T61" s="1" t="n">
        <v>2</v>
      </c>
      <c r="U61" s="1" t="n">
        <f aca="false">IF(V61=V60,U60+U$1,U$3-0.5*U$1*(COUNTIF(V$11:V$1000,V61)-1))</f>
        <v>4.0156862745098</v>
      </c>
      <c r="V61" s="1" t="n">
        <v>2</v>
      </c>
      <c r="W61" s="1" t="n">
        <f aca="false">IF(X61=X60,W60+W$1,W$3-0.5*W$1*(COUNTIF(X$11:X$1000,X61)-1))</f>
        <v>4.77435897435897</v>
      </c>
      <c r="X61" s="1" t="n">
        <v>3</v>
      </c>
      <c r="Y61" s="1" t="n">
        <f aca="false">IF(Z61=Z60,Y60+Y$1,Y$3-0.5*Y$1*(COUNTIF(Z$11:Z$1000,Z61)-1))</f>
        <v>6</v>
      </c>
      <c r="Z61" s="1" t="n">
        <v>3</v>
      </c>
      <c r="AB61" s="1" t="n">
        <v>51</v>
      </c>
      <c r="AC61" s="1" t="n">
        <f aca="false">IF(AD61=AD60,AC60+AC$1,AC$3-0.5*AC$1*(COUNTIF(AD$11:AD$1000,AD61)-1))</f>
        <v>1.04190476190476</v>
      </c>
      <c r="AD61" s="1" t="n">
        <v>1</v>
      </c>
      <c r="AE61" s="1" t="n">
        <f aca="false">IF(AF61=AF60,AE60+AE$1,AE$3-0.5*AE$1*(COUNTIF(AF$11:AF$1000,AF61)-1))</f>
        <v>1.79230769230769</v>
      </c>
      <c r="AF61" s="1" t="n">
        <v>2</v>
      </c>
      <c r="AG61" s="1" t="n">
        <f aca="false">IF(AH61=AH60,AG60+AG$1,AG$3-0.5*AG$1*(COUNTIF(AH$11:AH$1000,AH61)-1))</f>
        <v>3</v>
      </c>
      <c r="AH61" s="1" t="n">
        <v>2</v>
      </c>
      <c r="AI61" s="1" t="n">
        <f aca="false">IF(AJ61=AJ60,AI60+AI$1,AI$3-0.5*AI$1*(COUNTIF(AJ$11:AJ$1000,AJ61)-1))</f>
        <v>3.96571428571428</v>
      </c>
      <c r="AJ61" s="1" t="n">
        <v>3</v>
      </c>
      <c r="AK61" s="1" t="n">
        <f aca="false">IF(AL61=AL60,AK60+AK$1,AK$3-0.5*AK$1*(COUNTIF(AL$11:AL$1000,AL61)-1))</f>
        <v>5.10847457627118</v>
      </c>
      <c r="AL61" s="1" t="n">
        <v>2</v>
      </c>
      <c r="AN61" s="1" t="n">
        <f aca="false">IF(AO61=AO60,AN60+AN$1,AN$3-0.5*AN$1*(COUNTIF(AO$11:AO$1000,AO61)-1))</f>
        <v>1.08846153846154</v>
      </c>
      <c r="AO61" s="1" t="n">
        <v>1</v>
      </c>
      <c r="AP61" s="1" t="n">
        <f aca="false">IF(AQ61=AQ60,AP60+AP$1,AP$3-0.5*AP$1*(COUNTIF(AQ$11:AQ$1000,AQ61)-1))</f>
        <v>2.1531914893617</v>
      </c>
      <c r="AQ61" s="1" t="n">
        <v>2</v>
      </c>
      <c r="AR61" s="1" t="n">
        <f aca="false">IF(AS61=AS60,AR60+AR$1,AR$3-0.5*AR$1*(COUNTIF(AS$11:AS$1000,AS61)-1))</f>
        <v>3.15757575757576</v>
      </c>
      <c r="AS61" s="1" t="n">
        <v>3</v>
      </c>
      <c r="AT61" s="1" t="n">
        <f aca="false">IF(AU61=AU60,AT60+AT$1,AT$3-0.5*AT$1*(COUNTIF(AU$11:AU$1000,AU61)-1))</f>
        <v>3.84347826086956</v>
      </c>
      <c r="AU61" s="1" t="n">
        <v>6</v>
      </c>
      <c r="AV61" s="1" t="n">
        <f aca="false">IF(AW61=AW60,AV60+AV$1,AV$3-0.5*AV$1*(COUNTIF(AW$11:AW$1000,AW61)-1))</f>
        <v>5.32857142857143</v>
      </c>
      <c r="AW61" s="1" t="n">
        <v>4</v>
      </c>
      <c r="AY61" s="1" t="n">
        <v>51</v>
      </c>
      <c r="AZ61" s="1" t="n">
        <f aca="false">IF(BA61=BA60,AZ60+AZ$1,AZ$3-0.5*AZ$1*(COUNTIF(BA$11:BA$1000,BA61)-1))</f>
        <v>0.863829787234043</v>
      </c>
      <c r="BA61" s="1" t="n">
        <v>2</v>
      </c>
      <c r="BB61" s="1" t="n">
        <f aca="false">IF(BC61=BC60,BB60+BB$1,BB$3-0.5*BB$1*(COUNTIF(BC$11:BC$1000,BC61)-1))</f>
        <v>2.04615384615385</v>
      </c>
      <c r="BC61" s="1" t="n">
        <v>6</v>
      </c>
      <c r="BE61" s="1" t="n">
        <f aca="false">IF(BF61=BF60,BE60+BE$1,BE$3-0.5*BE$1*(COUNTIF(BF$11:BF$1000,BF61)-1))</f>
        <v>1.03636363636364</v>
      </c>
      <c r="BF61" s="1" t="n">
        <v>3</v>
      </c>
      <c r="BG61" s="1" t="n">
        <f aca="false">IF(BH61=BH60,BG60+BG$1,BG$3-0.5*BG$1*(COUNTIF(BH$11:BH$1000,BH61)-1))</f>
        <v>2</v>
      </c>
      <c r="BH61" s="1" t="n">
        <v>15</v>
      </c>
    </row>
    <row r="62" customFormat="false" ht="16" hidden="false" customHeight="false" outlineLevel="0" collapsed="false">
      <c r="A62" s="1" t="n">
        <v>52</v>
      </c>
      <c r="B62" s="1" t="n">
        <f aca="false">IF(C62=C61,B61+B$1,B$3-0.5*B$1*(COUNTIF(C$11:C$1000,C62)-1))</f>
        <v>1.32982456140351</v>
      </c>
      <c r="C62" s="1" t="n">
        <v>1</v>
      </c>
      <c r="D62" s="1" t="n">
        <f aca="false">IF(E62=E61,D61+D$1,D$3-0.5*D$1*(COUNTIF(E$11:E$1000,E62)-1))</f>
        <v>2.15421686746988</v>
      </c>
      <c r="E62" s="1" t="n">
        <v>1</v>
      </c>
      <c r="F62" s="1" t="n">
        <f aca="false">IF(G62=G61,F61+F$1,F$3-0.5*F$1*(COUNTIF(G$11:G$1000,G62)-1))</f>
        <v>2.84375</v>
      </c>
      <c r="G62" s="1" t="n">
        <v>2</v>
      </c>
      <c r="H62" s="1" t="n">
        <f aca="false">IF(I62=I61,H61+H$1,H$3-0.5*H$1*(COUNTIF(I$11:I$1000,I62)-1))</f>
        <v>3.60606060606061</v>
      </c>
      <c r="I62" s="1" t="n">
        <v>2</v>
      </c>
      <c r="J62" s="1" t="n">
        <f aca="false">IF(K62=K61,J61+J$1,J$3-0.5*J$1*(COUNTIF(K$11:K$1000,K62)-1))</f>
        <v>4.86849315068494</v>
      </c>
      <c r="K62" s="1" t="n">
        <v>2</v>
      </c>
      <c r="L62" s="1" t="n">
        <f aca="false">IF(M62=M61,L61+L$1,L$3-0.5*L$1*(COUNTIF(M$11:M$1000,M62)-1))</f>
        <v>5.75263157894736</v>
      </c>
      <c r="M62" s="1" t="n">
        <v>2</v>
      </c>
      <c r="O62" s="1" t="n">
        <f aca="false">IF(P62=P61,O61+O$1,O$3-0.5*O$1*(COUNTIF(P$11:P$1000,P62)-1))</f>
        <v>1.32982456140351</v>
      </c>
      <c r="P62" s="1" t="n">
        <v>1</v>
      </c>
      <c r="Q62" s="1" t="n">
        <f aca="false">IF(R62=R61,Q61+Q$1,Q$3-0.5*Q$1*(COUNTIF(R$11:R$1000,R62)-1))</f>
        <v>2.18571428571428</v>
      </c>
      <c r="R62" s="1" t="n">
        <v>1</v>
      </c>
      <c r="S62" s="1" t="n">
        <f aca="false">IF(T62=T61,S61+S$1,S$3-0.5*S$1*(COUNTIF(T$11:T$1000,T62)-1))</f>
        <v>3.04363636363637</v>
      </c>
      <c r="T62" s="1" t="n">
        <v>2</v>
      </c>
      <c r="U62" s="1" t="n">
        <f aca="false">IF(V62=V61,U61+U$1,U$3-0.5*U$1*(COUNTIF(V$11:V$1000,V62)-1))</f>
        <v>4.03137254901961</v>
      </c>
      <c r="V62" s="1" t="n">
        <v>2</v>
      </c>
      <c r="W62" s="1" t="n">
        <f aca="false">IF(X62=X61,W61+W$1,W$3-0.5*W$1*(COUNTIF(X$11:X$1000,X62)-1))</f>
        <v>4.7948717948718</v>
      </c>
      <c r="X62" s="1" t="n">
        <v>3</v>
      </c>
      <c r="Y62" s="1" t="n">
        <f aca="false">IF(Z62=Z61,Y61+Y$1,Y$3-0.5*Y$1*(COUNTIF(Z$11:Z$1000,Z62)-1))</f>
        <v>6.02051282051282</v>
      </c>
      <c r="Z62" s="1" t="n">
        <v>3</v>
      </c>
      <c r="AB62" s="1" t="n">
        <v>52</v>
      </c>
      <c r="AC62" s="1" t="n">
        <f aca="false">IF(AD62=AD61,AC61+AC$1,AC$3-0.5*AC$1*(COUNTIF(AD$11:AD$1000,AD62)-1))</f>
        <v>1.04952380952381</v>
      </c>
      <c r="AD62" s="1" t="n">
        <v>1</v>
      </c>
      <c r="AE62" s="1" t="n">
        <f aca="false">IF(AF62=AF61,AE61+AE$1,AE$3-0.5*AE$1*(COUNTIF(AF$11:AF$1000,AF62)-1))</f>
        <v>1.80769230769231</v>
      </c>
      <c r="AF62" s="1" t="n">
        <v>2</v>
      </c>
      <c r="AG62" s="1" t="n">
        <f aca="false">IF(AH62=AH61,AG61+AG$1,AG$3-0.5*AG$1*(COUNTIF(AH$11:AH$1000,AH62)-1))</f>
        <v>3.01509433962264</v>
      </c>
      <c r="AH62" s="1" t="n">
        <v>2</v>
      </c>
      <c r="AI62" s="1" t="n">
        <f aca="false">IF(AJ62=AJ61,AI61+AI$1,AI$3-0.5*AI$1*(COUNTIF(AJ$11:AJ$1000,AJ62)-1))</f>
        <v>3.98857142857143</v>
      </c>
      <c r="AJ62" s="1" t="n">
        <v>3</v>
      </c>
      <c r="AK62" s="1" t="n">
        <f aca="false">IF(AL62=AL61,AK61+AK$1,AK$3-0.5*AK$1*(COUNTIF(AL$11:AL$1000,AL62)-1))</f>
        <v>5.12203389830508</v>
      </c>
      <c r="AL62" s="1" t="n">
        <v>2</v>
      </c>
      <c r="AN62" s="1" t="n">
        <f aca="false">IF(AO62=AO61,AN61+AN$1,AN$3-0.5*AN$1*(COUNTIF(AO$11:AO$1000,AO62)-1))</f>
        <v>1.09615384615384</v>
      </c>
      <c r="AO62" s="1" t="n">
        <v>1</v>
      </c>
      <c r="AP62" s="1" t="n">
        <f aca="false">IF(AQ62=AQ61,AP61+AP$1,AP$3-0.5*AP$1*(COUNTIF(AQ$11:AQ$1000,AQ62)-1))</f>
        <v>2.17021276595745</v>
      </c>
      <c r="AQ62" s="1" t="n">
        <v>2</v>
      </c>
      <c r="AR62" s="1" t="n">
        <f aca="false">IF(AS62=AS61,AR61+AR$1,AR$3-0.5*AR$1*(COUNTIF(AS$11:AS$1000,AS62)-1))</f>
        <v>2.61212121212121</v>
      </c>
      <c r="AS62" s="1" t="n">
        <v>4</v>
      </c>
      <c r="AT62" s="1" t="n">
        <f aca="false">IF(AU62=AU61,AT61+AT$1,AT$3-0.5*AT$1*(COUNTIF(AU$11:AU$1000,AU62)-1))</f>
        <v>3.87826086956522</v>
      </c>
      <c r="AU62" s="1" t="n">
        <v>6</v>
      </c>
      <c r="AV62" s="1" t="n">
        <f aca="false">IF(AW62=AW61,AV61+AV$1,AV$3-0.5*AV$1*(COUNTIF(AW$11:AW$1000,AW62)-1))</f>
        <v>5.35714285714285</v>
      </c>
      <c r="AW62" s="1" t="n">
        <v>4</v>
      </c>
      <c r="AY62" s="1" t="n">
        <v>52</v>
      </c>
      <c r="AZ62" s="1" t="n">
        <f aca="false">IF(BA62=BA61,AZ61+AZ$1,AZ$3-0.5*AZ$1*(COUNTIF(BA$11:BA$1000,BA62)-1))</f>
        <v>0.880851063829787</v>
      </c>
      <c r="BA62" s="1" t="n">
        <v>2</v>
      </c>
      <c r="BB62" s="1" t="n">
        <f aca="false">IF(BC62=BC61,BB61+BB$1,BB$3-0.5*BB$1*(COUNTIF(BC$11:BC$1000,BC62)-1))</f>
        <v>1.98461538461538</v>
      </c>
      <c r="BC62" s="1" t="n">
        <v>8</v>
      </c>
      <c r="BE62" s="1" t="n">
        <f aca="false">IF(BF62=BF61,BE61+BE$1,BE$3-0.5*BE$1*(COUNTIF(BF$11:BF$1000,BF62)-1))</f>
        <v>1.06060606060606</v>
      </c>
      <c r="BF62" s="1" t="n">
        <v>3</v>
      </c>
      <c r="BG62" s="1" t="n">
        <f aca="false">IF(BH62=BH61,BG61+BG$1,BG$3-0.5*BG$1*(COUNTIF(BH$11:BH$1000,BH62)-1))</f>
        <v>1.96666666666667</v>
      </c>
      <c r="BH62" s="1" t="n">
        <v>16</v>
      </c>
    </row>
    <row r="63" customFormat="false" ht="16" hidden="false" customHeight="false" outlineLevel="0" collapsed="false">
      <c r="A63" s="1" t="n">
        <v>53</v>
      </c>
      <c r="B63" s="1" t="n">
        <f aca="false">IF(C63=C62,B62+B$1,B$3-0.5*B$1*(COUNTIF(C$11:C$1000,C63)-1))</f>
        <v>1.34385964912281</v>
      </c>
      <c r="C63" s="1" t="n">
        <v>1</v>
      </c>
      <c r="D63" s="1" t="n">
        <f aca="false">IF(E63=E62,D62+D$1,D$3-0.5*D$1*(COUNTIF(E$11:E$1000,E63)-1))</f>
        <v>2.16385542168675</v>
      </c>
      <c r="E63" s="1" t="n">
        <v>1</v>
      </c>
      <c r="F63" s="1" t="n">
        <f aca="false">IF(G63=G62,F62+F$1,F$3-0.5*F$1*(COUNTIF(G$11:G$1000,G63)-1))</f>
        <v>2.85625</v>
      </c>
      <c r="G63" s="1" t="n">
        <v>2</v>
      </c>
      <c r="H63" s="1" t="n">
        <f aca="false">IF(I63=I62,H62+H$1,H$3-0.5*H$1*(COUNTIF(I$11:I$1000,I63)-1))</f>
        <v>3.61818181818182</v>
      </c>
      <c r="I63" s="1" t="n">
        <v>2</v>
      </c>
      <c r="J63" s="1" t="n">
        <f aca="false">IF(K63=K62,J62+J$1,J$3-0.5*J$1*(COUNTIF(K$11:K$1000,K63)-1))</f>
        <v>4.87945205479453</v>
      </c>
      <c r="K63" s="1" t="n">
        <v>2</v>
      </c>
      <c r="L63" s="1" t="n">
        <f aca="false">IF(M63=M62,L62+L$1,L$3-0.5*L$1*(COUNTIF(M$11:M$1000,M63)-1))</f>
        <v>5.76315789473684</v>
      </c>
      <c r="M63" s="1" t="n">
        <v>2</v>
      </c>
      <c r="O63" s="1" t="n">
        <f aca="false">IF(P63=P62,O62+O$1,O$3-0.5*O$1*(COUNTIF(P$11:P$1000,P63)-1))</f>
        <v>1.34385964912281</v>
      </c>
      <c r="P63" s="1" t="n">
        <v>1</v>
      </c>
      <c r="Q63" s="1" t="n">
        <f aca="false">IF(R63=R62,Q62+Q$1,Q$3-0.5*Q$1*(COUNTIF(R$11:R$1000,R63)-1))</f>
        <v>2.19523809523809</v>
      </c>
      <c r="R63" s="1" t="n">
        <v>1</v>
      </c>
      <c r="S63" s="1" t="n">
        <f aca="false">IF(T63=T62,S62+S$1,S$3-0.5*S$1*(COUNTIF(T$11:T$1000,T63)-1))</f>
        <v>3.05818181818182</v>
      </c>
      <c r="T63" s="1" t="n">
        <v>2</v>
      </c>
      <c r="U63" s="1" t="n">
        <f aca="false">IF(V63=V62,U62+U$1,U$3-0.5*U$1*(COUNTIF(V$11:V$1000,V63)-1))</f>
        <v>4.04705882352941</v>
      </c>
      <c r="V63" s="1" t="n">
        <v>2</v>
      </c>
      <c r="W63" s="1" t="n">
        <f aca="false">IF(X63=X62,W62+W$1,W$3-0.5*W$1*(COUNTIF(X$11:X$1000,X63)-1))</f>
        <v>4.81538461538462</v>
      </c>
      <c r="X63" s="1" t="n">
        <v>3</v>
      </c>
      <c r="Y63" s="1" t="n">
        <f aca="false">IF(Z63=Z62,Y62+Y$1,Y$3-0.5*Y$1*(COUNTIF(Z$11:Z$1000,Z63)-1))</f>
        <v>6.04102564102564</v>
      </c>
      <c r="Z63" s="1" t="n">
        <v>3</v>
      </c>
      <c r="AB63" s="1" t="n">
        <v>53</v>
      </c>
      <c r="AC63" s="1" t="n">
        <f aca="false">IF(AD63=AD62,AC62+AC$1,AC$3-0.5*AC$1*(COUNTIF(AD$11:AD$1000,AD63)-1))</f>
        <v>1.05714285714286</v>
      </c>
      <c r="AD63" s="1" t="n">
        <v>1</v>
      </c>
      <c r="AE63" s="1" t="n">
        <f aca="false">IF(AF63=AF62,AE62+AE$1,AE$3-0.5*AE$1*(COUNTIF(AF$11:AF$1000,AF63)-1))</f>
        <v>1.82307692307692</v>
      </c>
      <c r="AF63" s="1" t="n">
        <v>2</v>
      </c>
      <c r="AG63" s="1" t="n">
        <f aca="false">IF(AH63=AH62,AG62+AG$1,AG$3-0.5*AG$1*(COUNTIF(AH$11:AH$1000,AH63)-1))</f>
        <v>3.03018867924528</v>
      </c>
      <c r="AH63" s="1" t="n">
        <v>2</v>
      </c>
      <c r="AI63" s="1" t="n">
        <f aca="false">IF(AJ63=AJ62,AI62+AI$1,AI$3-0.5*AI$1*(COUNTIF(AJ$11:AJ$1000,AJ63)-1))</f>
        <v>4.01142857142857</v>
      </c>
      <c r="AJ63" s="1" t="n">
        <v>3</v>
      </c>
      <c r="AK63" s="1" t="n">
        <f aca="false">IF(AL63=AL62,AK62+AK$1,AK$3-0.5*AK$1*(COUNTIF(AL$11:AL$1000,AL63)-1))</f>
        <v>5.13559322033898</v>
      </c>
      <c r="AL63" s="1" t="n">
        <v>2</v>
      </c>
      <c r="AN63" s="1" t="n">
        <f aca="false">IF(AO63=AO62,AN62+AN$1,AN$3-0.5*AN$1*(COUNTIF(AO$11:AO$1000,AO63)-1))</f>
        <v>1.10384615384615</v>
      </c>
      <c r="AO63" s="1" t="n">
        <v>1</v>
      </c>
      <c r="AP63" s="1" t="n">
        <f aca="false">IF(AQ63=AQ62,AP62+AP$1,AP$3-0.5*AP$1*(COUNTIF(AQ$11:AQ$1000,AQ63)-1))</f>
        <v>2.18723404255319</v>
      </c>
      <c r="AQ63" s="1" t="n">
        <v>2</v>
      </c>
      <c r="AR63" s="1" t="n">
        <f aca="false">IF(AS63=AS62,AR62+AR$1,AR$3-0.5*AR$1*(COUNTIF(AS$11:AS$1000,AS63)-1))</f>
        <v>2.63636363636364</v>
      </c>
      <c r="AS63" s="1" t="n">
        <v>4</v>
      </c>
      <c r="AT63" s="1" t="n">
        <f aca="false">IF(AU63=AU62,AT62+AT$1,AT$3-0.5*AT$1*(COUNTIF(AU$11:AU$1000,AU63)-1))</f>
        <v>3.91304347826087</v>
      </c>
      <c r="AU63" s="1" t="n">
        <v>6</v>
      </c>
      <c r="AV63" s="1" t="n">
        <f aca="false">IF(AW63=AW62,AV62+AV$1,AV$3-0.5*AV$1*(COUNTIF(AW$11:AW$1000,AW63)-1))</f>
        <v>5.38571428571428</v>
      </c>
      <c r="AW63" s="1" t="n">
        <v>4</v>
      </c>
      <c r="AY63" s="1" t="n">
        <v>53</v>
      </c>
      <c r="AZ63" s="1" t="n">
        <f aca="false">IF(BA63=BA62,AZ62+AZ$1,AZ$3-0.5*AZ$1*(COUNTIF(BA$11:BA$1000,BA63)-1))</f>
        <v>0.897872340425532</v>
      </c>
      <c r="BA63" s="1" t="n">
        <v>2</v>
      </c>
      <c r="BB63" s="1" t="n">
        <f aca="false">IF(BC63=BC62,BB62+BB$1,BB$3-0.5*BB$1*(COUNTIF(BC$11:BC$1000,BC63)-1))</f>
        <v>2.01538461538462</v>
      </c>
      <c r="BC63" s="1" t="n">
        <v>8</v>
      </c>
      <c r="BE63" s="1" t="n">
        <f aca="false">IF(BF63=BF62,BE62+BE$1,BE$3-0.5*BE$1*(COUNTIF(BF$11:BF$1000,BF63)-1))</f>
        <v>1.08484848484849</v>
      </c>
      <c r="BF63" s="1" t="n">
        <v>3</v>
      </c>
      <c r="BG63" s="1" t="n">
        <f aca="false">IF(BH63=BH62,BG62+BG$1,BG$3-0.5*BG$1*(COUNTIF(BH$11:BH$1000,BH63)-1))</f>
        <v>2.03333333333333</v>
      </c>
      <c r="BH63" s="1" t="n">
        <v>16</v>
      </c>
    </row>
    <row r="64" customFormat="false" ht="16" hidden="false" customHeight="false" outlineLevel="0" collapsed="false">
      <c r="A64" s="1" t="n">
        <v>54</v>
      </c>
      <c r="B64" s="1" t="n">
        <f aca="false">IF(C64=C63,B63+B$1,B$3-0.5*B$1*(COUNTIF(C$11:C$1000,C64)-1))</f>
        <v>1.35789473684211</v>
      </c>
      <c r="C64" s="1" t="n">
        <v>1</v>
      </c>
      <c r="D64" s="1" t="n">
        <f aca="false">IF(E64=E63,D63+D$1,D$3-0.5*D$1*(COUNTIF(E$11:E$1000,E64)-1))</f>
        <v>2.17349397590361</v>
      </c>
      <c r="E64" s="1" t="n">
        <v>1</v>
      </c>
      <c r="F64" s="1" t="n">
        <f aca="false">IF(G64=G63,F63+F$1,F$3-0.5*F$1*(COUNTIF(G$11:G$1000,G64)-1))</f>
        <v>2.86875</v>
      </c>
      <c r="G64" s="1" t="n">
        <v>2</v>
      </c>
      <c r="H64" s="1" t="n">
        <f aca="false">IF(I64=I63,H63+H$1,H$3-0.5*H$1*(COUNTIF(I$11:I$1000,I64)-1))</f>
        <v>3.63030303030303</v>
      </c>
      <c r="I64" s="1" t="n">
        <v>2</v>
      </c>
      <c r="J64" s="1" t="n">
        <f aca="false">IF(K64=K63,J63+J$1,J$3-0.5*J$1*(COUNTIF(K$11:K$1000,K64)-1))</f>
        <v>4.89041095890412</v>
      </c>
      <c r="K64" s="1" t="n">
        <v>2</v>
      </c>
      <c r="L64" s="1" t="n">
        <f aca="false">IF(M64=M63,L63+L$1,L$3-0.5*L$1*(COUNTIF(M$11:M$1000,M64)-1))</f>
        <v>5.77368421052631</v>
      </c>
      <c r="M64" s="1" t="n">
        <v>2</v>
      </c>
      <c r="O64" s="1" t="n">
        <f aca="false">IF(P64=P63,O63+O$1,O$3-0.5*O$1*(COUNTIF(P$11:P$1000,P64)-1))</f>
        <v>1.35789473684211</v>
      </c>
      <c r="P64" s="1" t="n">
        <v>1</v>
      </c>
      <c r="Q64" s="1" t="n">
        <f aca="false">IF(R64=R63,Q63+Q$1,Q$3-0.5*Q$1*(COUNTIF(R$11:R$1000,R64)-1))</f>
        <v>2.2047619047619</v>
      </c>
      <c r="R64" s="1" t="n">
        <v>1</v>
      </c>
      <c r="S64" s="1" t="n">
        <f aca="false">IF(T64=T63,S63+S$1,S$3-0.5*S$1*(COUNTIF(T$11:T$1000,T64)-1))</f>
        <v>3.07272727272728</v>
      </c>
      <c r="T64" s="1" t="n">
        <v>2</v>
      </c>
      <c r="U64" s="1" t="n">
        <f aca="false">IF(V64=V63,U63+U$1,U$3-0.5*U$1*(COUNTIF(V$11:V$1000,V64)-1))</f>
        <v>4.06274509803921</v>
      </c>
      <c r="V64" s="1" t="n">
        <v>2</v>
      </c>
      <c r="W64" s="1" t="n">
        <f aca="false">IF(X64=X63,W63+W$1,W$3-0.5*W$1*(COUNTIF(X$11:X$1000,X64)-1))</f>
        <v>4.83589743589744</v>
      </c>
      <c r="X64" s="1" t="n">
        <v>3</v>
      </c>
      <c r="Y64" s="1" t="n">
        <f aca="false">IF(Z64=Z63,Y63+Y$1,Y$3-0.5*Y$1*(COUNTIF(Z$11:Z$1000,Z64)-1))</f>
        <v>6.06153846153846</v>
      </c>
      <c r="Z64" s="1" t="n">
        <v>3</v>
      </c>
      <c r="AB64" s="1" t="n">
        <v>54</v>
      </c>
      <c r="AC64" s="1" t="n">
        <f aca="false">IF(AD64=AD63,AC63+AC$1,AC$3-0.5*AC$1*(COUNTIF(AD$11:AD$1000,AD64)-1))</f>
        <v>1.06476190476191</v>
      </c>
      <c r="AD64" s="1" t="n">
        <v>1</v>
      </c>
      <c r="AE64" s="1" t="n">
        <f aca="false">IF(AF64=AF63,AE63+AE$1,AE$3-0.5*AE$1*(COUNTIF(AF$11:AF$1000,AF64)-1))</f>
        <v>1.83846153846154</v>
      </c>
      <c r="AF64" s="1" t="n">
        <v>2</v>
      </c>
      <c r="AG64" s="1" t="n">
        <f aca="false">IF(AH64=AH63,AG63+AG$1,AG$3-0.5*AG$1*(COUNTIF(AH$11:AH$1000,AH64)-1))</f>
        <v>3.04528301886792</v>
      </c>
      <c r="AH64" s="1" t="n">
        <v>2</v>
      </c>
      <c r="AI64" s="1" t="n">
        <f aca="false">IF(AJ64=AJ63,AI63+AI$1,AI$3-0.5*AI$1*(COUNTIF(AJ$11:AJ$1000,AJ64)-1))</f>
        <v>4.03428571428571</v>
      </c>
      <c r="AJ64" s="1" t="n">
        <v>3</v>
      </c>
      <c r="AK64" s="1" t="n">
        <f aca="false">IF(AL64=AL63,AK63+AK$1,AK$3-0.5*AK$1*(COUNTIF(AL$11:AL$1000,AL64)-1))</f>
        <v>5.14915254237287</v>
      </c>
      <c r="AL64" s="1" t="n">
        <v>2</v>
      </c>
      <c r="AN64" s="1" t="n">
        <f aca="false">IF(AO64=AO63,AN63+AN$1,AN$3-0.5*AN$1*(COUNTIF(AO$11:AO$1000,AO64)-1))</f>
        <v>1.11153846153846</v>
      </c>
      <c r="AO64" s="1" t="n">
        <v>1</v>
      </c>
      <c r="AP64" s="1" t="n">
        <f aca="false">IF(AQ64=AQ63,AP63+AP$1,AP$3-0.5*AP$1*(COUNTIF(AQ$11:AQ$1000,AQ64)-1))</f>
        <v>2.20425531914894</v>
      </c>
      <c r="AQ64" s="1" t="n">
        <v>2</v>
      </c>
      <c r="AR64" s="1" t="n">
        <f aca="false">IF(AS64=AS63,AR63+AR$1,AR$3-0.5*AR$1*(COUNTIF(AS$11:AS$1000,AS64)-1))</f>
        <v>2.66060606060606</v>
      </c>
      <c r="AS64" s="1" t="n">
        <v>4</v>
      </c>
      <c r="AT64" s="1" t="n">
        <f aca="false">IF(AU64=AU63,AT63+AT$1,AT$3-0.5*AT$1*(COUNTIF(AU$11:AU$1000,AU64)-1))</f>
        <v>3.94782608695652</v>
      </c>
      <c r="AU64" s="1" t="n">
        <v>6</v>
      </c>
      <c r="AV64" s="1" t="n">
        <f aca="false">IF(AW64=AW63,AV63+AV$1,AV$3-0.5*AV$1*(COUNTIF(AW$11:AW$1000,AW64)-1))</f>
        <v>4.91428571428571</v>
      </c>
      <c r="AW64" s="1" t="n">
        <v>5</v>
      </c>
      <c r="AY64" s="1" t="n">
        <v>54</v>
      </c>
      <c r="AZ64" s="1" t="n">
        <f aca="false">IF(BA64=BA63,AZ63+AZ$1,AZ$3-0.5*AZ$1*(COUNTIF(BA$11:BA$1000,BA64)-1))</f>
        <v>0.914893617021277</v>
      </c>
      <c r="BA64" s="1" t="n">
        <v>2</v>
      </c>
      <c r="BB64" s="1" t="n">
        <f aca="false">IF(BC64=BC63,BB63+BB$1,BB$3-0.5*BB$1*(COUNTIF(BC$11:BC$1000,BC64)-1))</f>
        <v>2</v>
      </c>
      <c r="BC64" s="1" t="n">
        <v>9</v>
      </c>
      <c r="BE64" s="1" t="n">
        <f aca="false">IF(BF64=BF63,BE63+BE$1,BE$3-0.5*BE$1*(COUNTIF(BF$11:BF$1000,BF64)-1))</f>
        <v>1.10909090909091</v>
      </c>
      <c r="BF64" s="1" t="n">
        <v>3</v>
      </c>
      <c r="BG64" s="1" t="n">
        <f aca="false">IF(BH64=BH63,BG63+BG$1,BG$3-0.5*BG$1*(COUNTIF(BH$11:BH$1000,BH64)-1))</f>
        <v>2</v>
      </c>
      <c r="BH64" s="1" t="n">
        <v>18</v>
      </c>
    </row>
    <row r="65" customFormat="false" ht="16" hidden="false" customHeight="false" outlineLevel="0" collapsed="false">
      <c r="A65" s="1" t="n">
        <v>55</v>
      </c>
      <c r="B65" s="1" t="n">
        <f aca="false">IF(C65=C64,B64+B$1,B$3-0.5*B$1*(COUNTIF(C$11:C$1000,C65)-1))</f>
        <v>1.37192982456141</v>
      </c>
      <c r="C65" s="1" t="n">
        <v>1</v>
      </c>
      <c r="D65" s="1" t="n">
        <f aca="false">IF(E65=E64,D64+D$1,D$3-0.5*D$1*(COUNTIF(E$11:E$1000,E65)-1))</f>
        <v>2.18313253012048</v>
      </c>
      <c r="E65" s="1" t="n">
        <v>1</v>
      </c>
      <c r="F65" s="1" t="n">
        <f aca="false">IF(G65=G64,F64+F$1,F$3-0.5*F$1*(COUNTIF(G$11:G$1000,G65)-1))</f>
        <v>2.88125</v>
      </c>
      <c r="G65" s="1" t="n">
        <v>2</v>
      </c>
      <c r="H65" s="1" t="n">
        <f aca="false">IF(I65=I64,H64+H$1,H$3-0.5*H$1*(COUNTIF(I$11:I$1000,I65)-1))</f>
        <v>3.64242424242424</v>
      </c>
      <c r="I65" s="1" t="n">
        <v>2</v>
      </c>
      <c r="J65" s="1" t="n">
        <f aca="false">IF(K65=K64,J64+J$1,J$3-0.5*J$1*(COUNTIF(K$11:K$1000,K65)-1))</f>
        <v>4.90136986301371</v>
      </c>
      <c r="K65" s="1" t="n">
        <v>2</v>
      </c>
      <c r="L65" s="1" t="n">
        <f aca="false">IF(M65=M64,L64+L$1,L$3-0.5*L$1*(COUNTIF(M$11:M$1000,M65)-1))</f>
        <v>5.78421052631578</v>
      </c>
      <c r="M65" s="1" t="n">
        <v>2</v>
      </c>
      <c r="O65" s="1" t="n">
        <f aca="false">IF(P65=P64,O64+O$1,O$3-0.5*O$1*(COUNTIF(P$11:P$1000,P65)-1))</f>
        <v>1.37192982456141</v>
      </c>
      <c r="P65" s="1" t="n">
        <v>1</v>
      </c>
      <c r="Q65" s="1" t="n">
        <f aca="false">IF(R65=R64,Q64+Q$1,Q$3-0.5*Q$1*(COUNTIF(R$11:R$1000,R65)-1))</f>
        <v>2.21428571428571</v>
      </c>
      <c r="R65" s="1" t="n">
        <v>1</v>
      </c>
      <c r="S65" s="1" t="n">
        <f aca="false">IF(T65=T64,S64+S$1,S$3-0.5*S$1*(COUNTIF(T$11:T$1000,T65)-1))</f>
        <v>3.08727272727273</v>
      </c>
      <c r="T65" s="1" t="n">
        <v>2</v>
      </c>
      <c r="U65" s="1" t="n">
        <f aca="false">IF(V65=V64,U64+U$1,U$3-0.5*U$1*(COUNTIF(V$11:V$1000,V65)-1))</f>
        <v>4.07843137254902</v>
      </c>
      <c r="V65" s="1" t="n">
        <v>2</v>
      </c>
      <c r="W65" s="1" t="n">
        <f aca="false">IF(X65=X64,W64+W$1,W$3-0.5*W$1*(COUNTIF(X$11:X$1000,X65)-1))</f>
        <v>4.85641025641026</v>
      </c>
      <c r="X65" s="1" t="n">
        <v>3</v>
      </c>
      <c r="Y65" s="1" t="n">
        <f aca="false">IF(Z65=Z64,Y64+Y$1,Y$3-0.5*Y$1*(COUNTIF(Z$11:Z$1000,Z65)-1))</f>
        <v>6.08205128205128</v>
      </c>
      <c r="Z65" s="1" t="n">
        <v>3</v>
      </c>
      <c r="AB65" s="1" t="n">
        <v>55</v>
      </c>
      <c r="AC65" s="1" t="n">
        <f aca="false">IF(AD65=AD64,AC64+AC$1,AC$3-0.5*AC$1*(COUNTIF(AD$11:AD$1000,AD65)-1))</f>
        <v>1.07238095238095</v>
      </c>
      <c r="AD65" s="1" t="n">
        <v>1</v>
      </c>
      <c r="AE65" s="1" t="n">
        <f aca="false">IF(AF65=AF64,AE64+AE$1,AE$3-0.5*AE$1*(COUNTIF(AF$11:AF$1000,AF65)-1))</f>
        <v>1.85384615384615</v>
      </c>
      <c r="AF65" s="1" t="n">
        <v>2</v>
      </c>
      <c r="AG65" s="1" t="n">
        <f aca="false">IF(AH65=AH64,AG64+AG$1,AG$3-0.5*AG$1*(COUNTIF(AH$11:AH$1000,AH65)-1))</f>
        <v>3.06037735849057</v>
      </c>
      <c r="AH65" s="1" t="n">
        <v>2</v>
      </c>
      <c r="AI65" s="1" t="n">
        <f aca="false">IF(AJ65=AJ64,AI64+AI$1,AI$3-0.5*AI$1*(COUNTIF(AJ$11:AJ$1000,AJ65)-1))</f>
        <v>4.05714285714286</v>
      </c>
      <c r="AJ65" s="1" t="n">
        <v>3</v>
      </c>
      <c r="AK65" s="1" t="n">
        <f aca="false">IF(AL65=AL64,AK64+AK$1,AK$3-0.5*AK$1*(COUNTIF(AL$11:AL$1000,AL65)-1))</f>
        <v>5.16271186440677</v>
      </c>
      <c r="AL65" s="1" t="n">
        <v>2</v>
      </c>
      <c r="AN65" s="1" t="n">
        <f aca="false">IF(AO65=AO64,AN64+AN$1,AN$3-0.5*AN$1*(COUNTIF(AO$11:AO$1000,AO65)-1))</f>
        <v>1.11923076923077</v>
      </c>
      <c r="AO65" s="1" t="n">
        <v>1</v>
      </c>
      <c r="AP65" s="1" t="n">
        <f aca="false">IF(AQ65=AQ64,AP64+AP$1,AP$3-0.5*AP$1*(COUNTIF(AQ$11:AQ$1000,AQ65)-1))</f>
        <v>2.22127659574468</v>
      </c>
      <c r="AQ65" s="1" t="n">
        <v>2</v>
      </c>
      <c r="AR65" s="1" t="n">
        <f aca="false">IF(AS65=AS64,AR64+AR$1,AR$3-0.5*AR$1*(COUNTIF(AS$11:AS$1000,AS65)-1))</f>
        <v>2.68484848484849</v>
      </c>
      <c r="AS65" s="1" t="n">
        <v>4</v>
      </c>
      <c r="AT65" s="1" t="n">
        <f aca="false">IF(AU65=AU64,AT64+AT$1,AT$3-0.5*AT$1*(COUNTIF(AU$11:AU$1000,AU65)-1))</f>
        <v>3.98260869565217</v>
      </c>
      <c r="AU65" s="1" t="n">
        <v>6</v>
      </c>
      <c r="AV65" s="1" t="n">
        <f aca="false">IF(AW65=AW64,AV64+AV$1,AV$3-0.5*AV$1*(COUNTIF(AW$11:AW$1000,AW65)-1))</f>
        <v>4.94285714285714</v>
      </c>
      <c r="AW65" s="1" t="n">
        <v>5</v>
      </c>
      <c r="AY65" s="1" t="n">
        <v>55</v>
      </c>
      <c r="AZ65" s="1" t="n">
        <f aca="false">IF(BA65=BA64,AZ64+AZ$1,AZ$3-0.5*AZ$1*(COUNTIF(BA$11:BA$1000,BA65)-1))</f>
        <v>0.931914893617021</v>
      </c>
      <c r="BA65" s="1" t="n">
        <v>2</v>
      </c>
      <c r="BB65" s="1" t="n">
        <v>-1</v>
      </c>
      <c r="BC65" s="1" t="n">
        <v>-1</v>
      </c>
      <c r="BE65" s="1" t="n">
        <f aca="false">IF(BF65=BF64,BE64+BE$1,BE$3-0.5*BE$1*(COUNTIF(BF$11:BF$1000,BF65)-1))</f>
        <v>1.13333333333333</v>
      </c>
      <c r="BF65" s="1" t="n">
        <v>3</v>
      </c>
      <c r="BG65" s="1" t="n">
        <v>-1</v>
      </c>
      <c r="BH65" s="1" t="n">
        <v>-1</v>
      </c>
    </row>
    <row r="66" customFormat="false" ht="16" hidden="false" customHeight="false" outlineLevel="0" collapsed="false">
      <c r="A66" s="1" t="n">
        <v>56</v>
      </c>
      <c r="B66" s="1" t="n">
        <f aca="false">IF(C66=C65,B65+B$1,B$3-0.5*B$1*(COUNTIF(C$11:C$1000,C66)-1))</f>
        <v>1.3859649122807</v>
      </c>
      <c r="C66" s="1" t="n">
        <v>1</v>
      </c>
      <c r="D66" s="1" t="n">
        <f aca="false">IF(E66=E65,D65+D$1,D$3-0.5*D$1*(COUNTIF(E$11:E$1000,E66)-1))</f>
        <v>2.19277108433735</v>
      </c>
      <c r="E66" s="1" t="n">
        <v>1</v>
      </c>
      <c r="F66" s="1" t="n">
        <f aca="false">IF(G66=G65,F65+F$1,F$3-0.5*F$1*(COUNTIF(G$11:G$1000,G66)-1))</f>
        <v>2.89375</v>
      </c>
      <c r="G66" s="1" t="n">
        <v>2</v>
      </c>
      <c r="H66" s="1" t="n">
        <f aca="false">IF(I66=I65,H65+H$1,H$3-0.5*H$1*(COUNTIF(I$11:I$1000,I66)-1))</f>
        <v>3.65454545454545</v>
      </c>
      <c r="I66" s="1" t="n">
        <v>2</v>
      </c>
      <c r="J66" s="1" t="n">
        <f aca="false">IF(K66=K65,J65+J$1,J$3-0.5*J$1*(COUNTIF(K$11:K$1000,K66)-1))</f>
        <v>4.9123287671233</v>
      </c>
      <c r="K66" s="1" t="n">
        <v>2</v>
      </c>
      <c r="L66" s="1" t="n">
        <f aca="false">IF(M66=M65,L65+L$1,L$3-0.5*L$1*(COUNTIF(M$11:M$1000,M66)-1))</f>
        <v>5.79473684210526</v>
      </c>
      <c r="M66" s="1" t="n">
        <v>2</v>
      </c>
      <c r="O66" s="1" t="n">
        <f aca="false">IF(P66=P65,O65+O$1,O$3-0.5*O$1*(COUNTIF(P$11:P$1000,P66)-1))</f>
        <v>1.3859649122807</v>
      </c>
      <c r="P66" s="1" t="n">
        <v>1</v>
      </c>
      <c r="Q66" s="1" t="n">
        <f aca="false">IF(R66=R65,Q65+Q$1,Q$3-0.5*Q$1*(COUNTIF(R$11:R$1000,R66)-1))</f>
        <v>2.22380952380952</v>
      </c>
      <c r="R66" s="1" t="n">
        <v>1</v>
      </c>
      <c r="S66" s="1" t="n">
        <f aca="false">IF(T66=T65,S65+S$1,S$3-0.5*S$1*(COUNTIF(T$11:T$1000,T66)-1))</f>
        <v>3.10181818181819</v>
      </c>
      <c r="T66" s="1" t="n">
        <v>2</v>
      </c>
      <c r="U66" s="1" t="n">
        <f aca="false">IF(V66=V65,U65+U$1,U$3-0.5*U$1*(COUNTIF(V$11:V$1000,V66)-1))</f>
        <v>4.09411764705882</v>
      </c>
      <c r="V66" s="1" t="n">
        <v>2</v>
      </c>
      <c r="W66" s="1" t="n">
        <f aca="false">IF(X66=X65,W65+W$1,W$3-0.5*W$1*(COUNTIF(X$11:X$1000,X66)-1))</f>
        <v>4.87692307692308</v>
      </c>
      <c r="X66" s="1" t="n">
        <v>3</v>
      </c>
      <c r="Y66" s="1" t="n">
        <f aca="false">IF(Z66=Z65,Y65+Y$1,Y$3-0.5*Y$1*(COUNTIF(Z$11:Z$1000,Z66)-1))</f>
        <v>6.1025641025641</v>
      </c>
      <c r="Z66" s="1" t="n">
        <v>3</v>
      </c>
      <c r="AB66" s="1" t="n">
        <v>56</v>
      </c>
      <c r="AC66" s="1" t="n">
        <f aca="false">IF(AD66=AD65,AC65+AC$1,AC$3-0.5*AC$1*(COUNTIF(AD$11:AD$1000,AD66)-1))</f>
        <v>1.08</v>
      </c>
      <c r="AD66" s="1" t="n">
        <v>1</v>
      </c>
      <c r="AE66" s="1" t="n">
        <f aca="false">IF(AF66=AF65,AE65+AE$1,AE$3-0.5*AE$1*(COUNTIF(AF$11:AF$1000,AF66)-1))</f>
        <v>1.86923076923077</v>
      </c>
      <c r="AF66" s="1" t="n">
        <v>2</v>
      </c>
      <c r="AG66" s="1" t="n">
        <f aca="false">IF(AH66=AH65,AG65+AG$1,AG$3-0.5*AG$1*(COUNTIF(AH$11:AH$1000,AH66)-1))</f>
        <v>3.07547169811321</v>
      </c>
      <c r="AH66" s="1" t="n">
        <v>2</v>
      </c>
      <c r="AI66" s="1" t="n">
        <f aca="false">IF(AJ66=AJ65,AI65+AI$1,AI$3-0.5*AI$1*(COUNTIF(AJ$11:AJ$1000,AJ66)-1))</f>
        <v>4.08</v>
      </c>
      <c r="AJ66" s="1" t="n">
        <v>3</v>
      </c>
      <c r="AK66" s="1" t="n">
        <f aca="false">IF(AL66=AL65,AK65+AK$1,AK$3-0.5*AK$1*(COUNTIF(AL$11:AL$1000,AL66)-1))</f>
        <v>5.17627118644067</v>
      </c>
      <c r="AL66" s="1" t="n">
        <v>2</v>
      </c>
      <c r="AN66" s="1" t="n">
        <f aca="false">IF(AO66=AO65,AN65+AN$1,AN$3-0.5*AN$1*(COUNTIF(AO$11:AO$1000,AO66)-1))</f>
        <v>1.12692307692308</v>
      </c>
      <c r="AO66" s="1" t="n">
        <v>1</v>
      </c>
      <c r="AP66" s="1" t="n">
        <f aca="false">IF(AQ66=AQ65,AP65+AP$1,AP$3-0.5*AP$1*(COUNTIF(AQ$11:AQ$1000,AQ66)-1))</f>
        <v>2.23829787234043</v>
      </c>
      <c r="AQ66" s="1" t="n">
        <v>2</v>
      </c>
      <c r="AR66" s="1" t="n">
        <f aca="false">IF(AS66=AS65,AR65+AR$1,AR$3-0.5*AR$1*(COUNTIF(AS$11:AS$1000,AS66)-1))</f>
        <v>2.70909090909091</v>
      </c>
      <c r="AS66" s="1" t="n">
        <v>4</v>
      </c>
      <c r="AT66" s="1" t="n">
        <f aca="false">IF(AU66=AU65,AT65+AT$1,AT$3-0.5*AT$1*(COUNTIF(AU$11:AU$1000,AU66)-1))</f>
        <v>4.01739130434782</v>
      </c>
      <c r="AU66" s="1" t="n">
        <v>6</v>
      </c>
      <c r="AV66" s="1" t="n">
        <f aca="false">IF(AW66=AW65,AV65+AV$1,AV$3-0.5*AV$1*(COUNTIF(AW$11:AW$1000,AW66)-1))</f>
        <v>4.97142857142857</v>
      </c>
      <c r="AW66" s="1" t="n">
        <v>5</v>
      </c>
      <c r="AY66" s="1" t="n">
        <v>56</v>
      </c>
      <c r="AZ66" s="1" t="n">
        <f aca="false">IF(BA66=BA65,AZ65+AZ$1,AZ$3-0.5*AZ$1*(COUNTIF(BA$11:BA$1000,BA66)-1))</f>
        <v>0.948936170212766</v>
      </c>
      <c r="BA66" s="1" t="n">
        <v>2</v>
      </c>
      <c r="BB66" s="1" t="n">
        <v>-1</v>
      </c>
      <c r="BC66" s="1" t="n">
        <v>-1</v>
      </c>
      <c r="BE66" s="1" t="n">
        <f aca="false">IF(BF66=BF65,BE65+BE$1,BE$3-0.5*BE$1*(COUNTIF(BF$11:BF$1000,BF66)-1))</f>
        <v>1.15757575757576</v>
      </c>
      <c r="BF66" s="1" t="n">
        <v>3</v>
      </c>
      <c r="BG66" s="1" t="n">
        <v>-1</v>
      </c>
      <c r="BH66" s="1" t="n">
        <v>-1</v>
      </c>
    </row>
    <row r="67" customFormat="false" ht="16" hidden="false" customHeight="false" outlineLevel="0" collapsed="false">
      <c r="A67" s="1" t="n">
        <v>57</v>
      </c>
      <c r="B67" s="1" t="n">
        <f aca="false">IF(C67=C66,B66+B$1,B$3-0.5*B$1*(COUNTIF(C$11:C$1000,C67)-1))</f>
        <v>0.607017543859649</v>
      </c>
      <c r="C67" s="1" t="n">
        <v>2</v>
      </c>
      <c r="D67" s="1" t="n">
        <f aca="false">IF(E67=E66,D66+D$1,D$3-0.5*D$1*(COUNTIF(E$11:E$1000,E67)-1))</f>
        <v>2.20240963855422</v>
      </c>
      <c r="E67" s="1" t="n">
        <v>1</v>
      </c>
      <c r="F67" s="1" t="n">
        <f aca="false">IF(G67=G66,F66+F$1,F$3-0.5*F$1*(COUNTIF(G$11:G$1000,G67)-1))</f>
        <v>2.90625</v>
      </c>
      <c r="G67" s="1" t="n">
        <v>2</v>
      </c>
      <c r="H67" s="1" t="n">
        <f aca="false">IF(I67=I66,H66+H$1,H$3-0.5*H$1*(COUNTIF(I$11:I$1000,I67)-1))</f>
        <v>3.66666666666667</v>
      </c>
      <c r="I67" s="1" t="n">
        <v>2</v>
      </c>
      <c r="J67" s="1" t="n">
        <f aca="false">IF(K67=K66,J66+J$1,J$3-0.5*J$1*(COUNTIF(K$11:K$1000,K67)-1))</f>
        <v>4.92328767123289</v>
      </c>
      <c r="K67" s="1" t="n">
        <v>2</v>
      </c>
      <c r="L67" s="1" t="n">
        <f aca="false">IF(M67=M66,L66+L$1,L$3-0.5*L$1*(COUNTIF(M$11:M$1000,M67)-1))</f>
        <v>5.80526315789473</v>
      </c>
      <c r="M67" s="1" t="n">
        <v>2</v>
      </c>
      <c r="O67" s="1" t="n">
        <f aca="false">IF(P67=P66,O66+O$1,O$3-0.5*O$1*(COUNTIF(P$11:P$1000,P67)-1))</f>
        <v>0.607017543859649</v>
      </c>
      <c r="P67" s="1" t="n">
        <v>2</v>
      </c>
      <c r="Q67" s="1" t="n">
        <f aca="false">IF(R67=R66,Q66+Q$1,Q$3-0.5*Q$1*(COUNTIF(R$11:R$1000,R67)-1))</f>
        <v>2.23333333333333</v>
      </c>
      <c r="R67" s="1" t="n">
        <v>1</v>
      </c>
      <c r="S67" s="1" t="n">
        <f aca="false">IF(T67=T66,S66+S$1,S$3-0.5*S$1*(COUNTIF(T$11:T$1000,T67)-1))</f>
        <v>3.11636363636364</v>
      </c>
      <c r="T67" s="1" t="n">
        <v>2</v>
      </c>
      <c r="U67" s="1" t="n">
        <f aca="false">IF(V67=V66,U66+U$1,U$3-0.5*U$1*(COUNTIF(V$11:V$1000,V67)-1))</f>
        <v>4.10980392156863</v>
      </c>
      <c r="V67" s="1" t="n">
        <v>2</v>
      </c>
      <c r="W67" s="1" t="n">
        <f aca="false">IF(X67=X66,W66+W$1,W$3-0.5*W$1*(COUNTIF(X$11:X$1000,X67)-1))</f>
        <v>4.8974358974359</v>
      </c>
      <c r="X67" s="1" t="n">
        <v>3</v>
      </c>
      <c r="Y67" s="1" t="n">
        <f aca="false">IF(Z67=Z66,Y66+Y$1,Y$3-0.5*Y$1*(COUNTIF(Z$11:Z$1000,Z67)-1))</f>
        <v>6.12307692307692</v>
      </c>
      <c r="Z67" s="1" t="n">
        <v>3</v>
      </c>
      <c r="AB67" s="1" t="n">
        <v>57</v>
      </c>
      <c r="AC67" s="1" t="n">
        <f aca="false">IF(AD67=AD66,AC66+AC$1,AC$3-0.5*AC$1*(COUNTIF(AD$11:AD$1000,AD67)-1))</f>
        <v>1.08761904761905</v>
      </c>
      <c r="AD67" s="1" t="n">
        <v>1</v>
      </c>
      <c r="AE67" s="1" t="n">
        <f aca="false">IF(AF67=AF66,AE66+AE$1,AE$3-0.5*AE$1*(COUNTIF(AF$11:AF$1000,AF67)-1))</f>
        <v>1.88461538461538</v>
      </c>
      <c r="AF67" s="1" t="n">
        <v>2</v>
      </c>
      <c r="AG67" s="1" t="n">
        <f aca="false">IF(AH67=AH66,AG66+AG$1,AG$3-0.5*AG$1*(COUNTIF(AH$11:AH$1000,AH67)-1))</f>
        <v>3.09056603773585</v>
      </c>
      <c r="AH67" s="1" t="n">
        <v>2</v>
      </c>
      <c r="AI67" s="1" t="n">
        <f aca="false">IF(AJ67=AJ66,AI66+AI$1,AI$3-0.5*AI$1*(COUNTIF(AJ$11:AJ$1000,AJ67)-1))</f>
        <v>4.10285714285714</v>
      </c>
      <c r="AJ67" s="1" t="n">
        <v>3</v>
      </c>
      <c r="AK67" s="1" t="n">
        <f aca="false">IF(AL67=AL66,AK66+AK$1,AK$3-0.5*AK$1*(COUNTIF(AL$11:AL$1000,AL67)-1))</f>
        <v>5.18983050847457</v>
      </c>
      <c r="AL67" s="1" t="n">
        <v>2</v>
      </c>
      <c r="AN67" s="1" t="n">
        <f aca="false">IF(AO67=AO66,AN66+AN$1,AN$3-0.5*AN$1*(COUNTIF(AO$11:AO$1000,AO67)-1))</f>
        <v>1.13461538461538</v>
      </c>
      <c r="AO67" s="1" t="n">
        <v>1</v>
      </c>
      <c r="AP67" s="1" t="n">
        <f aca="false">IF(AQ67=AQ66,AP66+AP$1,AP$3-0.5*AP$1*(COUNTIF(AQ$11:AQ$1000,AQ67)-1))</f>
        <v>2.25531914893617</v>
      </c>
      <c r="AQ67" s="1" t="n">
        <v>2</v>
      </c>
      <c r="AR67" s="1" t="n">
        <f aca="false">IF(AS67=AS66,AR66+AR$1,AR$3-0.5*AR$1*(COUNTIF(AS$11:AS$1000,AS67)-1))</f>
        <v>2.73333333333333</v>
      </c>
      <c r="AS67" s="1" t="n">
        <v>4</v>
      </c>
      <c r="AT67" s="1" t="n">
        <f aca="false">IF(AU67=AU66,AT66+AT$1,AT$3-0.5*AT$1*(COUNTIF(AU$11:AU$1000,AU67)-1))</f>
        <v>4.05217391304348</v>
      </c>
      <c r="AU67" s="1" t="n">
        <v>6</v>
      </c>
      <c r="AV67" s="1" t="n">
        <f aca="false">IF(AW67=AW66,AV66+AV$1,AV$3-0.5*AV$1*(COUNTIF(AW$11:AW$1000,AW67)-1))</f>
        <v>5</v>
      </c>
      <c r="AW67" s="1" t="n">
        <v>5</v>
      </c>
      <c r="AY67" s="1" t="n">
        <v>57</v>
      </c>
      <c r="AZ67" s="1" t="n">
        <f aca="false">IF(BA67=BA66,AZ66+AZ$1,AZ$3-0.5*AZ$1*(COUNTIF(BA$11:BA$1000,BA67)-1))</f>
        <v>0.965957446808511</v>
      </c>
      <c r="BA67" s="1" t="n">
        <v>2</v>
      </c>
      <c r="BB67" s="1" t="n">
        <v>-1</v>
      </c>
      <c r="BC67" s="1" t="n">
        <v>-1</v>
      </c>
      <c r="BE67" s="1" t="n">
        <f aca="false">IF(BF67=BF66,BE66+BE$1,BE$3-0.5*BE$1*(COUNTIF(BF$11:BF$1000,BF67)-1))</f>
        <v>1.18181818181818</v>
      </c>
      <c r="BF67" s="1" t="n">
        <v>3</v>
      </c>
      <c r="BG67" s="1" t="n">
        <v>-1</v>
      </c>
      <c r="BH67" s="1" t="n">
        <v>-1</v>
      </c>
    </row>
    <row r="68" customFormat="false" ht="16" hidden="false" customHeight="false" outlineLevel="0" collapsed="false">
      <c r="A68" s="1" t="n">
        <v>58</v>
      </c>
      <c r="B68" s="1" t="n">
        <f aca="false">IF(C68=C67,B67+B$1,B$3-0.5*B$1*(COUNTIF(C$11:C$1000,C68)-1))</f>
        <v>0.621052631578947</v>
      </c>
      <c r="C68" s="1" t="n">
        <v>2</v>
      </c>
      <c r="D68" s="1" t="n">
        <f aca="false">IF(E68=E67,D67+D$1,D$3-0.5*D$1*(COUNTIF(E$11:E$1000,E68)-1))</f>
        <v>2.21204819277108</v>
      </c>
      <c r="E68" s="1" t="n">
        <v>1</v>
      </c>
      <c r="F68" s="1" t="n">
        <f aca="false">IF(G68=G67,F67+F$1,F$3-0.5*F$1*(COUNTIF(G$11:G$1000,G68)-1))</f>
        <v>2.91875</v>
      </c>
      <c r="G68" s="1" t="n">
        <v>2</v>
      </c>
      <c r="H68" s="1" t="n">
        <f aca="false">IF(I68=I67,H67+H$1,H$3-0.5*H$1*(COUNTIF(I$11:I$1000,I68)-1))</f>
        <v>3.67878787878788</v>
      </c>
      <c r="I68" s="1" t="n">
        <v>2</v>
      </c>
      <c r="J68" s="1" t="n">
        <f aca="false">IF(K68=K67,J67+J$1,J$3-0.5*J$1*(COUNTIF(K$11:K$1000,K68)-1))</f>
        <v>4.93424657534248</v>
      </c>
      <c r="K68" s="1" t="n">
        <v>2</v>
      </c>
      <c r="L68" s="1" t="n">
        <f aca="false">IF(M68=M67,L67+L$1,L$3-0.5*L$1*(COUNTIF(M$11:M$1000,M68)-1))</f>
        <v>5.8157894736842</v>
      </c>
      <c r="M68" s="1" t="n">
        <v>2</v>
      </c>
      <c r="O68" s="1" t="n">
        <f aca="false">IF(P68=P67,O67+O$1,O$3-0.5*O$1*(COUNTIF(P$11:P$1000,P68)-1))</f>
        <v>0.621052631578947</v>
      </c>
      <c r="P68" s="1" t="n">
        <v>2</v>
      </c>
      <c r="Q68" s="1" t="n">
        <f aca="false">IF(R68=R67,Q67+Q$1,Q$3-0.5*Q$1*(COUNTIF(R$11:R$1000,R68)-1))</f>
        <v>2.24285714285714</v>
      </c>
      <c r="R68" s="1" t="n">
        <v>1</v>
      </c>
      <c r="S68" s="1" t="n">
        <f aca="false">IF(T68=T67,S67+S$1,S$3-0.5*S$1*(COUNTIF(T$11:T$1000,T68)-1))</f>
        <v>3.13090909090909</v>
      </c>
      <c r="T68" s="1" t="n">
        <v>2</v>
      </c>
      <c r="U68" s="1" t="n">
        <f aca="false">IF(V68=V67,U67+U$1,U$3-0.5*U$1*(COUNTIF(V$11:V$1000,V68)-1))</f>
        <v>4.12549019607843</v>
      </c>
      <c r="V68" s="1" t="n">
        <v>2</v>
      </c>
      <c r="W68" s="1" t="n">
        <f aca="false">IF(X68=X67,W67+W$1,W$3-0.5*W$1*(COUNTIF(X$11:X$1000,X68)-1))</f>
        <v>4.91794871794872</v>
      </c>
      <c r="X68" s="1" t="n">
        <v>3</v>
      </c>
      <c r="Y68" s="1" t="n">
        <f aca="false">IF(Z68=Z67,Y67+Y$1,Y$3-0.5*Y$1*(COUNTIF(Z$11:Z$1000,Z68)-1))</f>
        <v>6.14358974358974</v>
      </c>
      <c r="Z68" s="1" t="n">
        <v>3</v>
      </c>
      <c r="AB68" s="1" t="n">
        <v>58</v>
      </c>
      <c r="AC68" s="1" t="n">
        <f aca="false">IF(AD68=AD67,AC67+AC$1,AC$3-0.5*AC$1*(COUNTIF(AD$11:AD$1000,AD68)-1))</f>
        <v>1.0952380952381</v>
      </c>
      <c r="AD68" s="1" t="n">
        <v>1</v>
      </c>
      <c r="AE68" s="1" t="n">
        <f aca="false">IF(AF68=AF67,AE67+AE$1,AE$3-0.5*AE$1*(COUNTIF(AF$11:AF$1000,AF68)-1))</f>
        <v>1.9</v>
      </c>
      <c r="AF68" s="1" t="n">
        <v>2</v>
      </c>
      <c r="AG68" s="1" t="n">
        <f aca="false">IF(AH68=AH67,AG67+AG$1,AG$3-0.5*AG$1*(COUNTIF(AH$11:AH$1000,AH68)-1))</f>
        <v>3.10566037735849</v>
      </c>
      <c r="AH68" s="1" t="n">
        <v>2</v>
      </c>
      <c r="AI68" s="1" t="n">
        <f aca="false">IF(AJ68=AJ67,AI67+AI$1,AI$3-0.5*AI$1*(COUNTIF(AJ$11:AJ$1000,AJ68)-1))</f>
        <v>4.12571428571429</v>
      </c>
      <c r="AJ68" s="1" t="n">
        <v>3</v>
      </c>
      <c r="AK68" s="1" t="n">
        <f aca="false">IF(AL68=AL67,AK67+AK$1,AK$3-0.5*AK$1*(COUNTIF(AL$11:AL$1000,AL68)-1))</f>
        <v>5.20338983050847</v>
      </c>
      <c r="AL68" s="1" t="n">
        <v>2</v>
      </c>
      <c r="AN68" s="1" t="n">
        <f aca="false">IF(AO68=AO67,AN67+AN$1,AN$3-0.5*AN$1*(COUNTIF(AO$11:AO$1000,AO68)-1))</f>
        <v>1.14230769230769</v>
      </c>
      <c r="AO68" s="1" t="n">
        <v>1</v>
      </c>
      <c r="AP68" s="1" t="n">
        <f aca="false">IF(AQ68=AQ67,AP67+AP$1,AP$3-0.5*AP$1*(COUNTIF(AQ$11:AQ$1000,AQ68)-1))</f>
        <v>2.27234042553192</v>
      </c>
      <c r="AQ68" s="1" t="n">
        <v>2</v>
      </c>
      <c r="AR68" s="1" t="n">
        <f aca="false">IF(AS68=AS67,AR67+AR$1,AR$3-0.5*AR$1*(COUNTIF(AS$11:AS$1000,AS68)-1))</f>
        <v>2.75757575757576</v>
      </c>
      <c r="AS68" s="1" t="n">
        <v>4</v>
      </c>
      <c r="AT68" s="1" t="n">
        <f aca="false">IF(AU68=AU67,AT67+AT$1,AT$3-0.5*AT$1*(COUNTIF(AU$11:AU$1000,AU68)-1))</f>
        <v>4.08695652173913</v>
      </c>
      <c r="AU68" s="1" t="n">
        <v>6</v>
      </c>
      <c r="AV68" s="1" t="n">
        <f aca="false">IF(AW68=AW67,AV67+AV$1,AV$3-0.5*AV$1*(COUNTIF(AW$11:AW$1000,AW68)-1))</f>
        <v>5.02857142857143</v>
      </c>
      <c r="AW68" s="1" t="n">
        <v>5</v>
      </c>
      <c r="AY68" s="1" t="n">
        <v>58</v>
      </c>
      <c r="AZ68" s="1" t="n">
        <f aca="false">IF(BA68=BA67,AZ67+AZ$1,AZ$3-0.5*AZ$1*(COUNTIF(BA$11:BA$1000,BA68)-1))</f>
        <v>0.982978723404255</v>
      </c>
      <c r="BA68" s="1" t="n">
        <v>2</v>
      </c>
      <c r="BB68" s="1" t="n">
        <v>-1</v>
      </c>
      <c r="BC68" s="1" t="n">
        <v>-1</v>
      </c>
      <c r="BE68" s="1" t="n">
        <f aca="false">IF(BF68=BF67,BE67+BE$1,BE$3-0.5*BE$1*(COUNTIF(BF$11:BF$1000,BF68)-1))</f>
        <v>0.878787878787879</v>
      </c>
      <c r="BF68" s="1" t="n">
        <v>4</v>
      </c>
      <c r="BG68" s="1" t="n">
        <v>-1</v>
      </c>
      <c r="BH68" s="1" t="n">
        <v>-1</v>
      </c>
    </row>
    <row r="69" customFormat="false" ht="16" hidden="false" customHeight="false" outlineLevel="0" collapsed="false">
      <c r="A69" s="1" t="n">
        <v>59</v>
      </c>
      <c r="B69" s="1" t="n">
        <f aca="false">IF(C69=C68,B68+B$1,B$3-0.5*B$1*(COUNTIF(C$11:C$1000,C69)-1))</f>
        <v>0.635087719298246</v>
      </c>
      <c r="C69" s="1" t="n">
        <v>2</v>
      </c>
      <c r="D69" s="1" t="n">
        <f aca="false">IF(E69=E68,D68+D$1,D$3-0.5*D$1*(COUNTIF(E$11:E$1000,E69)-1))</f>
        <v>2.22168674698795</v>
      </c>
      <c r="E69" s="1" t="n">
        <v>1</v>
      </c>
      <c r="F69" s="1" t="n">
        <f aca="false">IF(G69=G68,F68+F$1,F$3-0.5*F$1*(COUNTIF(G$11:G$1000,G69)-1))</f>
        <v>2.93125</v>
      </c>
      <c r="G69" s="1" t="n">
        <v>2</v>
      </c>
      <c r="H69" s="1" t="n">
        <f aca="false">IF(I69=I68,H68+H$1,H$3-0.5*H$1*(COUNTIF(I$11:I$1000,I69)-1))</f>
        <v>3.69090909090909</v>
      </c>
      <c r="I69" s="1" t="n">
        <v>2</v>
      </c>
      <c r="J69" s="1" t="n">
        <f aca="false">IF(K69=K68,J68+J$1,J$3-0.5*J$1*(COUNTIF(K$11:K$1000,K69)-1))</f>
        <v>4.94520547945207</v>
      </c>
      <c r="K69" s="1" t="n">
        <v>2</v>
      </c>
      <c r="L69" s="1" t="n">
        <f aca="false">IF(M69=M68,L68+L$1,L$3-0.5*L$1*(COUNTIF(M$11:M$1000,M69)-1))</f>
        <v>5.82631578947368</v>
      </c>
      <c r="M69" s="1" t="n">
        <v>2</v>
      </c>
      <c r="O69" s="1" t="n">
        <f aca="false">IF(P69=P68,O68+O$1,O$3-0.5*O$1*(COUNTIF(P$11:P$1000,P69)-1))</f>
        <v>0.635087719298246</v>
      </c>
      <c r="P69" s="1" t="n">
        <v>2</v>
      </c>
      <c r="Q69" s="1" t="n">
        <f aca="false">IF(R69=R68,Q68+Q$1,Q$3-0.5*Q$1*(COUNTIF(R$11:R$1000,R69)-1))</f>
        <v>2.25238095238095</v>
      </c>
      <c r="R69" s="1" t="n">
        <v>1</v>
      </c>
      <c r="S69" s="1" t="n">
        <f aca="false">IF(T69=T68,S68+S$1,S$3-0.5*S$1*(COUNTIF(T$11:T$1000,T69)-1))</f>
        <v>3.14545454545455</v>
      </c>
      <c r="T69" s="1" t="n">
        <v>2</v>
      </c>
      <c r="U69" s="1" t="n">
        <f aca="false">IF(V69=V68,U68+U$1,U$3-0.5*U$1*(COUNTIF(V$11:V$1000,V69)-1))</f>
        <v>4.14117647058823</v>
      </c>
      <c r="V69" s="1" t="n">
        <v>2</v>
      </c>
      <c r="W69" s="1" t="n">
        <f aca="false">IF(X69=X68,W68+W$1,W$3-0.5*W$1*(COUNTIF(X$11:X$1000,X69)-1))</f>
        <v>4.93846153846154</v>
      </c>
      <c r="X69" s="1" t="n">
        <v>3</v>
      </c>
      <c r="Y69" s="1" t="n">
        <f aca="false">IF(Z69=Z68,Y68+Y$1,Y$3-0.5*Y$1*(COUNTIF(Z$11:Z$1000,Z69)-1))</f>
        <v>6.16410256410256</v>
      </c>
      <c r="Z69" s="1" t="n">
        <v>3</v>
      </c>
      <c r="AB69" s="1" t="n">
        <v>59</v>
      </c>
      <c r="AC69" s="1" t="n">
        <f aca="false">IF(AD69=AD68,AC68+AC$1,AC$3-0.5*AC$1*(COUNTIF(AD$11:AD$1000,AD69)-1))</f>
        <v>1.10285714285714</v>
      </c>
      <c r="AD69" s="1" t="n">
        <v>1</v>
      </c>
      <c r="AE69" s="1" t="n">
        <f aca="false">IF(AF69=AF68,AE68+AE$1,AE$3-0.5*AE$1*(COUNTIF(AF$11:AF$1000,AF69)-1))</f>
        <v>1.91538461538461</v>
      </c>
      <c r="AF69" s="1" t="n">
        <v>2</v>
      </c>
      <c r="AG69" s="1" t="n">
        <f aca="false">IF(AH69=AH68,AG68+AG$1,AG$3-0.5*AG$1*(COUNTIF(AH$11:AH$1000,AH69)-1))</f>
        <v>3.12075471698113</v>
      </c>
      <c r="AH69" s="1" t="n">
        <v>2</v>
      </c>
      <c r="AI69" s="1" t="n">
        <f aca="false">IF(AJ69=AJ68,AI68+AI$1,AI$3-0.5*AI$1*(COUNTIF(AJ$11:AJ$1000,AJ69)-1))</f>
        <v>3.68</v>
      </c>
      <c r="AJ69" s="1" t="n">
        <v>4</v>
      </c>
      <c r="AK69" s="1" t="n">
        <f aca="false">IF(AL69=AL68,AK68+AK$1,AK$3-0.5*AK$1*(COUNTIF(AL$11:AL$1000,AL69)-1))</f>
        <v>5.21694915254236</v>
      </c>
      <c r="AL69" s="1" t="n">
        <v>2</v>
      </c>
      <c r="AN69" s="1" t="n">
        <f aca="false">IF(AO69=AO68,AN68+AN$1,AN$3-0.5*AN$1*(COUNTIF(AO$11:AO$1000,AO69)-1))</f>
        <v>1.15</v>
      </c>
      <c r="AO69" s="1" t="n">
        <v>1</v>
      </c>
      <c r="AP69" s="1" t="n">
        <f aca="false">IF(AQ69=AQ68,AP68+AP$1,AP$3-0.5*AP$1*(COUNTIF(AQ$11:AQ$1000,AQ69)-1))</f>
        <v>2.28936170212766</v>
      </c>
      <c r="AQ69" s="1" t="n">
        <v>2</v>
      </c>
      <c r="AR69" s="1" t="n">
        <f aca="false">IF(AS69=AS68,AR68+AR$1,AR$3-0.5*AR$1*(COUNTIF(AS$11:AS$1000,AS69)-1))</f>
        <v>2.78181818181818</v>
      </c>
      <c r="AS69" s="1" t="n">
        <v>4</v>
      </c>
      <c r="AT69" s="1" t="n">
        <f aca="false">IF(AU69=AU68,AT68+AT$1,AT$3-0.5*AT$1*(COUNTIF(AU$11:AU$1000,AU69)-1))</f>
        <v>4.12173913043478</v>
      </c>
      <c r="AU69" s="1" t="n">
        <v>6</v>
      </c>
      <c r="AV69" s="1" t="n">
        <f aca="false">IF(AW69=AW68,AV68+AV$1,AV$3-0.5*AV$1*(COUNTIF(AW$11:AW$1000,AW69)-1))</f>
        <v>5.05714285714286</v>
      </c>
      <c r="AW69" s="1" t="n">
        <v>5</v>
      </c>
      <c r="AY69" s="1" t="n">
        <v>59</v>
      </c>
      <c r="AZ69" s="1" t="n">
        <f aca="false">IF(BA69=BA68,AZ68+AZ$1,AZ$3-0.5*AZ$1*(COUNTIF(BA$11:BA$1000,BA69)-1))</f>
        <v>1</v>
      </c>
      <c r="BA69" s="1" t="n">
        <v>2</v>
      </c>
      <c r="BB69" s="1" t="n">
        <v>-1</v>
      </c>
      <c r="BC69" s="1" t="n">
        <v>-1</v>
      </c>
      <c r="BE69" s="1" t="n">
        <f aca="false">IF(BF69=BF68,BE68+BE$1,BE$3-0.5*BE$1*(COUNTIF(BF$11:BF$1000,BF69)-1))</f>
        <v>0.903030303030303</v>
      </c>
      <c r="BF69" s="1" t="n">
        <v>4</v>
      </c>
      <c r="BG69" s="1" t="n">
        <v>-1</v>
      </c>
      <c r="BH69" s="1" t="n">
        <v>-1</v>
      </c>
    </row>
    <row r="70" customFormat="false" ht="16" hidden="false" customHeight="false" outlineLevel="0" collapsed="false">
      <c r="A70" s="1" t="n">
        <v>60</v>
      </c>
      <c r="B70" s="1" t="n">
        <f aca="false">IF(C70=C69,B69+B$1,B$3-0.5*B$1*(COUNTIF(C$11:C$1000,C70)-1))</f>
        <v>0.649122807017544</v>
      </c>
      <c r="C70" s="1" t="n">
        <v>2</v>
      </c>
      <c r="D70" s="1" t="n">
        <f aca="false">IF(E70=E69,D69+D$1,D$3-0.5*D$1*(COUNTIF(E$11:E$1000,E70)-1))</f>
        <v>2.23132530120482</v>
      </c>
      <c r="E70" s="1" t="n">
        <v>1</v>
      </c>
      <c r="F70" s="1" t="n">
        <f aca="false">IF(G70=G69,F69+F$1,F$3-0.5*F$1*(COUNTIF(G$11:G$1000,G70)-1))</f>
        <v>2.94375</v>
      </c>
      <c r="G70" s="1" t="n">
        <v>2</v>
      </c>
      <c r="H70" s="1" t="n">
        <f aca="false">IF(I70=I69,H69+H$1,H$3-0.5*H$1*(COUNTIF(I$11:I$1000,I70)-1))</f>
        <v>3.7030303030303</v>
      </c>
      <c r="I70" s="1" t="n">
        <v>2</v>
      </c>
      <c r="J70" s="1" t="n">
        <f aca="false">IF(K70=K69,J69+J$1,J$3-0.5*J$1*(COUNTIF(K$11:K$1000,K70)-1))</f>
        <v>4.95616438356166</v>
      </c>
      <c r="K70" s="1" t="n">
        <v>2</v>
      </c>
      <c r="L70" s="1" t="n">
        <f aca="false">IF(M70=M69,L69+L$1,L$3-0.5*L$1*(COUNTIF(M$11:M$1000,M70)-1))</f>
        <v>5.83684210526315</v>
      </c>
      <c r="M70" s="1" t="n">
        <v>2</v>
      </c>
      <c r="O70" s="1" t="n">
        <f aca="false">IF(P70=P69,O69+O$1,O$3-0.5*O$1*(COUNTIF(P$11:P$1000,P70)-1))</f>
        <v>0.649122807017544</v>
      </c>
      <c r="P70" s="1" t="n">
        <v>2</v>
      </c>
      <c r="Q70" s="1" t="n">
        <f aca="false">IF(R70=R69,Q69+Q$1,Q$3-0.5*Q$1*(COUNTIF(R$11:R$1000,R70)-1))</f>
        <v>2.26190476190476</v>
      </c>
      <c r="R70" s="1" t="n">
        <v>1</v>
      </c>
      <c r="S70" s="1" t="n">
        <f aca="false">IF(T70=T69,S69+S$1,S$3-0.5*S$1*(COUNTIF(T$11:T$1000,T70)-1))</f>
        <v>3.16</v>
      </c>
      <c r="T70" s="1" t="n">
        <v>2</v>
      </c>
      <c r="U70" s="1" t="n">
        <f aca="false">IF(V70=V69,U69+U$1,U$3-0.5*U$1*(COUNTIF(V$11:V$1000,V70)-1))</f>
        <v>4.15686274509804</v>
      </c>
      <c r="V70" s="1" t="n">
        <v>2</v>
      </c>
      <c r="W70" s="1" t="n">
        <f aca="false">IF(X70=X69,W69+W$1,W$3-0.5*W$1*(COUNTIF(X$11:X$1000,X70)-1))</f>
        <v>4.95897435897436</v>
      </c>
      <c r="X70" s="1" t="n">
        <v>3</v>
      </c>
      <c r="Y70" s="1" t="n">
        <f aca="false">IF(Z70=Z69,Y69+Y$1,Y$3-0.5*Y$1*(COUNTIF(Z$11:Z$1000,Z70)-1))</f>
        <v>6.18461538461538</v>
      </c>
      <c r="Z70" s="1" t="n">
        <v>3</v>
      </c>
      <c r="AB70" s="1" t="n">
        <v>60</v>
      </c>
      <c r="AC70" s="1" t="n">
        <f aca="false">IF(AD70=AD69,AC69+AC$1,AC$3-0.5*AC$1*(COUNTIF(AD$11:AD$1000,AD70)-1))</f>
        <v>1.11047619047619</v>
      </c>
      <c r="AD70" s="1" t="n">
        <v>1</v>
      </c>
      <c r="AE70" s="1" t="n">
        <f aca="false">IF(AF70=AF69,AE69+AE$1,AE$3-0.5*AE$1*(COUNTIF(AF$11:AF$1000,AF70)-1))</f>
        <v>1.93076923076923</v>
      </c>
      <c r="AF70" s="1" t="n">
        <v>2</v>
      </c>
      <c r="AG70" s="1" t="n">
        <f aca="false">IF(AH70=AH69,AG69+AG$1,AG$3-0.5*AG$1*(COUNTIF(AH$11:AH$1000,AH70)-1))</f>
        <v>3.13584905660377</v>
      </c>
      <c r="AH70" s="1" t="n">
        <v>2</v>
      </c>
      <c r="AI70" s="1" t="n">
        <f aca="false">IF(AJ70=AJ69,AI69+AI$1,AI$3-0.5*AI$1*(COUNTIF(AJ$11:AJ$1000,AJ70)-1))</f>
        <v>3.70285714285714</v>
      </c>
      <c r="AJ70" s="1" t="n">
        <v>4</v>
      </c>
      <c r="AK70" s="1" t="n">
        <f aca="false">IF(AL70=AL69,AK69+AK$1,AK$3-0.5*AK$1*(COUNTIF(AL$11:AL$1000,AL70)-1))</f>
        <v>5.23050847457626</v>
      </c>
      <c r="AL70" s="1" t="n">
        <v>2</v>
      </c>
      <c r="AN70" s="1" t="n">
        <f aca="false">IF(AO70=AO69,AN69+AN$1,AN$3-0.5*AN$1*(COUNTIF(AO$11:AO$1000,AO70)-1))</f>
        <v>1.15769230769231</v>
      </c>
      <c r="AO70" s="1" t="n">
        <v>1</v>
      </c>
      <c r="AP70" s="1" t="n">
        <f aca="false">IF(AQ70=AQ69,AP69+AP$1,AP$3-0.5*AP$1*(COUNTIF(AQ$11:AQ$1000,AQ70)-1))</f>
        <v>2.30638297872341</v>
      </c>
      <c r="AQ70" s="1" t="n">
        <v>2</v>
      </c>
      <c r="AR70" s="1" t="n">
        <f aca="false">IF(AS70=AS69,AR69+AR$1,AR$3-0.5*AR$1*(COUNTIF(AS$11:AS$1000,AS70)-1))</f>
        <v>2.80606060606061</v>
      </c>
      <c r="AS70" s="1" t="n">
        <v>4</v>
      </c>
      <c r="AT70" s="1" t="n">
        <f aca="false">IF(AU70=AU69,AT69+AT$1,AT$3-0.5*AT$1*(COUNTIF(AU$11:AU$1000,AU70)-1))</f>
        <v>4.15652173913043</v>
      </c>
      <c r="AU70" s="1" t="n">
        <v>6</v>
      </c>
      <c r="AV70" s="1" t="n">
        <f aca="false">IF(AW70=AW69,AV69+AV$1,AV$3-0.5*AV$1*(COUNTIF(AW$11:AW$1000,AW70)-1))</f>
        <v>5.08571428571429</v>
      </c>
      <c r="AW70" s="1" t="n">
        <v>5</v>
      </c>
      <c r="AY70" s="1" t="n">
        <v>60</v>
      </c>
      <c r="AZ70" s="1" t="n">
        <f aca="false">IF(BA70=BA69,AZ69+AZ$1,AZ$3-0.5*AZ$1*(COUNTIF(BA$11:BA$1000,BA70)-1))</f>
        <v>1.01702127659575</v>
      </c>
      <c r="BA70" s="1" t="n">
        <v>2</v>
      </c>
      <c r="BB70" s="1" t="n">
        <v>-1</v>
      </c>
      <c r="BC70" s="1" t="n">
        <v>-1</v>
      </c>
      <c r="BE70" s="1" t="n">
        <f aca="false">IF(BF70=BF69,BE69+BE$1,BE$3-0.5*BE$1*(COUNTIF(BF$11:BF$1000,BF70)-1))</f>
        <v>0.927272727272727</v>
      </c>
      <c r="BF70" s="1" t="n">
        <v>4</v>
      </c>
      <c r="BG70" s="1" t="n">
        <v>-1</v>
      </c>
      <c r="BH70" s="1" t="n">
        <v>-1</v>
      </c>
    </row>
    <row r="71" customFormat="false" ht="16" hidden="false" customHeight="false" outlineLevel="0" collapsed="false">
      <c r="A71" s="1" t="n">
        <v>61</v>
      </c>
      <c r="B71" s="1" t="n">
        <f aca="false">IF(C71=C70,B70+B$1,B$3-0.5*B$1*(COUNTIF(C$11:C$1000,C71)-1))</f>
        <v>0.663157894736842</v>
      </c>
      <c r="C71" s="1" t="n">
        <v>2</v>
      </c>
      <c r="D71" s="1" t="n">
        <f aca="false">IF(E71=E70,D70+D$1,D$3-0.5*D$1*(COUNTIF(E$11:E$1000,E71)-1))</f>
        <v>2.24096385542169</v>
      </c>
      <c r="E71" s="1" t="n">
        <v>1</v>
      </c>
      <c r="F71" s="1" t="n">
        <f aca="false">IF(G71=G70,F70+F$1,F$3-0.5*F$1*(COUNTIF(G$11:G$1000,G71)-1))</f>
        <v>2.95625</v>
      </c>
      <c r="G71" s="1" t="n">
        <v>2</v>
      </c>
      <c r="H71" s="1" t="n">
        <f aca="false">IF(I71=I70,H70+H$1,H$3-0.5*H$1*(COUNTIF(I$11:I$1000,I71)-1))</f>
        <v>3.71515151515152</v>
      </c>
      <c r="I71" s="1" t="n">
        <v>2</v>
      </c>
      <c r="J71" s="1" t="n">
        <f aca="false">IF(K71=K70,J70+J$1,J$3-0.5*J$1*(COUNTIF(K$11:K$1000,K71)-1))</f>
        <v>4.96712328767125</v>
      </c>
      <c r="K71" s="1" t="n">
        <v>2</v>
      </c>
      <c r="L71" s="1" t="n">
        <f aca="false">IF(M71=M70,L70+L$1,L$3-0.5*L$1*(COUNTIF(M$11:M$1000,M71)-1))</f>
        <v>5.84736842105262</v>
      </c>
      <c r="M71" s="1" t="n">
        <v>2</v>
      </c>
      <c r="O71" s="1" t="n">
        <f aca="false">IF(P71=P70,O70+O$1,O$3-0.5*O$1*(COUNTIF(P$11:P$1000,P71)-1))</f>
        <v>0.663157894736842</v>
      </c>
      <c r="P71" s="1" t="n">
        <v>2</v>
      </c>
      <c r="Q71" s="1" t="n">
        <f aca="false">IF(R71=R70,Q70+Q$1,Q$3-0.5*Q$1*(COUNTIF(R$11:R$1000,R71)-1))</f>
        <v>2.27142857142857</v>
      </c>
      <c r="R71" s="1" t="n">
        <v>1</v>
      </c>
      <c r="S71" s="1" t="n">
        <f aca="false">IF(T71=T70,S70+S$1,S$3-0.5*S$1*(COUNTIF(T$11:T$1000,T71)-1))</f>
        <v>3.17454545454546</v>
      </c>
      <c r="T71" s="1" t="n">
        <v>2</v>
      </c>
      <c r="U71" s="1" t="n">
        <f aca="false">IF(V71=V70,U70+U$1,U$3-0.5*U$1*(COUNTIF(V$11:V$1000,V71)-1))</f>
        <v>4.17254901960784</v>
      </c>
      <c r="V71" s="1" t="n">
        <v>2</v>
      </c>
      <c r="W71" s="1" t="n">
        <f aca="false">IF(X71=X70,W70+W$1,W$3-0.5*W$1*(COUNTIF(X$11:X$1000,X71)-1))</f>
        <v>4.97948717948718</v>
      </c>
      <c r="X71" s="1" t="n">
        <v>3</v>
      </c>
      <c r="Y71" s="1" t="n">
        <f aca="false">IF(Z71=Z70,Y70+Y$1,Y$3-0.5*Y$1*(COUNTIF(Z$11:Z$1000,Z71)-1))</f>
        <v>6.2051282051282</v>
      </c>
      <c r="Z71" s="1" t="n">
        <v>3</v>
      </c>
      <c r="AB71" s="1" t="n">
        <v>61</v>
      </c>
      <c r="AC71" s="1" t="n">
        <f aca="false">IF(AD71=AD70,AC70+AC$1,AC$3-0.5*AC$1*(COUNTIF(AD$11:AD$1000,AD71)-1))</f>
        <v>1.11809523809524</v>
      </c>
      <c r="AD71" s="1" t="n">
        <v>1</v>
      </c>
      <c r="AE71" s="1" t="n">
        <f aca="false">IF(AF71=AF70,AE70+AE$1,AE$3-0.5*AE$1*(COUNTIF(AF$11:AF$1000,AF71)-1))</f>
        <v>1.94615384615385</v>
      </c>
      <c r="AF71" s="1" t="n">
        <v>2</v>
      </c>
      <c r="AG71" s="1" t="n">
        <f aca="false">IF(AH71=AH70,AG70+AG$1,AG$3-0.5*AG$1*(COUNTIF(AH$11:AH$1000,AH71)-1))</f>
        <v>3.15094339622641</v>
      </c>
      <c r="AH71" s="1" t="n">
        <v>2</v>
      </c>
      <c r="AI71" s="1" t="n">
        <f aca="false">IF(AJ71=AJ70,AI70+AI$1,AI$3-0.5*AI$1*(COUNTIF(AJ$11:AJ$1000,AJ71)-1))</f>
        <v>3.72571428571429</v>
      </c>
      <c r="AJ71" s="1" t="n">
        <v>4</v>
      </c>
      <c r="AK71" s="1" t="n">
        <f aca="false">IF(AL71=AL70,AK70+AK$1,AK$3-0.5*AK$1*(COUNTIF(AL$11:AL$1000,AL71)-1))</f>
        <v>5.24406779661016</v>
      </c>
      <c r="AL71" s="1" t="n">
        <v>2</v>
      </c>
      <c r="AN71" s="1" t="n">
        <f aca="false">IF(AO71=AO70,AN70+AN$1,AN$3-0.5*AN$1*(COUNTIF(AO$11:AO$1000,AO71)-1))</f>
        <v>1.16538461538461</v>
      </c>
      <c r="AO71" s="1" t="n">
        <v>1</v>
      </c>
      <c r="AP71" s="1" t="n">
        <f aca="false">IF(AQ71=AQ70,AP70+AP$1,AP$3-0.5*AP$1*(COUNTIF(AQ$11:AQ$1000,AQ71)-1))</f>
        <v>2.32340425531915</v>
      </c>
      <c r="AQ71" s="1" t="n">
        <v>2</v>
      </c>
      <c r="AR71" s="1" t="n">
        <f aca="false">IF(AS71=AS70,AR70+AR$1,AR$3-0.5*AR$1*(COUNTIF(AS$11:AS$1000,AS71)-1))</f>
        <v>2.83030303030303</v>
      </c>
      <c r="AS71" s="1" t="n">
        <v>4</v>
      </c>
      <c r="AT71" s="1" t="n">
        <f aca="false">IF(AU71=AU70,AT70+AT$1,AT$3-0.5*AT$1*(COUNTIF(AU$11:AU$1000,AU71)-1))</f>
        <v>4.19130434782608</v>
      </c>
      <c r="AU71" s="1" t="n">
        <v>6</v>
      </c>
      <c r="AV71" s="1" t="n">
        <f aca="false">IF(AW71=AW70,AV70+AV$1,AV$3-0.5*AV$1*(COUNTIF(AW$11:AW$1000,AW71)-1))</f>
        <v>4.82857142857143</v>
      </c>
      <c r="AW71" s="1" t="n">
        <v>6</v>
      </c>
      <c r="AY71" s="1" t="n">
        <v>61</v>
      </c>
      <c r="AZ71" s="1" t="n">
        <f aca="false">IF(BA71=BA70,AZ70+AZ$1,AZ$3-0.5*AZ$1*(COUNTIF(BA$11:BA$1000,BA71)-1))</f>
        <v>1.03404255319149</v>
      </c>
      <c r="BA71" s="1" t="n">
        <v>2</v>
      </c>
      <c r="BB71" s="1" t="n">
        <v>-1</v>
      </c>
      <c r="BC71" s="1" t="n">
        <v>-1</v>
      </c>
      <c r="BE71" s="1" t="n">
        <f aca="false">IF(BF71=BF70,BE70+BE$1,BE$3-0.5*BE$1*(COUNTIF(BF$11:BF$1000,BF71)-1))</f>
        <v>0.951515151515152</v>
      </c>
      <c r="BF71" s="1" t="n">
        <v>4</v>
      </c>
      <c r="BG71" s="1" t="n">
        <v>-1</v>
      </c>
      <c r="BH71" s="1" t="n">
        <v>-1</v>
      </c>
    </row>
    <row r="72" customFormat="false" ht="16" hidden="false" customHeight="false" outlineLevel="0" collapsed="false">
      <c r="A72" s="1" t="n">
        <v>62</v>
      </c>
      <c r="B72" s="1" t="n">
        <f aca="false">IF(C72=C71,B71+B$1,B$3-0.5*B$1*(COUNTIF(C$11:C$1000,C72)-1))</f>
        <v>0.677192982456141</v>
      </c>
      <c r="C72" s="1" t="n">
        <v>2</v>
      </c>
      <c r="D72" s="1" t="n">
        <f aca="false">IF(E72=E71,D71+D$1,D$3-0.5*D$1*(COUNTIF(E$11:E$1000,E72)-1))</f>
        <v>2.25060240963855</v>
      </c>
      <c r="E72" s="1" t="n">
        <v>1</v>
      </c>
      <c r="F72" s="1" t="n">
        <f aca="false">IF(G72=G71,F71+F$1,F$3-0.5*F$1*(COUNTIF(G$11:G$1000,G72)-1))</f>
        <v>2.96875000000001</v>
      </c>
      <c r="G72" s="1" t="n">
        <v>2</v>
      </c>
      <c r="H72" s="1" t="n">
        <f aca="false">IF(I72=I71,H71+H$1,H$3-0.5*H$1*(COUNTIF(I$11:I$1000,I72)-1))</f>
        <v>3.72727272727273</v>
      </c>
      <c r="I72" s="1" t="n">
        <v>2</v>
      </c>
      <c r="J72" s="1" t="n">
        <f aca="false">IF(K72=K71,J71+J$1,J$3-0.5*J$1*(COUNTIF(K$11:K$1000,K72)-1))</f>
        <v>4.97808219178084</v>
      </c>
      <c r="K72" s="1" t="n">
        <v>2</v>
      </c>
      <c r="L72" s="1" t="n">
        <f aca="false">IF(M72=M71,L71+L$1,L$3-0.5*L$1*(COUNTIF(M$11:M$1000,M72)-1))</f>
        <v>5.8578947368421</v>
      </c>
      <c r="M72" s="1" t="n">
        <v>2</v>
      </c>
      <c r="O72" s="1" t="n">
        <f aca="false">IF(P72=P71,O71+O$1,O$3-0.5*O$1*(COUNTIF(P$11:P$1000,P72)-1))</f>
        <v>0.677192982456141</v>
      </c>
      <c r="P72" s="1" t="n">
        <v>2</v>
      </c>
      <c r="Q72" s="1" t="n">
        <f aca="false">IF(R72=R71,Q71+Q$1,Q$3-0.5*Q$1*(COUNTIF(R$11:R$1000,R72)-1))</f>
        <v>2.28095238095238</v>
      </c>
      <c r="R72" s="1" t="n">
        <v>1</v>
      </c>
      <c r="S72" s="1" t="n">
        <f aca="false">IF(T72=T71,S71+S$1,S$3-0.5*S$1*(COUNTIF(T$11:T$1000,T72)-1))</f>
        <v>3.18909090909091</v>
      </c>
      <c r="T72" s="1" t="n">
        <v>2</v>
      </c>
      <c r="U72" s="1" t="n">
        <f aca="false">IF(V72=V71,U71+U$1,U$3-0.5*U$1*(COUNTIF(V$11:V$1000,V72)-1))</f>
        <v>4.18823529411765</v>
      </c>
      <c r="V72" s="1" t="n">
        <v>2</v>
      </c>
      <c r="W72" s="1" t="n">
        <f aca="false">IF(X72=X71,W71+W$1,W$3-0.5*W$1*(COUNTIF(X$11:X$1000,X72)-1))</f>
        <v>5</v>
      </c>
      <c r="X72" s="1" t="n">
        <v>3</v>
      </c>
      <c r="Y72" s="1" t="n">
        <f aca="false">IF(Z72=Z71,Y71+Y$1,Y$3-0.5*Y$1*(COUNTIF(Z$11:Z$1000,Z72)-1))</f>
        <v>6.22564102564102</v>
      </c>
      <c r="Z72" s="1" t="n">
        <v>3</v>
      </c>
      <c r="AB72" s="1" t="n">
        <v>62</v>
      </c>
      <c r="AC72" s="1" t="n">
        <f aca="false">IF(AD72=AD71,AC71+AC$1,AC$3-0.5*AC$1*(COUNTIF(AD$11:AD$1000,AD72)-1))</f>
        <v>1.12571428571429</v>
      </c>
      <c r="AD72" s="1" t="n">
        <v>1</v>
      </c>
      <c r="AE72" s="1" t="n">
        <f aca="false">IF(AF72=AF71,AE71+AE$1,AE$3-0.5*AE$1*(COUNTIF(AF$11:AF$1000,AF72)-1))</f>
        <v>1.96153846153846</v>
      </c>
      <c r="AF72" s="1" t="n">
        <v>2</v>
      </c>
      <c r="AG72" s="1" t="n">
        <f aca="false">IF(AH72=AH71,AG71+AG$1,AG$3-0.5*AG$1*(COUNTIF(AH$11:AH$1000,AH72)-1))</f>
        <v>3.16603773584906</v>
      </c>
      <c r="AH72" s="1" t="n">
        <v>2</v>
      </c>
      <c r="AI72" s="1" t="n">
        <f aca="false">IF(AJ72=AJ71,AI71+AI$1,AI$3-0.5*AI$1*(COUNTIF(AJ$11:AJ$1000,AJ72)-1))</f>
        <v>3.74857142857143</v>
      </c>
      <c r="AJ72" s="1" t="n">
        <v>4</v>
      </c>
      <c r="AK72" s="1" t="n">
        <f aca="false">IF(AL72=AL71,AK71+AK$1,AK$3-0.5*AK$1*(COUNTIF(AL$11:AL$1000,AL72)-1))</f>
        <v>5.25762711864406</v>
      </c>
      <c r="AL72" s="1" t="n">
        <v>2</v>
      </c>
      <c r="AN72" s="1" t="n">
        <f aca="false">IF(AO72=AO71,AN71+AN$1,AN$3-0.5*AN$1*(COUNTIF(AO$11:AO$1000,AO72)-1))</f>
        <v>1.17307692307692</v>
      </c>
      <c r="AO72" s="1" t="n">
        <v>1</v>
      </c>
      <c r="AP72" s="1" t="n">
        <f aca="false">IF(AQ72=AQ71,AP71+AP$1,AP$3-0.5*AP$1*(COUNTIF(AQ$11:AQ$1000,AQ72)-1))</f>
        <v>2.34042553191489</v>
      </c>
      <c r="AQ72" s="1" t="n">
        <v>2</v>
      </c>
      <c r="AR72" s="1" t="n">
        <f aca="false">IF(AS72=AS71,AR71+AR$1,AR$3-0.5*AR$1*(COUNTIF(AS$11:AS$1000,AS72)-1))</f>
        <v>2.85454545454546</v>
      </c>
      <c r="AS72" s="1" t="n">
        <v>4</v>
      </c>
      <c r="AT72" s="1" t="n">
        <f aca="false">IF(AU72=AU71,AT71+AT$1,AT$3-0.5*AT$1*(COUNTIF(AU$11:AU$1000,AU72)-1))</f>
        <v>4.22608695652174</v>
      </c>
      <c r="AU72" s="1" t="n">
        <v>6</v>
      </c>
      <c r="AV72" s="1" t="n">
        <f aca="false">IF(AW72=AW71,AV71+AV$1,AV$3-0.5*AV$1*(COUNTIF(AW$11:AW$1000,AW72)-1))</f>
        <v>4.85714285714286</v>
      </c>
      <c r="AW72" s="1" t="n">
        <v>6</v>
      </c>
      <c r="AY72" s="1" t="n">
        <v>62</v>
      </c>
      <c r="AZ72" s="1" t="n">
        <f aca="false">IF(BA72=BA71,AZ71+AZ$1,AZ$3-0.5*AZ$1*(COUNTIF(BA$11:BA$1000,BA72)-1))</f>
        <v>1.05106382978723</v>
      </c>
      <c r="BA72" s="1" t="n">
        <v>2</v>
      </c>
      <c r="BB72" s="1" t="n">
        <v>-1</v>
      </c>
      <c r="BC72" s="1" t="n">
        <v>-1</v>
      </c>
      <c r="BE72" s="1" t="n">
        <f aca="false">IF(BF72=BF71,BE71+BE$1,BE$3-0.5*BE$1*(COUNTIF(BF$11:BF$1000,BF72)-1))</f>
        <v>0.975757575757576</v>
      </c>
      <c r="BF72" s="1" t="n">
        <v>4</v>
      </c>
      <c r="BG72" s="1" t="n">
        <v>-1</v>
      </c>
      <c r="BH72" s="1" t="n">
        <v>-1</v>
      </c>
    </row>
    <row r="73" customFormat="false" ht="16" hidden="false" customHeight="false" outlineLevel="0" collapsed="false">
      <c r="A73" s="1" t="n">
        <v>63</v>
      </c>
      <c r="B73" s="1" t="n">
        <f aca="false">IF(C73=C72,B72+B$1,B$3-0.5*B$1*(COUNTIF(C$11:C$1000,C73)-1))</f>
        <v>0.691228070175439</v>
      </c>
      <c r="C73" s="1" t="n">
        <v>2</v>
      </c>
      <c r="D73" s="1" t="n">
        <f aca="false">IF(E73=E72,D72+D$1,D$3-0.5*D$1*(COUNTIF(E$11:E$1000,E73)-1))</f>
        <v>2.26024096385542</v>
      </c>
      <c r="E73" s="1" t="n">
        <v>1</v>
      </c>
      <c r="F73" s="1" t="n">
        <f aca="false">IF(G73=G72,F72+F$1,F$3-0.5*F$1*(COUNTIF(G$11:G$1000,G73)-1))</f>
        <v>2.98125000000001</v>
      </c>
      <c r="G73" s="1" t="n">
        <v>2</v>
      </c>
      <c r="H73" s="1" t="n">
        <f aca="false">IF(I73=I72,H72+H$1,H$3-0.5*H$1*(COUNTIF(I$11:I$1000,I73)-1))</f>
        <v>3.73939393939394</v>
      </c>
      <c r="I73" s="1" t="n">
        <v>2</v>
      </c>
      <c r="J73" s="1" t="n">
        <f aca="false">IF(K73=K72,J72+J$1,J$3-0.5*J$1*(COUNTIF(K$11:K$1000,K73)-1))</f>
        <v>4.98904109589043</v>
      </c>
      <c r="K73" s="1" t="n">
        <v>2</v>
      </c>
      <c r="L73" s="1" t="n">
        <f aca="false">IF(M73=M72,L72+L$1,L$3-0.5*L$1*(COUNTIF(M$11:M$1000,M73)-1))</f>
        <v>5.86842105263157</v>
      </c>
      <c r="M73" s="1" t="n">
        <v>2</v>
      </c>
      <c r="O73" s="1" t="n">
        <f aca="false">IF(P73=P72,O72+O$1,O$3-0.5*O$1*(COUNTIF(P$11:P$1000,P73)-1))</f>
        <v>0.691228070175439</v>
      </c>
      <c r="P73" s="1" t="n">
        <v>2</v>
      </c>
      <c r="Q73" s="1" t="n">
        <f aca="false">IF(R73=R72,Q72+Q$1,Q$3-0.5*Q$1*(COUNTIF(R$11:R$1000,R73)-1))</f>
        <v>2.29047619047619</v>
      </c>
      <c r="R73" s="1" t="n">
        <v>1</v>
      </c>
      <c r="S73" s="1" t="n">
        <f aca="false">IF(T73=T72,S72+S$1,S$3-0.5*S$1*(COUNTIF(T$11:T$1000,T73)-1))</f>
        <v>3.20363636363637</v>
      </c>
      <c r="T73" s="1" t="n">
        <v>2</v>
      </c>
      <c r="U73" s="1" t="n">
        <f aca="false">IF(V73=V72,U72+U$1,U$3-0.5*U$1*(COUNTIF(V$11:V$1000,V73)-1))</f>
        <v>4.20392156862745</v>
      </c>
      <c r="V73" s="1" t="n">
        <v>2</v>
      </c>
      <c r="W73" s="1" t="n">
        <f aca="false">IF(X73=X72,W72+W$1,W$3-0.5*W$1*(COUNTIF(X$11:X$1000,X73)-1))</f>
        <v>5.02051282051282</v>
      </c>
      <c r="X73" s="1" t="n">
        <v>3</v>
      </c>
      <c r="Y73" s="1" t="n">
        <f aca="false">IF(Z73=Z72,Y72+Y$1,Y$3-0.5*Y$1*(COUNTIF(Z$11:Z$1000,Z73)-1))</f>
        <v>6.24615384615384</v>
      </c>
      <c r="Z73" s="1" t="n">
        <v>3</v>
      </c>
      <c r="AB73" s="1" t="n">
        <v>63</v>
      </c>
      <c r="AC73" s="1" t="n">
        <f aca="false">IF(AD73=AD72,AC72+AC$1,AC$3-0.5*AC$1*(COUNTIF(AD$11:AD$1000,AD73)-1))</f>
        <v>1.13333333333333</v>
      </c>
      <c r="AD73" s="1" t="n">
        <v>1</v>
      </c>
      <c r="AE73" s="1" t="n">
        <f aca="false">IF(AF73=AF72,AE72+AE$1,AE$3-0.5*AE$1*(COUNTIF(AF$11:AF$1000,AF73)-1))</f>
        <v>1.97692307692308</v>
      </c>
      <c r="AF73" s="1" t="n">
        <v>2</v>
      </c>
      <c r="AG73" s="1" t="n">
        <f aca="false">IF(AH73=AH72,AG72+AG$1,AG$3-0.5*AG$1*(COUNTIF(AH$11:AH$1000,AH73)-1))</f>
        <v>3.1811320754717</v>
      </c>
      <c r="AH73" s="1" t="n">
        <v>2</v>
      </c>
      <c r="AI73" s="1" t="n">
        <f aca="false">IF(AJ73=AJ72,AI72+AI$1,AI$3-0.5*AI$1*(COUNTIF(AJ$11:AJ$1000,AJ73)-1))</f>
        <v>3.77142857142857</v>
      </c>
      <c r="AJ73" s="1" t="n">
        <v>4</v>
      </c>
      <c r="AK73" s="1" t="n">
        <f aca="false">IF(AL73=AL72,AK72+AK$1,AK$3-0.5*AK$1*(COUNTIF(AL$11:AL$1000,AL73)-1))</f>
        <v>5.27118644067796</v>
      </c>
      <c r="AL73" s="1" t="n">
        <v>2</v>
      </c>
      <c r="AN73" s="1" t="n">
        <f aca="false">IF(AO73=AO72,AN72+AN$1,AN$3-0.5*AN$1*(COUNTIF(AO$11:AO$1000,AO73)-1))</f>
        <v>1.18076923076923</v>
      </c>
      <c r="AO73" s="1" t="n">
        <v>1</v>
      </c>
      <c r="AP73" s="1" t="n">
        <f aca="false">IF(AQ73=AQ72,AP72+AP$1,AP$3-0.5*AP$1*(COUNTIF(AQ$11:AQ$1000,AQ73)-1))</f>
        <v>2.35744680851064</v>
      </c>
      <c r="AQ73" s="1" t="n">
        <v>2</v>
      </c>
      <c r="AR73" s="1" t="n">
        <f aca="false">IF(AS73=AS72,AR72+AR$1,AR$3-0.5*AR$1*(COUNTIF(AS$11:AS$1000,AS73)-1))</f>
        <v>2.87878787878788</v>
      </c>
      <c r="AS73" s="1" t="n">
        <v>4</v>
      </c>
      <c r="AT73" s="1" t="n">
        <f aca="false">IF(AU73=AU72,AT72+AT$1,AT$3-0.5*AT$1*(COUNTIF(AU$11:AU$1000,AU73)-1))</f>
        <v>4.26086956521739</v>
      </c>
      <c r="AU73" s="1" t="n">
        <v>6</v>
      </c>
      <c r="AV73" s="1" t="n">
        <f aca="false">IF(AW73=AW72,AV72+AV$1,AV$3-0.5*AV$1*(COUNTIF(AW$11:AW$1000,AW73)-1))</f>
        <v>4.88571428571429</v>
      </c>
      <c r="AW73" s="1" t="n">
        <v>6</v>
      </c>
      <c r="AY73" s="1" t="n">
        <v>63</v>
      </c>
      <c r="AZ73" s="1" t="n">
        <f aca="false">IF(BA73=BA72,AZ72+AZ$1,AZ$3-0.5*AZ$1*(COUNTIF(BA$11:BA$1000,BA73)-1))</f>
        <v>1.06808510638298</v>
      </c>
      <c r="BA73" s="1" t="n">
        <v>2</v>
      </c>
      <c r="BB73" s="1" t="n">
        <v>-1</v>
      </c>
      <c r="BC73" s="1" t="n">
        <v>-1</v>
      </c>
      <c r="BE73" s="1" t="n">
        <f aca="false">IF(BF73=BF72,BE72+BE$1,BE$3-0.5*BE$1*(COUNTIF(BF$11:BF$1000,BF73)-1))</f>
        <v>1</v>
      </c>
      <c r="BF73" s="1" t="n">
        <v>4</v>
      </c>
      <c r="BG73" s="1" t="n">
        <v>-1</v>
      </c>
      <c r="BH73" s="1" t="n">
        <v>-1</v>
      </c>
    </row>
    <row r="74" customFormat="false" ht="16" hidden="false" customHeight="false" outlineLevel="0" collapsed="false">
      <c r="A74" s="1" t="n">
        <v>64</v>
      </c>
      <c r="B74" s="1" t="n">
        <f aca="false">IF(C74=C73,B73+B$1,B$3-0.5*B$1*(COUNTIF(C$11:C$1000,C74)-1))</f>
        <v>0.705263157894737</v>
      </c>
      <c r="C74" s="1" t="n">
        <v>2</v>
      </c>
      <c r="D74" s="1" t="n">
        <f aca="false">IF(E74=E73,D73+D$1,D$3-0.5*D$1*(COUNTIF(E$11:E$1000,E74)-1))</f>
        <v>2.26987951807229</v>
      </c>
      <c r="E74" s="1" t="n">
        <v>1</v>
      </c>
      <c r="F74" s="1" t="n">
        <f aca="false">IF(G74=G73,F73+F$1,F$3-0.5*F$1*(COUNTIF(G$11:G$1000,G74)-1))</f>
        <v>2.99375000000001</v>
      </c>
      <c r="G74" s="1" t="n">
        <v>2</v>
      </c>
      <c r="H74" s="1" t="n">
        <f aca="false">IF(I74=I73,H73+H$1,H$3-0.5*H$1*(COUNTIF(I$11:I$1000,I74)-1))</f>
        <v>3.75151515151515</v>
      </c>
      <c r="I74" s="1" t="n">
        <v>2</v>
      </c>
      <c r="J74" s="1" t="n">
        <f aca="false">IF(K74=K73,J73+J$1,J$3-0.5*J$1*(COUNTIF(K$11:K$1000,K74)-1))</f>
        <v>5.00000000000001</v>
      </c>
      <c r="K74" s="1" t="n">
        <v>2</v>
      </c>
      <c r="L74" s="1" t="n">
        <f aca="false">IF(M74=M73,L73+L$1,L$3-0.5*L$1*(COUNTIF(M$11:M$1000,M74)-1))</f>
        <v>5.87894736842104</v>
      </c>
      <c r="M74" s="1" t="n">
        <v>2</v>
      </c>
      <c r="O74" s="1" t="n">
        <f aca="false">IF(P74=P73,O73+O$1,O$3-0.5*O$1*(COUNTIF(P$11:P$1000,P74)-1))</f>
        <v>0.705263157894737</v>
      </c>
      <c r="P74" s="1" t="n">
        <v>2</v>
      </c>
      <c r="Q74" s="1" t="n">
        <f aca="false">IF(R74=R73,Q73+Q$1,Q$3-0.5*Q$1*(COUNTIF(R$11:R$1000,R74)-1))</f>
        <v>2.3</v>
      </c>
      <c r="R74" s="1" t="n">
        <v>1</v>
      </c>
      <c r="S74" s="1" t="n">
        <f aca="false">IF(T74=T73,S73+S$1,S$3-0.5*S$1*(COUNTIF(T$11:T$1000,T74)-1))</f>
        <v>3.21818181818182</v>
      </c>
      <c r="T74" s="1" t="n">
        <v>2</v>
      </c>
      <c r="U74" s="1" t="n">
        <f aca="false">IF(V74=V73,U73+U$1,U$3-0.5*U$1*(COUNTIF(V$11:V$1000,V74)-1))</f>
        <v>4.21960784313725</v>
      </c>
      <c r="V74" s="1" t="n">
        <v>2</v>
      </c>
      <c r="W74" s="1" t="n">
        <f aca="false">IF(X74=X73,W73+W$1,W$3-0.5*W$1*(COUNTIF(X$11:X$1000,X74)-1))</f>
        <v>5.04102564102564</v>
      </c>
      <c r="X74" s="1" t="n">
        <v>3</v>
      </c>
      <c r="Y74" s="1" t="n">
        <f aca="false">IF(Z74=Z73,Y73+Y$1,Y$3-0.5*Y$1*(COUNTIF(Z$11:Z$1000,Z74)-1))</f>
        <v>6.26666666666667</v>
      </c>
      <c r="Z74" s="1" t="n">
        <v>3</v>
      </c>
      <c r="AB74" s="1" t="n">
        <v>64</v>
      </c>
      <c r="AC74" s="1" t="n">
        <f aca="false">IF(AD74=AD73,AC73+AC$1,AC$3-0.5*AC$1*(COUNTIF(AD$11:AD$1000,AD74)-1))</f>
        <v>1.14095238095238</v>
      </c>
      <c r="AD74" s="1" t="n">
        <v>1</v>
      </c>
      <c r="AE74" s="1" t="n">
        <f aca="false">IF(AF74=AF73,AE73+AE$1,AE$3-0.5*AE$1*(COUNTIF(AF$11:AF$1000,AF74)-1))</f>
        <v>1.99230769230769</v>
      </c>
      <c r="AF74" s="1" t="n">
        <v>2</v>
      </c>
      <c r="AG74" s="1" t="n">
        <f aca="false">IF(AH74=AH73,AG73+AG$1,AG$3-0.5*AG$1*(COUNTIF(AH$11:AH$1000,AH74)-1))</f>
        <v>3.19622641509434</v>
      </c>
      <c r="AH74" s="1" t="n">
        <v>2</v>
      </c>
      <c r="AI74" s="1" t="n">
        <f aca="false">IF(AJ74=AJ73,AI73+AI$1,AI$3-0.5*AI$1*(COUNTIF(AJ$11:AJ$1000,AJ74)-1))</f>
        <v>3.79428571428571</v>
      </c>
      <c r="AJ74" s="1" t="n">
        <v>4</v>
      </c>
      <c r="AK74" s="1" t="n">
        <f aca="false">IF(AL74=AL73,AK73+AK$1,AK$3-0.5*AK$1*(COUNTIF(AL$11:AL$1000,AL74)-1))</f>
        <v>5.28474576271185</v>
      </c>
      <c r="AL74" s="1" t="n">
        <v>2</v>
      </c>
      <c r="AN74" s="1" t="n">
        <f aca="false">IF(AO74=AO73,AN73+AN$1,AN$3-0.5*AN$1*(COUNTIF(AO$11:AO$1000,AO74)-1))</f>
        <v>1.18846153846154</v>
      </c>
      <c r="AO74" s="1" t="n">
        <v>1</v>
      </c>
      <c r="AP74" s="1" t="n">
        <f aca="false">IF(AQ74=AQ73,AP73+AP$1,AP$3-0.5*AP$1*(COUNTIF(AQ$11:AQ$1000,AQ74)-1))</f>
        <v>2.37446808510638</v>
      </c>
      <c r="AQ74" s="1" t="n">
        <v>2</v>
      </c>
      <c r="AR74" s="1" t="n">
        <f aca="false">IF(AS74=AS73,AR73+AR$1,AR$3-0.5*AR$1*(COUNTIF(AS$11:AS$1000,AS74)-1))</f>
        <v>2.9030303030303</v>
      </c>
      <c r="AS74" s="1" t="n">
        <v>4</v>
      </c>
      <c r="AT74" s="1" t="n">
        <f aca="false">IF(AU74=AU73,AT73+AT$1,AT$3-0.5*AT$1*(COUNTIF(AU$11:AU$1000,AU74)-1))</f>
        <v>4.29565217391304</v>
      </c>
      <c r="AU74" s="1" t="n">
        <v>6</v>
      </c>
      <c r="AV74" s="1" t="n">
        <f aca="false">IF(AW74=AW73,AV73+AV$1,AV$3-0.5*AV$1*(COUNTIF(AW$11:AW$1000,AW74)-1))</f>
        <v>4.91428571428571</v>
      </c>
      <c r="AW74" s="1" t="n">
        <v>6</v>
      </c>
      <c r="AY74" s="1" t="n">
        <v>64</v>
      </c>
      <c r="AZ74" s="1" t="n">
        <f aca="false">IF(BA74=BA73,AZ73+AZ$1,AZ$3-0.5*AZ$1*(COUNTIF(BA$11:BA$1000,BA74)-1))</f>
        <v>1.08510638297872</v>
      </c>
      <c r="BA74" s="1" t="n">
        <v>2</v>
      </c>
      <c r="BB74" s="1" t="n">
        <v>-1</v>
      </c>
      <c r="BC74" s="1" t="n">
        <v>-1</v>
      </c>
      <c r="BE74" s="1" t="n">
        <f aca="false">IF(BF74=BF73,BE73+BE$1,BE$3-0.5*BE$1*(COUNTIF(BF$11:BF$1000,BF74)-1))</f>
        <v>1.02424242424242</v>
      </c>
      <c r="BF74" s="1" t="n">
        <v>4</v>
      </c>
      <c r="BG74" s="1" t="n">
        <v>-1</v>
      </c>
      <c r="BH74" s="1" t="n">
        <v>-1</v>
      </c>
    </row>
    <row r="75" customFormat="false" ht="16" hidden="false" customHeight="false" outlineLevel="0" collapsed="false">
      <c r="A75" s="1" t="n">
        <v>65</v>
      </c>
      <c r="B75" s="1" t="n">
        <f aca="false">IF(C75=C74,B74+B$1,B$3-0.5*B$1*(COUNTIF(C$11:C$1000,C75)-1))</f>
        <v>0.719298245614035</v>
      </c>
      <c r="C75" s="1" t="n">
        <v>2</v>
      </c>
      <c r="D75" s="1" t="n">
        <f aca="false">IF(E75=E74,D74+D$1,D$3-0.5*D$1*(COUNTIF(E$11:E$1000,E75)-1))</f>
        <v>2.27951807228915</v>
      </c>
      <c r="E75" s="1" t="n">
        <v>1</v>
      </c>
      <c r="F75" s="1" t="n">
        <f aca="false">IF(G75=G74,F74+F$1,F$3-0.5*F$1*(COUNTIF(G$11:G$1000,G75)-1))</f>
        <v>3.00625000000001</v>
      </c>
      <c r="G75" s="1" t="n">
        <v>2</v>
      </c>
      <c r="H75" s="1" t="n">
        <f aca="false">IF(I75=I74,H74+H$1,H$3-0.5*H$1*(COUNTIF(I$11:I$1000,I75)-1))</f>
        <v>3.76363636363636</v>
      </c>
      <c r="I75" s="1" t="n">
        <v>2</v>
      </c>
      <c r="J75" s="1" t="n">
        <f aca="false">IF(K75=K74,J74+J$1,J$3-0.5*J$1*(COUNTIF(K$11:K$1000,K75)-1))</f>
        <v>5.0109589041096</v>
      </c>
      <c r="K75" s="1" t="n">
        <v>2</v>
      </c>
      <c r="L75" s="1" t="n">
        <f aca="false">IF(M75=M74,L74+L$1,L$3-0.5*L$1*(COUNTIF(M$11:M$1000,M75)-1))</f>
        <v>5.88947368421052</v>
      </c>
      <c r="M75" s="1" t="n">
        <v>2</v>
      </c>
      <c r="O75" s="1" t="n">
        <f aca="false">IF(P75=P74,O74+O$1,O$3-0.5*O$1*(COUNTIF(P$11:P$1000,P75)-1))</f>
        <v>0.719298245614035</v>
      </c>
      <c r="P75" s="1" t="n">
        <v>2</v>
      </c>
      <c r="Q75" s="1" t="n">
        <f aca="false">IF(R75=R74,Q74+Q$1,Q$3-0.5*Q$1*(COUNTIF(R$11:R$1000,R75)-1))</f>
        <v>1.6047619047619</v>
      </c>
      <c r="R75" s="1" t="n">
        <v>2</v>
      </c>
      <c r="S75" s="1" t="n">
        <f aca="false">IF(T75=T74,S74+S$1,S$3-0.5*S$1*(COUNTIF(T$11:T$1000,T75)-1))</f>
        <v>3.23272727272728</v>
      </c>
      <c r="T75" s="1" t="n">
        <v>2</v>
      </c>
      <c r="U75" s="1" t="n">
        <f aca="false">IF(V75=V74,U74+U$1,U$3-0.5*U$1*(COUNTIF(V$11:V$1000,V75)-1))</f>
        <v>4.23529411764706</v>
      </c>
      <c r="V75" s="1" t="n">
        <v>2</v>
      </c>
      <c r="W75" s="1" t="n">
        <f aca="false">IF(X75=X74,W74+W$1,W$3-0.5*W$1*(COUNTIF(X$11:X$1000,X75)-1))</f>
        <v>5.06153846153846</v>
      </c>
      <c r="X75" s="1" t="n">
        <v>3</v>
      </c>
      <c r="Y75" s="1" t="n">
        <f aca="false">IF(Z75=Z74,Y74+Y$1,Y$3-0.5*Y$1*(COUNTIF(Z$11:Z$1000,Z75)-1))</f>
        <v>6.28717948717949</v>
      </c>
      <c r="Z75" s="1" t="n">
        <v>3</v>
      </c>
      <c r="AB75" s="1" t="n">
        <v>65</v>
      </c>
      <c r="AC75" s="1" t="n">
        <f aca="false">IF(AD75=AD74,AC74+AC$1,AC$3-0.5*AC$1*(COUNTIF(AD$11:AD$1000,AD75)-1))</f>
        <v>1.14857142857143</v>
      </c>
      <c r="AD75" s="1" t="n">
        <v>1</v>
      </c>
      <c r="AE75" s="1" t="n">
        <f aca="false">IF(AF75=AF74,AE74+AE$1,AE$3-0.5*AE$1*(COUNTIF(AF$11:AF$1000,AF75)-1))</f>
        <v>2.00769230769231</v>
      </c>
      <c r="AF75" s="1" t="n">
        <v>2</v>
      </c>
      <c r="AG75" s="1" t="n">
        <f aca="false">IF(AH75=AH74,AG74+AG$1,AG$3-0.5*AG$1*(COUNTIF(AH$11:AH$1000,AH75)-1))</f>
        <v>3.21132075471698</v>
      </c>
      <c r="AH75" s="1" t="n">
        <v>2</v>
      </c>
      <c r="AI75" s="1" t="n">
        <f aca="false">IF(AJ75=AJ74,AI74+AI$1,AI$3-0.5*AI$1*(COUNTIF(AJ$11:AJ$1000,AJ75)-1))</f>
        <v>3.81714285714286</v>
      </c>
      <c r="AJ75" s="1" t="n">
        <v>4</v>
      </c>
      <c r="AK75" s="1" t="n">
        <f aca="false">IF(AL75=AL74,AK74+AK$1,AK$3-0.5*AK$1*(COUNTIF(AL$11:AL$1000,AL75)-1))</f>
        <v>5.29830508474575</v>
      </c>
      <c r="AL75" s="1" t="n">
        <v>2</v>
      </c>
      <c r="AN75" s="1" t="n">
        <f aca="false">IF(AO75=AO74,AN74+AN$1,AN$3-0.5*AN$1*(COUNTIF(AO$11:AO$1000,AO75)-1))</f>
        <v>1.19615384615384</v>
      </c>
      <c r="AO75" s="1" t="n">
        <v>1</v>
      </c>
      <c r="AP75" s="1" t="n">
        <f aca="false">IF(AQ75=AQ74,AP74+AP$1,AP$3-0.5*AP$1*(COUNTIF(AQ$11:AQ$1000,AQ75)-1))</f>
        <v>2.39148936170213</v>
      </c>
      <c r="AQ75" s="1" t="n">
        <v>2</v>
      </c>
      <c r="AR75" s="1" t="n">
        <f aca="false">IF(AS75=AS74,AR74+AR$1,AR$3-0.5*AR$1*(COUNTIF(AS$11:AS$1000,AS75)-1))</f>
        <v>2.92727272727273</v>
      </c>
      <c r="AS75" s="1" t="n">
        <v>4</v>
      </c>
      <c r="AT75" s="1" t="n">
        <f aca="false">IF(AU75=AU74,AT74+AT$1,AT$3-0.5*AT$1*(COUNTIF(AU$11:AU$1000,AU75)-1))</f>
        <v>4.33043478260869</v>
      </c>
      <c r="AU75" s="1" t="n">
        <v>6</v>
      </c>
      <c r="AV75" s="1" t="n">
        <f aca="false">IF(AW75=AW74,AV74+AV$1,AV$3-0.5*AV$1*(COUNTIF(AW$11:AW$1000,AW75)-1))</f>
        <v>4.94285714285714</v>
      </c>
      <c r="AW75" s="1" t="n">
        <v>6</v>
      </c>
      <c r="AY75" s="1" t="n">
        <v>65</v>
      </c>
      <c r="AZ75" s="1" t="n">
        <f aca="false">IF(BA75=BA74,AZ74+AZ$1,AZ$3-0.5*AZ$1*(COUNTIF(BA$11:BA$1000,BA75)-1))</f>
        <v>1.10212765957447</v>
      </c>
      <c r="BA75" s="1" t="n">
        <v>2</v>
      </c>
      <c r="BB75" s="1" t="n">
        <v>-1</v>
      </c>
      <c r="BC75" s="1" t="n">
        <v>-1</v>
      </c>
      <c r="BE75" s="1" t="n">
        <f aca="false">IF(BF75=BF74,BE74+BE$1,BE$3-0.5*BE$1*(COUNTIF(BF$11:BF$1000,BF75)-1))</f>
        <v>1.04848484848485</v>
      </c>
      <c r="BF75" s="1" t="n">
        <v>4</v>
      </c>
      <c r="BG75" s="1" t="n">
        <v>-1</v>
      </c>
      <c r="BH75" s="1" t="n">
        <v>-1</v>
      </c>
    </row>
    <row r="76" customFormat="false" ht="16" hidden="false" customHeight="false" outlineLevel="0" collapsed="false">
      <c r="A76" s="1" t="n">
        <v>66</v>
      </c>
      <c r="B76" s="1" t="n">
        <f aca="false">IF(C76=C75,B75+B$1,B$3-0.5*B$1*(COUNTIF(C$11:C$1000,C76)-1))</f>
        <v>0.733333333333334</v>
      </c>
      <c r="C76" s="1" t="n">
        <v>2</v>
      </c>
      <c r="D76" s="1" t="n">
        <f aca="false">IF(E76=E75,D75+D$1,D$3-0.5*D$1*(COUNTIF(E$11:E$1000,E76)-1))</f>
        <v>2.28915662650602</v>
      </c>
      <c r="E76" s="1" t="n">
        <v>1</v>
      </c>
      <c r="F76" s="1" t="n">
        <f aca="false">IF(G76=G75,F75+F$1,F$3-0.5*F$1*(COUNTIF(G$11:G$1000,G76)-1))</f>
        <v>3.01875000000001</v>
      </c>
      <c r="G76" s="1" t="n">
        <v>2</v>
      </c>
      <c r="H76" s="1" t="n">
        <f aca="false">IF(I76=I75,H75+H$1,H$3-0.5*H$1*(COUNTIF(I$11:I$1000,I76)-1))</f>
        <v>3.77575757575758</v>
      </c>
      <c r="I76" s="1" t="n">
        <v>2</v>
      </c>
      <c r="J76" s="1" t="n">
        <f aca="false">IF(K76=K75,J75+J$1,J$3-0.5*J$1*(COUNTIF(K$11:K$1000,K76)-1))</f>
        <v>5.02191780821919</v>
      </c>
      <c r="K76" s="1" t="n">
        <v>2</v>
      </c>
      <c r="L76" s="1" t="n">
        <f aca="false">IF(M76=M75,L75+L$1,L$3-0.5*L$1*(COUNTIF(M$11:M$1000,M76)-1))</f>
        <v>5.89999999999999</v>
      </c>
      <c r="M76" s="1" t="n">
        <v>2</v>
      </c>
      <c r="O76" s="1" t="n">
        <f aca="false">IF(P76=P75,O75+O$1,O$3-0.5*O$1*(COUNTIF(P$11:P$1000,P76)-1))</f>
        <v>0.733333333333334</v>
      </c>
      <c r="P76" s="1" t="n">
        <v>2</v>
      </c>
      <c r="Q76" s="1" t="n">
        <f aca="false">IF(R76=R75,Q75+Q$1,Q$3-0.5*Q$1*(COUNTIF(R$11:R$1000,R76)-1))</f>
        <v>1.61428571428571</v>
      </c>
      <c r="R76" s="1" t="n">
        <v>2</v>
      </c>
      <c r="S76" s="1" t="n">
        <f aca="false">IF(T76=T75,S75+S$1,S$3-0.5*S$1*(COUNTIF(T$11:T$1000,T76)-1))</f>
        <v>3.24727272727273</v>
      </c>
      <c r="T76" s="1" t="n">
        <v>2</v>
      </c>
      <c r="U76" s="1" t="n">
        <f aca="false">IF(V76=V75,U75+U$1,U$3-0.5*U$1*(COUNTIF(V$11:V$1000,V76)-1))</f>
        <v>4.25098039215686</v>
      </c>
      <c r="V76" s="1" t="n">
        <v>2</v>
      </c>
      <c r="W76" s="1" t="n">
        <f aca="false">IF(X76=X75,W75+W$1,W$3-0.5*W$1*(COUNTIF(X$11:X$1000,X76)-1))</f>
        <v>5.08205128205128</v>
      </c>
      <c r="X76" s="1" t="n">
        <v>3</v>
      </c>
      <c r="Y76" s="1" t="n">
        <f aca="false">IF(Z76=Z75,Y75+Y$1,Y$3-0.5*Y$1*(COUNTIF(Z$11:Z$1000,Z76)-1))</f>
        <v>6.30769230769231</v>
      </c>
      <c r="Z76" s="1" t="n">
        <v>3</v>
      </c>
      <c r="AB76" s="1" t="n">
        <v>66</v>
      </c>
      <c r="AC76" s="1" t="n">
        <f aca="false">IF(AD76=AD75,AC75+AC$1,AC$3-0.5*AC$1*(COUNTIF(AD$11:AD$1000,AD76)-1))</f>
        <v>1.15619047619048</v>
      </c>
      <c r="AD76" s="1" t="n">
        <v>1</v>
      </c>
      <c r="AE76" s="1" t="n">
        <f aca="false">IF(AF76=AF75,AE75+AE$1,AE$3-0.5*AE$1*(COUNTIF(AF$11:AF$1000,AF76)-1))</f>
        <v>2.02307692307692</v>
      </c>
      <c r="AF76" s="1" t="n">
        <v>2</v>
      </c>
      <c r="AG76" s="1" t="n">
        <f aca="false">IF(AH76=AH75,AG75+AG$1,AG$3-0.5*AG$1*(COUNTIF(AH$11:AH$1000,AH76)-1))</f>
        <v>3.22641509433962</v>
      </c>
      <c r="AH76" s="1" t="n">
        <v>2</v>
      </c>
      <c r="AI76" s="1" t="n">
        <f aca="false">IF(AJ76=AJ75,AI75+AI$1,AI$3-0.5*AI$1*(COUNTIF(AJ$11:AJ$1000,AJ76)-1))</f>
        <v>3.84</v>
      </c>
      <c r="AJ76" s="1" t="n">
        <v>4</v>
      </c>
      <c r="AK76" s="1" t="n">
        <f aca="false">IF(AL76=AL75,AK75+AK$1,AK$3-0.5*AK$1*(COUNTIF(AL$11:AL$1000,AL76)-1))</f>
        <v>5.31186440677965</v>
      </c>
      <c r="AL76" s="1" t="n">
        <v>2</v>
      </c>
      <c r="AN76" s="1" t="n">
        <f aca="false">IF(AO76=AO75,AN75+AN$1,AN$3-0.5*AN$1*(COUNTIF(AO$11:AO$1000,AO76)-1))</f>
        <v>1.20384615384615</v>
      </c>
      <c r="AO76" s="1" t="n">
        <v>1</v>
      </c>
      <c r="AP76" s="1" t="n">
        <f aca="false">IF(AQ76=AQ75,AP75+AP$1,AP$3-0.5*AP$1*(COUNTIF(AQ$11:AQ$1000,AQ76)-1))</f>
        <v>1.6936170212766</v>
      </c>
      <c r="AQ76" s="1" t="n">
        <v>3</v>
      </c>
      <c r="AR76" s="1" t="n">
        <f aca="false">IF(AS76=AS75,AR75+AR$1,AR$3-0.5*AR$1*(COUNTIF(AS$11:AS$1000,AS76)-1))</f>
        <v>2.95151515151515</v>
      </c>
      <c r="AS76" s="1" t="n">
        <v>4</v>
      </c>
      <c r="AT76" s="1" t="n">
        <f aca="false">IF(AU76=AU75,AT75+AT$1,AT$3-0.5*AT$1*(COUNTIF(AU$11:AU$1000,AU76)-1))</f>
        <v>4.36521739130434</v>
      </c>
      <c r="AU76" s="1" t="n">
        <v>6</v>
      </c>
      <c r="AV76" s="1" t="n">
        <f aca="false">IF(AW76=AW75,AV75+AV$1,AV$3-0.5*AV$1*(COUNTIF(AW$11:AW$1000,AW76)-1))</f>
        <v>4.97142857142857</v>
      </c>
      <c r="AW76" s="1" t="n">
        <v>6</v>
      </c>
      <c r="AY76" s="1" t="n">
        <v>66</v>
      </c>
      <c r="AZ76" s="1" t="n">
        <f aca="false">IF(BA76=BA75,AZ75+AZ$1,AZ$3-0.5*AZ$1*(COUNTIF(BA$11:BA$1000,BA76)-1))</f>
        <v>1.11914893617021</v>
      </c>
      <c r="BA76" s="1" t="n">
        <v>2</v>
      </c>
      <c r="BB76" s="1" t="n">
        <v>-1</v>
      </c>
      <c r="BC76" s="1" t="n">
        <v>-1</v>
      </c>
      <c r="BE76" s="1" t="n">
        <f aca="false">IF(BF76=BF75,BE75+BE$1,BE$3-0.5*BE$1*(COUNTIF(BF$11:BF$1000,BF76)-1))</f>
        <v>1.07272727272727</v>
      </c>
      <c r="BF76" s="1" t="n">
        <v>4</v>
      </c>
      <c r="BG76" s="1" t="n">
        <v>-1</v>
      </c>
      <c r="BH76" s="1" t="n">
        <v>-1</v>
      </c>
    </row>
    <row r="77" customFormat="false" ht="16" hidden="false" customHeight="false" outlineLevel="0" collapsed="false">
      <c r="A77" s="1" t="n">
        <v>67</v>
      </c>
      <c r="B77" s="1" t="n">
        <f aca="false">IF(C77=C76,B76+B$1,B$3-0.5*B$1*(COUNTIF(C$11:C$1000,C77)-1))</f>
        <v>0.747368421052632</v>
      </c>
      <c r="C77" s="1" t="n">
        <v>2</v>
      </c>
      <c r="D77" s="1" t="n">
        <f aca="false">IF(E77=E76,D76+D$1,D$3-0.5*D$1*(COUNTIF(E$11:E$1000,E77)-1))</f>
        <v>2.29879518072289</v>
      </c>
      <c r="E77" s="1" t="n">
        <v>1</v>
      </c>
      <c r="F77" s="1" t="n">
        <f aca="false">IF(G77=G76,F76+F$1,F$3-0.5*F$1*(COUNTIF(G$11:G$1000,G77)-1))</f>
        <v>3.03125000000001</v>
      </c>
      <c r="G77" s="1" t="n">
        <v>2</v>
      </c>
      <c r="H77" s="1" t="n">
        <f aca="false">IF(I77=I76,H76+H$1,H$3-0.5*H$1*(COUNTIF(I$11:I$1000,I77)-1))</f>
        <v>3.78787878787879</v>
      </c>
      <c r="I77" s="1" t="n">
        <v>2</v>
      </c>
      <c r="J77" s="1" t="n">
        <f aca="false">IF(K77=K76,J76+J$1,J$3-0.5*J$1*(COUNTIF(K$11:K$1000,K77)-1))</f>
        <v>5.03287671232878</v>
      </c>
      <c r="K77" s="1" t="n">
        <v>2</v>
      </c>
      <c r="L77" s="1" t="n">
        <f aca="false">IF(M77=M76,L76+L$1,L$3-0.5*L$1*(COUNTIF(M$11:M$1000,M77)-1))</f>
        <v>5.91052631578946</v>
      </c>
      <c r="M77" s="1" t="n">
        <v>2</v>
      </c>
      <c r="O77" s="1" t="n">
        <f aca="false">IF(P77=P76,O76+O$1,O$3-0.5*O$1*(COUNTIF(P$11:P$1000,P77)-1))</f>
        <v>0.747368421052632</v>
      </c>
      <c r="P77" s="1" t="n">
        <v>2</v>
      </c>
      <c r="Q77" s="1" t="n">
        <f aca="false">IF(R77=R76,Q76+Q$1,Q$3-0.5*Q$1*(COUNTIF(R$11:R$1000,R77)-1))</f>
        <v>1.62380952380952</v>
      </c>
      <c r="R77" s="1" t="n">
        <v>2</v>
      </c>
      <c r="S77" s="1" t="n">
        <f aca="false">IF(T77=T76,S76+S$1,S$3-0.5*S$1*(COUNTIF(T$11:T$1000,T77)-1))</f>
        <v>3.26181818181819</v>
      </c>
      <c r="T77" s="1" t="n">
        <v>2</v>
      </c>
      <c r="U77" s="1" t="n">
        <f aca="false">IF(V77=V76,U76+U$1,U$3-0.5*U$1*(COUNTIF(V$11:V$1000,V77)-1))</f>
        <v>4.26666666666667</v>
      </c>
      <c r="V77" s="1" t="n">
        <v>2</v>
      </c>
      <c r="W77" s="1" t="n">
        <f aca="false">IF(X77=X76,W76+W$1,W$3-0.5*W$1*(COUNTIF(X$11:X$1000,X77)-1))</f>
        <v>5.1025641025641</v>
      </c>
      <c r="X77" s="1" t="n">
        <v>3</v>
      </c>
      <c r="Y77" s="1" t="n">
        <f aca="false">IF(Z77=Z76,Y76+Y$1,Y$3-0.5*Y$1*(COUNTIF(Z$11:Z$1000,Z77)-1))</f>
        <v>6.32820512820513</v>
      </c>
      <c r="Z77" s="1" t="n">
        <v>3</v>
      </c>
      <c r="AB77" s="1" t="n">
        <v>67</v>
      </c>
      <c r="AC77" s="1" t="n">
        <f aca="false">IF(AD77=AD76,AC76+AC$1,AC$3-0.5*AC$1*(COUNTIF(AD$11:AD$1000,AD77)-1))</f>
        <v>1.16380952380953</v>
      </c>
      <c r="AD77" s="1" t="n">
        <v>1</v>
      </c>
      <c r="AE77" s="1" t="n">
        <f aca="false">IF(AF77=AF76,AE76+AE$1,AE$3-0.5*AE$1*(COUNTIF(AF$11:AF$1000,AF77)-1))</f>
        <v>2.03846153846154</v>
      </c>
      <c r="AF77" s="1" t="n">
        <v>2</v>
      </c>
      <c r="AG77" s="1" t="n">
        <f aca="false">IF(AH77=AH76,AG76+AG$1,AG$3-0.5*AG$1*(COUNTIF(AH$11:AH$1000,AH77)-1))</f>
        <v>3.24150943396226</v>
      </c>
      <c r="AH77" s="1" t="n">
        <v>2</v>
      </c>
      <c r="AI77" s="1" t="n">
        <f aca="false">IF(AJ77=AJ76,AI76+AI$1,AI$3-0.5*AI$1*(COUNTIF(AJ$11:AJ$1000,AJ77)-1))</f>
        <v>3.86285714285714</v>
      </c>
      <c r="AJ77" s="1" t="n">
        <v>4</v>
      </c>
      <c r="AK77" s="1" t="n">
        <f aca="false">IF(AL77=AL76,AK76+AK$1,AK$3-0.5*AK$1*(COUNTIF(AL$11:AL$1000,AL77)-1))</f>
        <v>5.32542372881355</v>
      </c>
      <c r="AL77" s="1" t="n">
        <v>2</v>
      </c>
      <c r="AN77" s="1" t="n">
        <f aca="false">IF(AO77=AO76,AN76+AN$1,AN$3-0.5*AN$1*(COUNTIF(AO$11:AO$1000,AO77)-1))</f>
        <v>1.21153846153846</v>
      </c>
      <c r="AO77" s="1" t="n">
        <v>1</v>
      </c>
      <c r="AP77" s="1" t="n">
        <f aca="false">IF(AQ77=AQ76,AP76+AP$1,AP$3-0.5*AP$1*(COUNTIF(AQ$11:AQ$1000,AQ77)-1))</f>
        <v>1.71063829787234</v>
      </c>
      <c r="AQ77" s="1" t="n">
        <v>3</v>
      </c>
      <c r="AR77" s="1" t="n">
        <f aca="false">IF(AS77=AS76,AR76+AR$1,AR$3-0.5*AR$1*(COUNTIF(AS$11:AS$1000,AS77)-1))</f>
        <v>2.97575757575758</v>
      </c>
      <c r="AS77" s="1" t="n">
        <v>4</v>
      </c>
      <c r="AT77" s="1" t="n">
        <f aca="false">IF(AU77=AU76,AT76+AT$1,AT$3-0.5*AT$1*(COUNTIF(AU$11:AU$1000,AU77)-1))</f>
        <v>3.9304347826087</v>
      </c>
      <c r="AU77" s="1" t="n">
        <v>7</v>
      </c>
      <c r="AV77" s="1" t="n">
        <f aca="false">IF(AW77=AW76,AV76+AV$1,AV$3-0.5*AV$1*(COUNTIF(AW$11:AW$1000,AW77)-1))</f>
        <v>5</v>
      </c>
      <c r="AW77" s="1" t="n">
        <v>6</v>
      </c>
      <c r="AY77" s="1" t="n">
        <v>67</v>
      </c>
      <c r="AZ77" s="1" t="n">
        <f aca="false">IF(BA77=BA76,AZ76+AZ$1,AZ$3-0.5*AZ$1*(COUNTIF(BA$11:BA$1000,BA77)-1))</f>
        <v>1.13617021276596</v>
      </c>
      <c r="BA77" s="1" t="n">
        <v>2</v>
      </c>
      <c r="BB77" s="1" t="n">
        <v>-1</v>
      </c>
      <c r="BC77" s="1" t="n">
        <v>-1</v>
      </c>
      <c r="BE77" s="1" t="n">
        <f aca="false">IF(BF77=BF76,BE76+BE$1,BE$3-0.5*BE$1*(COUNTIF(BF$11:BF$1000,BF77)-1))</f>
        <v>1.0969696969697</v>
      </c>
      <c r="BF77" s="1" t="n">
        <v>4</v>
      </c>
      <c r="BG77" s="1" t="n">
        <v>-1</v>
      </c>
      <c r="BH77" s="1" t="n">
        <v>-1</v>
      </c>
    </row>
    <row r="78" customFormat="false" ht="16" hidden="false" customHeight="false" outlineLevel="0" collapsed="false">
      <c r="A78" s="1" t="n">
        <v>68</v>
      </c>
      <c r="B78" s="1" t="n">
        <f aca="false">IF(C78=C77,B77+B$1,B$3-0.5*B$1*(COUNTIF(C$11:C$1000,C78)-1))</f>
        <v>0.76140350877193</v>
      </c>
      <c r="C78" s="1" t="n">
        <v>2</v>
      </c>
      <c r="D78" s="1" t="n">
        <f aca="false">IF(E78=E77,D77+D$1,D$3-0.5*D$1*(COUNTIF(E$11:E$1000,E78)-1))</f>
        <v>2.30843373493976</v>
      </c>
      <c r="E78" s="1" t="n">
        <v>1</v>
      </c>
      <c r="F78" s="1" t="n">
        <f aca="false">IF(G78=G77,F77+F$1,F$3-0.5*F$1*(COUNTIF(G$11:G$1000,G78)-1))</f>
        <v>3.04375000000001</v>
      </c>
      <c r="G78" s="1" t="n">
        <v>2</v>
      </c>
      <c r="H78" s="1" t="n">
        <f aca="false">IF(I78=I77,H77+H$1,H$3-0.5*H$1*(COUNTIF(I$11:I$1000,I78)-1))</f>
        <v>3.8</v>
      </c>
      <c r="I78" s="1" t="n">
        <v>2</v>
      </c>
      <c r="J78" s="1" t="n">
        <f aca="false">IF(K78=K77,J77+J$1,J$3-0.5*J$1*(COUNTIF(K$11:K$1000,K78)-1))</f>
        <v>5.04383561643837</v>
      </c>
      <c r="K78" s="1" t="n">
        <v>2</v>
      </c>
      <c r="L78" s="1" t="n">
        <f aca="false">IF(M78=M77,L77+L$1,L$3-0.5*L$1*(COUNTIF(M$11:M$1000,M78)-1))</f>
        <v>5.92105263157894</v>
      </c>
      <c r="M78" s="1" t="n">
        <v>2</v>
      </c>
      <c r="O78" s="1" t="n">
        <f aca="false">IF(P78=P77,O77+O$1,O$3-0.5*O$1*(COUNTIF(P$11:P$1000,P78)-1))</f>
        <v>0.76140350877193</v>
      </c>
      <c r="P78" s="1" t="n">
        <v>2</v>
      </c>
      <c r="Q78" s="1" t="n">
        <f aca="false">IF(R78=R77,Q77+Q$1,Q$3-0.5*Q$1*(COUNTIF(R$11:R$1000,R78)-1))</f>
        <v>1.63333333333333</v>
      </c>
      <c r="R78" s="1" t="n">
        <v>2</v>
      </c>
      <c r="S78" s="1" t="n">
        <f aca="false">IF(T78=T77,S77+S$1,S$3-0.5*S$1*(COUNTIF(T$11:T$1000,T78)-1))</f>
        <v>3.27636363636364</v>
      </c>
      <c r="T78" s="1" t="n">
        <v>2</v>
      </c>
      <c r="U78" s="1" t="n">
        <f aca="false">IF(V78=V77,U77+U$1,U$3-0.5*U$1*(COUNTIF(V$11:V$1000,V78)-1))</f>
        <v>4.28235294117647</v>
      </c>
      <c r="V78" s="1" t="n">
        <v>2</v>
      </c>
      <c r="W78" s="1" t="n">
        <f aca="false">IF(X78=X77,W77+W$1,W$3-0.5*W$1*(COUNTIF(X$11:X$1000,X78)-1))</f>
        <v>5.12307692307692</v>
      </c>
      <c r="X78" s="1" t="n">
        <v>3</v>
      </c>
      <c r="Y78" s="1" t="n">
        <f aca="false">IF(Z78=Z77,Y77+Y$1,Y$3-0.5*Y$1*(COUNTIF(Z$11:Z$1000,Z78)-1))</f>
        <v>6.34871794871795</v>
      </c>
      <c r="Z78" s="1" t="n">
        <v>3</v>
      </c>
      <c r="AB78" s="1" t="n">
        <v>68</v>
      </c>
      <c r="AC78" s="1" t="n">
        <f aca="false">IF(AD78=AD77,AC77+AC$1,AC$3-0.5*AC$1*(COUNTIF(AD$11:AD$1000,AD78)-1))</f>
        <v>1.17142857142857</v>
      </c>
      <c r="AD78" s="1" t="n">
        <v>1</v>
      </c>
      <c r="AE78" s="1" t="n">
        <f aca="false">IF(AF78=AF77,AE77+AE$1,AE$3-0.5*AE$1*(COUNTIF(AF$11:AF$1000,AF78)-1))</f>
        <v>2.05384615384615</v>
      </c>
      <c r="AF78" s="1" t="n">
        <v>2</v>
      </c>
      <c r="AG78" s="1" t="n">
        <f aca="false">IF(AH78=AH77,AG77+AG$1,AG$3-0.5*AG$1*(COUNTIF(AH$11:AH$1000,AH78)-1))</f>
        <v>3.25660377358491</v>
      </c>
      <c r="AH78" s="1" t="n">
        <v>2</v>
      </c>
      <c r="AI78" s="1" t="n">
        <f aca="false">IF(AJ78=AJ77,AI77+AI$1,AI$3-0.5*AI$1*(COUNTIF(AJ$11:AJ$1000,AJ78)-1))</f>
        <v>3.88571428571428</v>
      </c>
      <c r="AJ78" s="1" t="n">
        <v>4</v>
      </c>
      <c r="AK78" s="1" t="n">
        <f aca="false">IF(AL78=AL77,AK77+AK$1,AK$3-0.5*AK$1*(COUNTIF(AL$11:AL$1000,AL78)-1))</f>
        <v>5.33898305084745</v>
      </c>
      <c r="AL78" s="1" t="n">
        <v>2</v>
      </c>
      <c r="AN78" s="1" t="n">
        <f aca="false">IF(AO78=AO77,AN77+AN$1,AN$3-0.5*AN$1*(COUNTIF(AO$11:AO$1000,AO78)-1))</f>
        <v>1.21923076923077</v>
      </c>
      <c r="AO78" s="1" t="n">
        <v>1</v>
      </c>
      <c r="AP78" s="1" t="n">
        <f aca="false">IF(AQ78=AQ77,AP77+AP$1,AP$3-0.5*AP$1*(COUNTIF(AQ$11:AQ$1000,AQ78)-1))</f>
        <v>1.72765957446809</v>
      </c>
      <c r="AQ78" s="1" t="n">
        <v>3</v>
      </c>
      <c r="AR78" s="1" t="n">
        <f aca="false">IF(AS78=AS77,AR77+AR$1,AR$3-0.5*AR$1*(COUNTIF(AS$11:AS$1000,AS78)-1))</f>
        <v>3</v>
      </c>
      <c r="AS78" s="1" t="n">
        <v>4</v>
      </c>
      <c r="AT78" s="1" t="n">
        <f aca="false">IF(AU78=AU77,AT77+AT$1,AT$3-0.5*AT$1*(COUNTIF(AU$11:AU$1000,AU78)-1))</f>
        <v>3.96521739130435</v>
      </c>
      <c r="AU78" s="1" t="n">
        <v>7</v>
      </c>
      <c r="AV78" s="1" t="n">
        <f aca="false">IF(AW78=AW77,AV77+AV$1,AV$3-0.5*AV$1*(COUNTIF(AW$11:AW$1000,AW78)-1))</f>
        <v>5.02857142857143</v>
      </c>
      <c r="AW78" s="1" t="n">
        <v>6</v>
      </c>
      <c r="AY78" s="1" t="n">
        <v>68</v>
      </c>
      <c r="AZ78" s="1" t="n">
        <f aca="false">IF(BA78=BA77,AZ77+AZ$1,AZ$3-0.5*AZ$1*(COUNTIF(BA$11:BA$1000,BA78)-1))</f>
        <v>1.1531914893617</v>
      </c>
      <c r="BA78" s="1" t="n">
        <v>2</v>
      </c>
      <c r="BB78" s="1" t="n">
        <v>-1</v>
      </c>
      <c r="BC78" s="1" t="n">
        <v>-1</v>
      </c>
      <c r="BE78" s="1" t="n">
        <f aca="false">IF(BF78=BF77,BE77+BE$1,BE$3-0.5*BE$1*(COUNTIF(BF$11:BF$1000,BF78)-1))</f>
        <v>1.12121212121212</v>
      </c>
      <c r="BF78" s="1" t="n">
        <v>4</v>
      </c>
      <c r="BG78" s="1" t="n">
        <v>-1</v>
      </c>
      <c r="BH78" s="1" t="n">
        <v>-1</v>
      </c>
    </row>
    <row r="79" customFormat="false" ht="16" hidden="false" customHeight="false" outlineLevel="0" collapsed="false">
      <c r="A79" s="1" t="n">
        <v>69</v>
      </c>
      <c r="B79" s="1" t="n">
        <f aca="false">IF(C79=C78,B78+B$1,B$3-0.5*B$1*(COUNTIF(C$11:C$1000,C79)-1))</f>
        <v>0.775438596491229</v>
      </c>
      <c r="C79" s="1" t="n">
        <v>2</v>
      </c>
      <c r="D79" s="1" t="n">
        <f aca="false">IF(E79=E78,D78+D$1,D$3-0.5*D$1*(COUNTIF(E$11:E$1000,E79)-1))</f>
        <v>2.31807228915662</v>
      </c>
      <c r="E79" s="1" t="n">
        <v>1</v>
      </c>
      <c r="F79" s="1" t="n">
        <f aca="false">IF(G79=G78,F78+F$1,F$3-0.5*F$1*(COUNTIF(G$11:G$1000,G79)-1))</f>
        <v>3.05625000000001</v>
      </c>
      <c r="G79" s="1" t="n">
        <v>2</v>
      </c>
      <c r="H79" s="1" t="n">
        <f aca="false">IF(I79=I78,H78+H$1,H$3-0.5*H$1*(COUNTIF(I$11:I$1000,I79)-1))</f>
        <v>3.81212121212121</v>
      </c>
      <c r="I79" s="1" t="n">
        <v>2</v>
      </c>
      <c r="J79" s="1" t="n">
        <f aca="false">IF(K79=K78,J78+J$1,J$3-0.5*J$1*(COUNTIF(K$11:K$1000,K79)-1))</f>
        <v>5.05479452054796</v>
      </c>
      <c r="K79" s="1" t="n">
        <v>2</v>
      </c>
      <c r="L79" s="1" t="n">
        <f aca="false">IF(M79=M78,L78+L$1,L$3-0.5*L$1*(COUNTIF(M$11:M$1000,M79)-1))</f>
        <v>5.93157894736841</v>
      </c>
      <c r="M79" s="1" t="n">
        <v>2</v>
      </c>
      <c r="O79" s="1" t="n">
        <f aca="false">IF(P79=P78,O78+O$1,O$3-0.5*O$1*(COUNTIF(P$11:P$1000,P79)-1))</f>
        <v>0.775438596491229</v>
      </c>
      <c r="P79" s="1" t="n">
        <v>2</v>
      </c>
      <c r="Q79" s="1" t="n">
        <f aca="false">IF(R79=R78,Q78+Q$1,Q$3-0.5*Q$1*(COUNTIF(R$11:R$1000,R79)-1))</f>
        <v>1.64285714285714</v>
      </c>
      <c r="R79" s="1" t="n">
        <v>2</v>
      </c>
      <c r="S79" s="1" t="n">
        <f aca="false">IF(T79=T78,S78+S$1,S$3-0.5*S$1*(COUNTIF(T$11:T$1000,T79)-1))</f>
        <v>3.2909090909091</v>
      </c>
      <c r="T79" s="1" t="n">
        <v>2</v>
      </c>
      <c r="U79" s="1" t="n">
        <f aca="false">IF(V79=V78,U78+U$1,U$3-0.5*U$1*(COUNTIF(V$11:V$1000,V79)-1))</f>
        <v>4.29803921568627</v>
      </c>
      <c r="V79" s="1" t="n">
        <v>2</v>
      </c>
      <c r="W79" s="1" t="n">
        <f aca="false">IF(X79=X78,W78+W$1,W$3-0.5*W$1*(COUNTIF(X$11:X$1000,X79)-1))</f>
        <v>5.14358974358974</v>
      </c>
      <c r="X79" s="1" t="n">
        <v>3</v>
      </c>
      <c r="Y79" s="1" t="n">
        <f aca="false">IF(Z79=Z78,Y78+Y$1,Y$3-0.5*Y$1*(COUNTIF(Z$11:Z$1000,Z79)-1))</f>
        <v>5.61025641025641</v>
      </c>
      <c r="Z79" s="1" t="n">
        <v>4</v>
      </c>
      <c r="AB79" s="1" t="n">
        <v>69</v>
      </c>
      <c r="AC79" s="1" t="n">
        <f aca="false">IF(AD79=AD78,AC78+AC$1,AC$3-0.5*AC$1*(COUNTIF(AD$11:AD$1000,AD79)-1))</f>
        <v>1.17904761904762</v>
      </c>
      <c r="AD79" s="1" t="n">
        <v>1</v>
      </c>
      <c r="AE79" s="1" t="n">
        <f aca="false">IF(AF79=AF78,AE78+AE$1,AE$3-0.5*AE$1*(COUNTIF(AF$11:AF$1000,AF79)-1))</f>
        <v>2.06923076923077</v>
      </c>
      <c r="AF79" s="1" t="n">
        <v>2</v>
      </c>
      <c r="AG79" s="1" t="n">
        <f aca="false">IF(AH79=AH78,AG78+AG$1,AG$3-0.5*AG$1*(COUNTIF(AH$11:AH$1000,AH79)-1))</f>
        <v>3.27169811320755</v>
      </c>
      <c r="AH79" s="1" t="n">
        <v>2</v>
      </c>
      <c r="AI79" s="1" t="n">
        <f aca="false">IF(AJ79=AJ78,AI78+AI$1,AI$3-0.5*AI$1*(COUNTIF(AJ$11:AJ$1000,AJ79)-1))</f>
        <v>3.90857142857143</v>
      </c>
      <c r="AJ79" s="1" t="n">
        <v>4</v>
      </c>
      <c r="AK79" s="1" t="n">
        <f aca="false">IF(AL79=AL78,AK78+AK$1,AK$3-0.5*AK$1*(COUNTIF(AL$11:AL$1000,AL79)-1))</f>
        <v>5.35254237288134</v>
      </c>
      <c r="AL79" s="1" t="n">
        <v>2</v>
      </c>
      <c r="AN79" s="1" t="n">
        <f aca="false">IF(AO79=AO78,AN78+AN$1,AN$3-0.5*AN$1*(COUNTIF(AO$11:AO$1000,AO79)-1))</f>
        <v>1.22692307692308</v>
      </c>
      <c r="AO79" s="1" t="n">
        <v>1</v>
      </c>
      <c r="AP79" s="1" t="n">
        <f aca="false">IF(AQ79=AQ78,AP78+AP$1,AP$3-0.5*AP$1*(COUNTIF(AQ$11:AQ$1000,AQ79)-1))</f>
        <v>1.74468085106383</v>
      </c>
      <c r="AQ79" s="1" t="n">
        <v>3</v>
      </c>
      <c r="AR79" s="1" t="n">
        <f aca="false">IF(AS79=AS78,AR78+AR$1,AR$3-0.5*AR$1*(COUNTIF(AS$11:AS$1000,AS79)-1))</f>
        <v>3.02424242424243</v>
      </c>
      <c r="AS79" s="1" t="n">
        <v>4</v>
      </c>
      <c r="AT79" s="1" t="n">
        <f aca="false">IF(AU79=AU78,AT78+AT$1,AT$3-0.5*AT$1*(COUNTIF(AU$11:AU$1000,AU79)-1))</f>
        <v>4</v>
      </c>
      <c r="AU79" s="1" t="n">
        <v>7</v>
      </c>
      <c r="AV79" s="1" t="n">
        <f aca="false">IF(AW79=AW78,AV78+AV$1,AV$3-0.5*AV$1*(COUNTIF(AW$11:AW$1000,AW79)-1))</f>
        <v>5.05714285714286</v>
      </c>
      <c r="AW79" s="1" t="n">
        <v>6</v>
      </c>
      <c r="AY79" s="1" t="n">
        <v>69</v>
      </c>
      <c r="AZ79" s="1" t="n">
        <f aca="false">IF(BA79=BA78,AZ78+AZ$1,AZ$3-0.5*AZ$1*(COUNTIF(BA$11:BA$1000,BA79)-1))</f>
        <v>1.17021276595745</v>
      </c>
      <c r="BA79" s="1" t="n">
        <v>2</v>
      </c>
      <c r="BB79" s="1" t="n">
        <v>-1</v>
      </c>
      <c r="BC79" s="1" t="n">
        <v>-1</v>
      </c>
      <c r="BE79" s="1" t="n">
        <f aca="false">IF(BF79=BF78,BE78+BE$1,BE$3-0.5*BE$1*(COUNTIF(BF$11:BF$1000,BF79)-1))</f>
        <v>0.890909090909091</v>
      </c>
      <c r="BF79" s="1" t="n">
        <v>5</v>
      </c>
      <c r="BG79" s="1" t="n">
        <v>-1</v>
      </c>
      <c r="BH79" s="1" t="n">
        <v>-1</v>
      </c>
    </row>
    <row r="80" customFormat="false" ht="16" hidden="false" customHeight="false" outlineLevel="0" collapsed="false">
      <c r="A80" s="1" t="n">
        <v>70</v>
      </c>
      <c r="B80" s="1" t="n">
        <f aca="false">IF(C80=C79,B79+B$1,B$3-0.5*B$1*(COUNTIF(C$11:C$1000,C80)-1))</f>
        <v>0.789473684210527</v>
      </c>
      <c r="C80" s="1" t="n">
        <v>2</v>
      </c>
      <c r="D80" s="1" t="n">
        <f aca="false">IF(E80=E79,D79+D$1,D$3-0.5*D$1*(COUNTIF(E$11:E$1000,E80)-1))</f>
        <v>2.32771084337349</v>
      </c>
      <c r="E80" s="1" t="n">
        <v>1</v>
      </c>
      <c r="F80" s="1" t="n">
        <f aca="false">IF(G80=G79,F79+F$1,F$3-0.5*F$1*(COUNTIF(G$11:G$1000,G80)-1))</f>
        <v>3.06875000000001</v>
      </c>
      <c r="G80" s="1" t="n">
        <v>2</v>
      </c>
      <c r="H80" s="1" t="n">
        <f aca="false">IF(I80=I79,H79+H$1,H$3-0.5*H$1*(COUNTIF(I$11:I$1000,I80)-1))</f>
        <v>3.82424242424243</v>
      </c>
      <c r="I80" s="1" t="n">
        <v>2</v>
      </c>
      <c r="J80" s="1" t="n">
        <f aca="false">IF(K80=K79,J79+J$1,J$3-0.5*J$1*(COUNTIF(K$11:K$1000,K80)-1))</f>
        <v>5.06575342465755</v>
      </c>
      <c r="K80" s="1" t="n">
        <v>2</v>
      </c>
      <c r="L80" s="1" t="n">
        <f aca="false">IF(M80=M79,L79+L$1,L$3-0.5*L$1*(COUNTIF(M$11:M$1000,M80)-1))</f>
        <v>5.94210526315788</v>
      </c>
      <c r="M80" s="1" t="n">
        <v>2</v>
      </c>
      <c r="O80" s="1" t="n">
        <f aca="false">IF(P80=P79,O79+O$1,O$3-0.5*O$1*(COUNTIF(P$11:P$1000,P80)-1))</f>
        <v>0.789473684210527</v>
      </c>
      <c r="P80" s="1" t="n">
        <v>2</v>
      </c>
      <c r="Q80" s="1" t="n">
        <f aca="false">IF(R80=R79,Q79+Q$1,Q$3-0.5*Q$1*(COUNTIF(R$11:R$1000,R80)-1))</f>
        <v>1.65238095238095</v>
      </c>
      <c r="R80" s="1" t="n">
        <v>2</v>
      </c>
      <c r="S80" s="1" t="n">
        <f aca="false">IF(T80=T79,S79+S$1,S$3-0.5*S$1*(COUNTIF(T$11:T$1000,T80)-1))</f>
        <v>3.30545454545455</v>
      </c>
      <c r="T80" s="1" t="n">
        <v>2</v>
      </c>
      <c r="U80" s="1" t="n">
        <f aca="false">IF(V80=V79,U79+U$1,U$3-0.5*U$1*(COUNTIF(V$11:V$1000,V80)-1))</f>
        <v>4.31372549019608</v>
      </c>
      <c r="V80" s="1" t="n">
        <v>2</v>
      </c>
      <c r="W80" s="1" t="n">
        <f aca="false">IF(X80=X79,W79+W$1,W$3-0.5*W$1*(COUNTIF(X$11:X$1000,X80)-1))</f>
        <v>5.16410256410256</v>
      </c>
      <c r="X80" s="1" t="n">
        <v>3</v>
      </c>
      <c r="Y80" s="1" t="n">
        <f aca="false">IF(Z80=Z79,Y79+Y$1,Y$3-0.5*Y$1*(COUNTIF(Z$11:Z$1000,Z80)-1))</f>
        <v>5.63076923076923</v>
      </c>
      <c r="Z80" s="1" t="n">
        <v>4</v>
      </c>
      <c r="AB80" s="1" t="n">
        <v>70</v>
      </c>
      <c r="AC80" s="1" t="n">
        <f aca="false">IF(AD80=AD79,AC79+AC$1,AC$3-0.5*AC$1*(COUNTIF(AD$11:AD$1000,AD80)-1))</f>
        <v>1.18666666666667</v>
      </c>
      <c r="AD80" s="1" t="n">
        <v>1</v>
      </c>
      <c r="AE80" s="1" t="n">
        <f aca="false">IF(AF80=AF79,AE79+AE$1,AE$3-0.5*AE$1*(COUNTIF(AF$11:AF$1000,AF80)-1))</f>
        <v>2.08461538461538</v>
      </c>
      <c r="AF80" s="1" t="n">
        <v>2</v>
      </c>
      <c r="AG80" s="1" t="n">
        <f aca="false">IF(AH80=AH79,AG79+AG$1,AG$3-0.5*AG$1*(COUNTIF(AH$11:AH$1000,AH80)-1))</f>
        <v>3.28679245283019</v>
      </c>
      <c r="AH80" s="1" t="n">
        <v>2</v>
      </c>
      <c r="AI80" s="1" t="n">
        <f aca="false">IF(AJ80=AJ79,AI79+AI$1,AI$3-0.5*AI$1*(COUNTIF(AJ$11:AJ$1000,AJ80)-1))</f>
        <v>3.93142857142857</v>
      </c>
      <c r="AJ80" s="1" t="n">
        <v>4</v>
      </c>
      <c r="AK80" s="1" t="n">
        <f aca="false">IF(AL80=AL79,AK79+AK$1,AK$3-0.5*AK$1*(COUNTIF(AL$11:AL$1000,AL80)-1))</f>
        <v>5.36610169491524</v>
      </c>
      <c r="AL80" s="1" t="n">
        <v>2</v>
      </c>
      <c r="AN80" s="1" t="n">
        <f aca="false">IF(AO80=AO79,AN79+AN$1,AN$3-0.5*AN$1*(COUNTIF(AO$11:AO$1000,AO80)-1))</f>
        <v>1.23461538461538</v>
      </c>
      <c r="AO80" s="1" t="n">
        <v>1</v>
      </c>
      <c r="AP80" s="1" t="n">
        <f aca="false">IF(AQ80=AQ79,AP79+AP$1,AP$3-0.5*AP$1*(COUNTIF(AQ$11:AQ$1000,AQ80)-1))</f>
        <v>1.76170212765957</v>
      </c>
      <c r="AQ80" s="1" t="n">
        <v>3</v>
      </c>
      <c r="AR80" s="1" t="n">
        <f aca="false">IF(AS80=AS79,AR79+AR$1,AR$3-0.5*AR$1*(COUNTIF(AS$11:AS$1000,AS80)-1))</f>
        <v>3.04848484848485</v>
      </c>
      <c r="AS80" s="1" t="n">
        <v>4</v>
      </c>
      <c r="AT80" s="1" t="n">
        <f aca="false">IF(AU80=AU79,AT79+AT$1,AT$3-0.5*AT$1*(COUNTIF(AU$11:AU$1000,AU80)-1))</f>
        <v>4.03478260869565</v>
      </c>
      <c r="AU80" s="1" t="n">
        <v>7</v>
      </c>
      <c r="AV80" s="1" t="n">
        <f aca="false">IF(AW80=AW79,AV79+AV$1,AV$3-0.5*AV$1*(COUNTIF(AW$11:AW$1000,AW80)-1))</f>
        <v>5.08571428571428</v>
      </c>
      <c r="AW80" s="1" t="n">
        <v>6</v>
      </c>
      <c r="AY80" s="1" t="n">
        <v>70</v>
      </c>
      <c r="AZ80" s="1" t="n">
        <f aca="false">IF(BA80=BA79,AZ79+AZ$1,AZ$3-0.5*AZ$1*(COUNTIF(BA$11:BA$1000,BA80)-1))</f>
        <v>1.18723404255319</v>
      </c>
      <c r="BA80" s="1" t="n">
        <v>2</v>
      </c>
      <c r="BB80" s="1" t="n">
        <v>-1</v>
      </c>
      <c r="BC80" s="1" t="n">
        <v>-1</v>
      </c>
      <c r="BE80" s="1" t="n">
        <f aca="false">IF(BF80=BF79,BE79+BE$1,BE$3-0.5*BE$1*(COUNTIF(BF$11:BF$1000,BF80)-1))</f>
        <v>0.915151515151515</v>
      </c>
      <c r="BF80" s="1" t="n">
        <v>5</v>
      </c>
      <c r="BG80" s="1" t="n">
        <v>-1</v>
      </c>
      <c r="BH80" s="1" t="n">
        <v>-1</v>
      </c>
    </row>
    <row r="81" customFormat="false" ht="16" hidden="false" customHeight="false" outlineLevel="0" collapsed="false">
      <c r="A81" s="1" t="n">
        <v>71</v>
      </c>
      <c r="B81" s="1" t="n">
        <f aca="false">IF(C81=C80,B80+B$1,B$3-0.5*B$1*(COUNTIF(C$11:C$1000,C81)-1))</f>
        <v>0.803508771929825</v>
      </c>
      <c r="C81" s="1" t="n">
        <v>2</v>
      </c>
      <c r="D81" s="1" t="n">
        <f aca="false">IF(E81=E80,D80+D$1,D$3-0.5*D$1*(COUNTIF(E$11:E$1000,E81)-1))</f>
        <v>2.33734939759036</v>
      </c>
      <c r="E81" s="1" t="n">
        <v>1</v>
      </c>
      <c r="F81" s="1" t="n">
        <f aca="false">IF(G81=G80,F80+F$1,F$3-0.5*F$1*(COUNTIF(G$11:G$1000,G81)-1))</f>
        <v>3.08125000000001</v>
      </c>
      <c r="G81" s="1" t="n">
        <v>2</v>
      </c>
      <c r="H81" s="1" t="n">
        <f aca="false">IF(I81=I80,H80+H$1,H$3-0.5*H$1*(COUNTIF(I$11:I$1000,I81)-1))</f>
        <v>3.83636363636364</v>
      </c>
      <c r="I81" s="1" t="n">
        <v>2</v>
      </c>
      <c r="J81" s="1" t="n">
        <f aca="false">IF(K81=K80,J80+J$1,J$3-0.5*J$1*(COUNTIF(K$11:K$1000,K81)-1))</f>
        <v>5.07671232876714</v>
      </c>
      <c r="K81" s="1" t="n">
        <v>2</v>
      </c>
      <c r="L81" s="1" t="n">
        <f aca="false">IF(M81=M80,L80+L$1,L$3-0.5*L$1*(COUNTIF(M$11:M$1000,M81)-1))</f>
        <v>5.95263157894736</v>
      </c>
      <c r="M81" s="1" t="n">
        <v>2</v>
      </c>
      <c r="O81" s="1" t="n">
        <f aca="false">IF(P81=P80,O80+O$1,O$3-0.5*O$1*(COUNTIF(P$11:P$1000,P81)-1))</f>
        <v>0.803508771929825</v>
      </c>
      <c r="P81" s="1" t="n">
        <v>2</v>
      </c>
      <c r="Q81" s="1" t="n">
        <f aca="false">IF(R81=R80,Q80+Q$1,Q$3-0.5*Q$1*(COUNTIF(R$11:R$1000,R81)-1))</f>
        <v>1.66190476190476</v>
      </c>
      <c r="R81" s="1" t="n">
        <v>2</v>
      </c>
      <c r="S81" s="1" t="n">
        <f aca="false">IF(T81=T80,S80+S$1,S$3-0.5*S$1*(COUNTIF(T$11:T$1000,T81)-1))</f>
        <v>3.32</v>
      </c>
      <c r="T81" s="1" t="n">
        <v>2</v>
      </c>
      <c r="U81" s="1" t="n">
        <f aca="false">IF(V81=V80,U80+U$1,U$3-0.5*U$1*(COUNTIF(V$11:V$1000,V81)-1))</f>
        <v>4.32941176470588</v>
      </c>
      <c r="V81" s="1" t="n">
        <v>2</v>
      </c>
      <c r="W81" s="1" t="n">
        <f aca="false">IF(X81=X80,W80+W$1,W$3-0.5*W$1*(COUNTIF(X$11:X$1000,X81)-1))</f>
        <v>5.18461538461538</v>
      </c>
      <c r="X81" s="1" t="n">
        <v>3</v>
      </c>
      <c r="Y81" s="1" t="n">
        <f aca="false">IF(Z81=Z80,Y80+Y$1,Y$3-0.5*Y$1*(COUNTIF(Z$11:Z$1000,Z81)-1))</f>
        <v>5.65128205128205</v>
      </c>
      <c r="Z81" s="1" t="n">
        <v>4</v>
      </c>
      <c r="AB81" s="1" t="n">
        <v>71</v>
      </c>
      <c r="AC81" s="1" t="n">
        <f aca="false">IF(AD81=AD80,AC80+AC$1,AC$3-0.5*AC$1*(COUNTIF(AD$11:AD$1000,AD81)-1))</f>
        <v>1.19428571428572</v>
      </c>
      <c r="AD81" s="1" t="n">
        <v>1</v>
      </c>
      <c r="AE81" s="1" t="n">
        <f aca="false">IF(AF81=AF80,AE80+AE$1,AE$3-0.5*AE$1*(COUNTIF(AF$11:AF$1000,AF81)-1))</f>
        <v>2.1</v>
      </c>
      <c r="AF81" s="1" t="n">
        <v>2</v>
      </c>
      <c r="AG81" s="1" t="n">
        <f aca="false">IF(AH81=AH80,AG80+AG$1,AG$3-0.5*AG$1*(COUNTIF(AH$11:AH$1000,AH81)-1))</f>
        <v>3.30188679245283</v>
      </c>
      <c r="AH81" s="1" t="n">
        <v>2</v>
      </c>
      <c r="AI81" s="1" t="n">
        <f aca="false">IF(AJ81=AJ80,AI80+AI$1,AI$3-0.5*AI$1*(COUNTIF(AJ$11:AJ$1000,AJ81)-1))</f>
        <v>3.95428571428571</v>
      </c>
      <c r="AJ81" s="1" t="n">
        <v>4</v>
      </c>
      <c r="AK81" s="1" t="n">
        <f aca="false">IF(AL81=AL80,AK80+AK$1,AK$3-0.5*AK$1*(COUNTIF(AL$11:AL$1000,AL81)-1))</f>
        <v>5.37966101694914</v>
      </c>
      <c r="AL81" s="1" t="n">
        <v>2</v>
      </c>
      <c r="AN81" s="1" t="n">
        <f aca="false">IF(AO81=AO80,AN80+AN$1,AN$3-0.5*AN$1*(COUNTIF(AO$11:AO$1000,AO81)-1))</f>
        <v>1.24230769230769</v>
      </c>
      <c r="AO81" s="1" t="n">
        <v>1</v>
      </c>
      <c r="AP81" s="1" t="n">
        <f aca="false">IF(AQ81=AQ80,AP80+AP$1,AP$3-0.5*AP$1*(COUNTIF(AQ$11:AQ$1000,AQ81)-1))</f>
        <v>1.77872340425532</v>
      </c>
      <c r="AQ81" s="1" t="n">
        <v>3</v>
      </c>
      <c r="AR81" s="1" t="n">
        <f aca="false">IF(AS81=AS80,AR80+AR$1,AR$3-0.5*AR$1*(COUNTIF(AS$11:AS$1000,AS81)-1))</f>
        <v>3.07272727272728</v>
      </c>
      <c r="AS81" s="1" t="n">
        <v>4</v>
      </c>
      <c r="AT81" s="1" t="n">
        <f aca="false">IF(AU81=AU80,AT80+AT$1,AT$3-0.5*AT$1*(COUNTIF(AU$11:AU$1000,AU81)-1))</f>
        <v>4.0695652173913</v>
      </c>
      <c r="AU81" s="1" t="n">
        <v>7</v>
      </c>
      <c r="AV81" s="1" t="n">
        <f aca="false">IF(AW81=AW80,AV80+AV$1,AV$3-0.5*AV$1*(COUNTIF(AW$11:AW$1000,AW81)-1))</f>
        <v>5.11428571428571</v>
      </c>
      <c r="AW81" s="1" t="n">
        <v>6</v>
      </c>
      <c r="AY81" s="1" t="n">
        <v>71</v>
      </c>
      <c r="AZ81" s="1" t="n">
        <f aca="false">IF(BA81=BA80,AZ80+AZ$1,AZ$3-0.5*AZ$1*(COUNTIF(BA$11:BA$1000,BA81)-1))</f>
        <v>0.931914893617021</v>
      </c>
      <c r="BA81" s="1" t="n">
        <v>3</v>
      </c>
      <c r="BB81" s="1" t="n">
        <v>-1</v>
      </c>
      <c r="BC81" s="1" t="n">
        <v>-1</v>
      </c>
      <c r="BE81" s="1" t="n">
        <f aca="false">IF(BF81=BF80,BE80+BE$1,BE$3-0.5*BE$1*(COUNTIF(BF$11:BF$1000,BF81)-1))</f>
        <v>0.939393939393939</v>
      </c>
      <c r="BF81" s="1" t="n">
        <v>5</v>
      </c>
      <c r="BG81" s="1" t="n">
        <v>-1</v>
      </c>
      <c r="BH81" s="1" t="n">
        <v>-1</v>
      </c>
    </row>
    <row r="82" customFormat="false" ht="16" hidden="false" customHeight="false" outlineLevel="0" collapsed="false">
      <c r="A82" s="1" t="n">
        <v>72</v>
      </c>
      <c r="B82" s="1" t="n">
        <f aca="false">IF(C82=C81,B81+B$1,B$3-0.5*B$1*(COUNTIF(C$11:C$1000,C82)-1))</f>
        <v>0.817543859649124</v>
      </c>
      <c r="C82" s="1" t="n">
        <v>2</v>
      </c>
      <c r="D82" s="1" t="n">
        <f aca="false">IF(E82=E81,D81+D$1,D$3-0.5*D$1*(COUNTIF(E$11:E$1000,E82)-1))</f>
        <v>1.60481927710843</v>
      </c>
      <c r="E82" s="1" t="n">
        <v>2</v>
      </c>
      <c r="F82" s="1" t="n">
        <f aca="false">IF(G82=G81,F81+F$1,F$3-0.5*F$1*(COUNTIF(G$11:G$1000,G82)-1))</f>
        <v>3.09375000000001</v>
      </c>
      <c r="G82" s="1" t="n">
        <v>2</v>
      </c>
      <c r="H82" s="1" t="n">
        <f aca="false">IF(I82=I81,H81+H$1,H$3-0.5*H$1*(COUNTIF(I$11:I$1000,I82)-1))</f>
        <v>3.84848484848485</v>
      </c>
      <c r="I82" s="1" t="n">
        <v>2</v>
      </c>
      <c r="J82" s="1" t="n">
        <f aca="false">IF(K82=K81,J81+J$1,J$3-0.5*J$1*(COUNTIF(K$11:K$1000,K82)-1))</f>
        <v>5.08767123287673</v>
      </c>
      <c r="K82" s="1" t="n">
        <v>2</v>
      </c>
      <c r="L82" s="1" t="n">
        <f aca="false">IF(M82=M81,L81+L$1,L$3-0.5*L$1*(COUNTIF(M$11:M$1000,M82)-1))</f>
        <v>5.96315789473683</v>
      </c>
      <c r="M82" s="1" t="n">
        <v>2</v>
      </c>
      <c r="O82" s="1" t="n">
        <f aca="false">IF(P82=P81,O81+O$1,O$3-0.5*O$1*(COUNTIF(P$11:P$1000,P82)-1))</f>
        <v>0.817543859649124</v>
      </c>
      <c r="P82" s="1" t="n">
        <v>2</v>
      </c>
      <c r="Q82" s="1" t="n">
        <f aca="false">IF(R82=R81,Q81+Q$1,Q$3-0.5*Q$1*(COUNTIF(R$11:R$1000,R82)-1))</f>
        <v>1.67142857142857</v>
      </c>
      <c r="R82" s="1" t="n">
        <v>2</v>
      </c>
      <c r="S82" s="1" t="n">
        <f aca="false">IF(T82=T81,S81+S$1,S$3-0.5*S$1*(COUNTIF(T$11:T$1000,T82)-1))</f>
        <v>3.33454545454546</v>
      </c>
      <c r="T82" s="1" t="n">
        <v>2</v>
      </c>
      <c r="U82" s="1" t="n">
        <f aca="false">IF(V82=V81,U81+U$1,U$3-0.5*U$1*(COUNTIF(V$11:V$1000,V82)-1))</f>
        <v>4.34509803921568</v>
      </c>
      <c r="V82" s="1" t="n">
        <v>2</v>
      </c>
      <c r="W82" s="1" t="n">
        <f aca="false">IF(X82=X81,W81+W$1,W$3-0.5*W$1*(COUNTIF(X$11:X$1000,X82)-1))</f>
        <v>5.2051282051282</v>
      </c>
      <c r="X82" s="1" t="n">
        <v>3</v>
      </c>
      <c r="Y82" s="1" t="n">
        <f aca="false">IF(Z82=Z81,Y81+Y$1,Y$3-0.5*Y$1*(COUNTIF(Z$11:Z$1000,Z82)-1))</f>
        <v>5.67179487179487</v>
      </c>
      <c r="Z82" s="1" t="n">
        <v>4</v>
      </c>
      <c r="AB82" s="1" t="n">
        <v>72</v>
      </c>
      <c r="AC82" s="1" t="n">
        <f aca="false">IF(AD82=AD81,AC81+AC$1,AC$3-0.5*AC$1*(COUNTIF(AD$11:AD$1000,AD82)-1))</f>
        <v>1.20190476190476</v>
      </c>
      <c r="AD82" s="1" t="n">
        <v>1</v>
      </c>
      <c r="AE82" s="1" t="n">
        <f aca="false">IF(AF82=AF81,AE81+AE$1,AE$3-0.5*AE$1*(COUNTIF(AF$11:AF$1000,AF82)-1))</f>
        <v>2.11538461538461</v>
      </c>
      <c r="AF82" s="1" t="n">
        <v>2</v>
      </c>
      <c r="AG82" s="1" t="n">
        <f aca="false">IF(AH82=AH81,AG81+AG$1,AG$3-0.5*AG$1*(COUNTIF(AH$11:AH$1000,AH82)-1))</f>
        <v>3.31698113207547</v>
      </c>
      <c r="AH82" s="1" t="n">
        <v>2</v>
      </c>
      <c r="AI82" s="1" t="n">
        <f aca="false">IF(AJ82=AJ81,AI81+AI$1,AI$3-0.5*AI$1*(COUNTIF(AJ$11:AJ$1000,AJ82)-1))</f>
        <v>3.97714285714286</v>
      </c>
      <c r="AJ82" s="1" t="n">
        <v>4</v>
      </c>
      <c r="AK82" s="1" t="n">
        <f aca="false">IF(AL82=AL81,AK81+AK$1,AK$3-0.5*AK$1*(COUNTIF(AL$11:AL$1000,AL82)-1))</f>
        <v>5.39322033898304</v>
      </c>
      <c r="AL82" s="1" t="n">
        <v>2</v>
      </c>
      <c r="AN82" s="1" t="n">
        <f aca="false">IF(AO82=AO81,AN81+AN$1,AN$3-0.5*AN$1*(COUNTIF(AO$11:AO$1000,AO82)-1))</f>
        <v>1.25</v>
      </c>
      <c r="AO82" s="1" t="n">
        <v>1</v>
      </c>
      <c r="AP82" s="1" t="n">
        <f aca="false">IF(AQ82=AQ81,AP81+AP$1,AP$3-0.5*AP$1*(COUNTIF(AQ$11:AQ$1000,AQ82)-1))</f>
        <v>1.79574468085106</v>
      </c>
      <c r="AQ82" s="1" t="n">
        <v>3</v>
      </c>
      <c r="AR82" s="1" t="n">
        <f aca="false">IF(AS82=AS81,AR81+AR$1,AR$3-0.5*AR$1*(COUNTIF(AS$11:AS$1000,AS82)-1))</f>
        <v>3.0969696969697</v>
      </c>
      <c r="AS82" s="1" t="n">
        <v>4</v>
      </c>
      <c r="AT82" s="1" t="n">
        <f aca="false">IF(AU82=AU81,AT81+AT$1,AT$3-0.5*AT$1*(COUNTIF(AU$11:AU$1000,AU82)-1))</f>
        <v>3.61739130434783</v>
      </c>
      <c r="AU82" s="1" t="n">
        <v>8</v>
      </c>
      <c r="AV82" s="1" t="n">
        <f aca="false">IF(AW82=AW81,AV81+AV$1,AV$3-0.5*AV$1*(COUNTIF(AW$11:AW$1000,AW82)-1))</f>
        <v>5.14285714285714</v>
      </c>
      <c r="AW82" s="1" t="n">
        <v>6</v>
      </c>
      <c r="AY82" s="1" t="n">
        <v>72</v>
      </c>
      <c r="AZ82" s="1" t="n">
        <f aca="false">IF(BA82=BA81,AZ81+AZ$1,AZ$3-0.5*AZ$1*(COUNTIF(BA$11:BA$1000,BA82)-1))</f>
        <v>0.948936170212766</v>
      </c>
      <c r="BA82" s="1" t="n">
        <v>3</v>
      </c>
      <c r="BB82" s="1" t="n">
        <v>-1</v>
      </c>
      <c r="BC82" s="1" t="n">
        <v>-1</v>
      </c>
      <c r="BE82" s="1" t="n">
        <f aca="false">IF(BF82=BF81,BE81+BE$1,BE$3-0.5*BE$1*(COUNTIF(BF$11:BF$1000,BF82)-1))</f>
        <v>0.963636363636364</v>
      </c>
      <c r="BF82" s="1" t="n">
        <v>5</v>
      </c>
      <c r="BG82" s="1" t="n">
        <v>-1</v>
      </c>
      <c r="BH82" s="1" t="n">
        <v>-1</v>
      </c>
    </row>
    <row r="83" customFormat="false" ht="16" hidden="false" customHeight="false" outlineLevel="0" collapsed="false">
      <c r="A83" s="1" t="n">
        <v>73</v>
      </c>
      <c r="B83" s="1" t="n">
        <f aca="false">IF(C83=C82,B82+B$1,B$3-0.5*B$1*(COUNTIF(C$11:C$1000,C83)-1))</f>
        <v>0.831578947368422</v>
      </c>
      <c r="C83" s="1" t="n">
        <v>2</v>
      </c>
      <c r="D83" s="1" t="n">
        <f aca="false">IF(E83=E82,D82+D$1,D$3-0.5*D$1*(COUNTIF(E$11:E$1000,E83)-1))</f>
        <v>1.6144578313253</v>
      </c>
      <c r="E83" s="1" t="n">
        <v>2</v>
      </c>
      <c r="F83" s="1" t="n">
        <f aca="false">IF(G83=G82,F82+F$1,F$3-0.5*F$1*(COUNTIF(G$11:G$1000,G83)-1))</f>
        <v>3.10625000000001</v>
      </c>
      <c r="G83" s="1" t="n">
        <v>2</v>
      </c>
      <c r="H83" s="1" t="n">
        <f aca="false">IF(I83=I82,H82+H$1,H$3-0.5*H$1*(COUNTIF(I$11:I$1000,I83)-1))</f>
        <v>3.86060606060606</v>
      </c>
      <c r="I83" s="1" t="n">
        <v>2</v>
      </c>
      <c r="J83" s="1" t="n">
        <f aca="false">IF(K83=K82,J82+J$1,J$3-0.5*J$1*(COUNTIF(K$11:K$1000,K83)-1))</f>
        <v>5.09863013698632</v>
      </c>
      <c r="K83" s="1" t="n">
        <v>2</v>
      </c>
      <c r="L83" s="1" t="n">
        <f aca="false">IF(M83=M82,L82+L$1,L$3-0.5*L$1*(COUNTIF(M$11:M$1000,M83)-1))</f>
        <v>5.9736842105263</v>
      </c>
      <c r="M83" s="1" t="n">
        <v>2</v>
      </c>
      <c r="O83" s="1" t="n">
        <f aca="false">IF(P83=P82,O82+O$1,O$3-0.5*O$1*(COUNTIF(P$11:P$1000,P83)-1))</f>
        <v>0.831578947368422</v>
      </c>
      <c r="P83" s="1" t="n">
        <v>2</v>
      </c>
      <c r="Q83" s="1" t="n">
        <f aca="false">IF(R83=R82,Q82+Q$1,Q$3-0.5*Q$1*(COUNTIF(R$11:R$1000,R83)-1))</f>
        <v>1.68095238095238</v>
      </c>
      <c r="R83" s="1" t="n">
        <v>2</v>
      </c>
      <c r="S83" s="1" t="n">
        <f aca="false">IF(T83=T82,S82+S$1,S$3-0.5*S$1*(COUNTIF(T$11:T$1000,T83)-1))</f>
        <v>3.34909090909091</v>
      </c>
      <c r="T83" s="1" t="n">
        <v>2</v>
      </c>
      <c r="U83" s="1" t="n">
        <f aca="false">IF(V83=V82,U82+U$1,U$3-0.5*U$1*(COUNTIF(V$11:V$1000,V83)-1))</f>
        <v>4.36078431372549</v>
      </c>
      <c r="V83" s="1" t="n">
        <v>2</v>
      </c>
      <c r="W83" s="1" t="n">
        <f aca="false">IF(X83=X82,W82+W$1,W$3-0.5*W$1*(COUNTIF(X$11:X$1000,X83)-1))</f>
        <v>5.22564102564102</v>
      </c>
      <c r="X83" s="1" t="n">
        <v>3</v>
      </c>
      <c r="Y83" s="1" t="n">
        <f aca="false">IF(Z83=Z82,Y82+Y$1,Y$3-0.5*Y$1*(COUNTIF(Z$11:Z$1000,Z83)-1))</f>
        <v>5.69230769230769</v>
      </c>
      <c r="Z83" s="1" t="n">
        <v>4</v>
      </c>
      <c r="AB83" s="1" t="n">
        <v>73</v>
      </c>
      <c r="AC83" s="1" t="n">
        <f aca="false">IF(AD83=AD82,AC82+AC$1,AC$3-0.5*AC$1*(COUNTIF(AD$11:AD$1000,AD83)-1))</f>
        <v>1.20952380952381</v>
      </c>
      <c r="AD83" s="1" t="n">
        <v>1</v>
      </c>
      <c r="AE83" s="1" t="n">
        <f aca="false">IF(AF83=AF82,AE82+AE$1,AE$3-0.5*AE$1*(COUNTIF(AF$11:AF$1000,AF83)-1))</f>
        <v>2.13076923076923</v>
      </c>
      <c r="AF83" s="1" t="n">
        <v>2</v>
      </c>
      <c r="AG83" s="1" t="n">
        <f aca="false">IF(AH83=AH82,AG82+AG$1,AG$3-0.5*AG$1*(COUNTIF(AH$11:AH$1000,AH83)-1))</f>
        <v>3.33207547169811</v>
      </c>
      <c r="AH83" s="1" t="n">
        <v>2</v>
      </c>
      <c r="AI83" s="1" t="n">
        <f aca="false">IF(AJ83=AJ82,AI82+AI$1,AI$3-0.5*AI$1*(COUNTIF(AJ$11:AJ$1000,AJ83)-1))</f>
        <v>4</v>
      </c>
      <c r="AJ83" s="1" t="n">
        <v>4</v>
      </c>
      <c r="AK83" s="1" t="n">
        <f aca="false">IF(AL83=AL82,AK82+AK$1,AK$3-0.5*AK$1*(COUNTIF(AL$11:AL$1000,AL83)-1))</f>
        <v>4.94576271186441</v>
      </c>
      <c r="AL83" s="1" t="n">
        <v>3</v>
      </c>
      <c r="AN83" s="1" t="n">
        <f aca="false">IF(AO83=AO82,AN82+AN$1,AN$3-0.5*AN$1*(COUNTIF(AO$11:AO$1000,AO83)-1))</f>
        <v>1.25769230769231</v>
      </c>
      <c r="AO83" s="1" t="n">
        <v>1</v>
      </c>
      <c r="AP83" s="1" t="n">
        <f aca="false">IF(AQ83=AQ82,AP82+AP$1,AP$3-0.5*AP$1*(COUNTIF(AQ$11:AQ$1000,AQ83)-1))</f>
        <v>1.81276595744681</v>
      </c>
      <c r="AQ83" s="1" t="n">
        <v>3</v>
      </c>
      <c r="AR83" s="1" t="n">
        <f aca="false">IF(AS83=AS82,AR82+AR$1,AR$3-0.5*AR$1*(COUNTIF(AS$11:AS$1000,AS83)-1))</f>
        <v>3.12121212121212</v>
      </c>
      <c r="AS83" s="1" t="n">
        <v>4</v>
      </c>
      <c r="AT83" s="1" t="n">
        <f aca="false">IF(AU83=AU82,AT82+AT$1,AT$3-0.5*AT$1*(COUNTIF(AU$11:AU$1000,AU83)-1))</f>
        <v>3.65217391304348</v>
      </c>
      <c r="AU83" s="1" t="n">
        <v>8</v>
      </c>
      <c r="AV83" s="1" t="n">
        <f aca="false">IF(AW83=AW82,AV82+AV$1,AV$3-0.5*AV$1*(COUNTIF(AW$11:AW$1000,AW83)-1))</f>
        <v>5.17142857142857</v>
      </c>
      <c r="AW83" s="1" t="n">
        <v>6</v>
      </c>
      <c r="AY83" s="1" t="n">
        <v>73</v>
      </c>
      <c r="AZ83" s="1" t="n">
        <f aca="false">IF(BA83=BA82,AZ82+AZ$1,AZ$3-0.5*AZ$1*(COUNTIF(BA$11:BA$1000,BA83)-1))</f>
        <v>0.965957446808511</v>
      </c>
      <c r="BA83" s="1" t="n">
        <v>3</v>
      </c>
      <c r="BB83" s="1" t="n">
        <v>-1</v>
      </c>
      <c r="BC83" s="1" t="n">
        <v>-1</v>
      </c>
      <c r="BE83" s="1" t="n">
        <f aca="false">IF(BF83=BF82,BE82+BE$1,BE$3-0.5*BE$1*(COUNTIF(BF$11:BF$1000,BF83)-1))</f>
        <v>0.987878787878788</v>
      </c>
      <c r="BF83" s="1" t="n">
        <v>5</v>
      </c>
      <c r="BG83" s="1" t="n">
        <v>-1</v>
      </c>
      <c r="BH83" s="1" t="n">
        <v>-1</v>
      </c>
    </row>
    <row r="84" customFormat="false" ht="16" hidden="false" customHeight="false" outlineLevel="0" collapsed="false">
      <c r="A84" s="1" t="n">
        <v>74</v>
      </c>
      <c r="B84" s="1" t="n">
        <f aca="false">IF(C84=C83,B83+B$1,B$3-0.5*B$1*(COUNTIF(C$11:C$1000,C84)-1))</f>
        <v>0.84561403508772</v>
      </c>
      <c r="C84" s="1" t="n">
        <v>2</v>
      </c>
      <c r="D84" s="1" t="n">
        <f aca="false">IF(E84=E83,D83+D$1,D$3-0.5*D$1*(COUNTIF(E$11:E$1000,E84)-1))</f>
        <v>1.62409638554217</v>
      </c>
      <c r="E84" s="1" t="n">
        <v>2</v>
      </c>
      <c r="F84" s="1" t="n">
        <f aca="false">IF(G84=G83,F83+F$1,F$3-0.5*F$1*(COUNTIF(G$11:G$1000,G84)-1))</f>
        <v>3.11875000000001</v>
      </c>
      <c r="G84" s="1" t="n">
        <v>2</v>
      </c>
      <c r="H84" s="1" t="n">
        <f aca="false">IF(I84=I83,H83+H$1,H$3-0.5*H$1*(COUNTIF(I$11:I$1000,I84)-1))</f>
        <v>3.87272727272727</v>
      </c>
      <c r="I84" s="1" t="n">
        <v>2</v>
      </c>
      <c r="J84" s="1" t="n">
        <f aca="false">IF(K84=K83,J83+J$1,J$3-0.5*J$1*(COUNTIF(K$11:K$1000,K84)-1))</f>
        <v>5.10958904109591</v>
      </c>
      <c r="K84" s="1" t="n">
        <v>2</v>
      </c>
      <c r="L84" s="1" t="n">
        <f aca="false">IF(M84=M83,L83+L$1,L$3-0.5*L$1*(COUNTIF(M$11:M$1000,M84)-1))</f>
        <v>5.98421052631578</v>
      </c>
      <c r="M84" s="1" t="n">
        <v>2</v>
      </c>
      <c r="O84" s="1" t="n">
        <f aca="false">IF(P84=P83,O83+O$1,O$3-0.5*O$1*(COUNTIF(P$11:P$1000,P84)-1))</f>
        <v>0.84561403508772</v>
      </c>
      <c r="P84" s="1" t="n">
        <v>2</v>
      </c>
      <c r="Q84" s="1" t="n">
        <f aca="false">IF(R84=R83,Q83+Q$1,Q$3-0.5*Q$1*(COUNTIF(R$11:R$1000,R84)-1))</f>
        <v>1.69047619047619</v>
      </c>
      <c r="R84" s="1" t="n">
        <v>2</v>
      </c>
      <c r="S84" s="1" t="n">
        <f aca="false">IF(T84=T83,S83+S$1,S$3-0.5*S$1*(COUNTIF(T$11:T$1000,T84)-1))</f>
        <v>3.36363636363637</v>
      </c>
      <c r="T84" s="1" t="n">
        <v>2</v>
      </c>
      <c r="U84" s="1" t="n">
        <f aca="false">IF(V84=V83,U83+U$1,U$3-0.5*U$1*(COUNTIF(V$11:V$1000,V84)-1))</f>
        <v>4.37647058823529</v>
      </c>
      <c r="V84" s="1" t="n">
        <v>2</v>
      </c>
      <c r="W84" s="1" t="n">
        <f aca="false">IF(X84=X83,W83+W$1,W$3-0.5*W$1*(COUNTIF(X$11:X$1000,X84)-1))</f>
        <v>4.74358974358974</v>
      </c>
      <c r="X84" s="1" t="n">
        <v>4</v>
      </c>
      <c r="Y84" s="1" t="n">
        <f aca="false">IF(Z84=Z83,Y83+Y$1,Y$3-0.5*Y$1*(COUNTIF(Z$11:Z$1000,Z84)-1))</f>
        <v>5.71282051282051</v>
      </c>
      <c r="Z84" s="1" t="n">
        <v>4</v>
      </c>
      <c r="AB84" s="1" t="n">
        <v>74</v>
      </c>
      <c r="AC84" s="1" t="n">
        <f aca="false">IF(AD84=AD83,AC83+AC$1,AC$3-0.5*AC$1*(COUNTIF(AD$11:AD$1000,AD84)-1))</f>
        <v>1.21714285714286</v>
      </c>
      <c r="AD84" s="1" t="n">
        <v>1</v>
      </c>
      <c r="AE84" s="1" t="n">
        <f aca="false">IF(AF84=AF83,AE83+AE$1,AE$3-0.5*AE$1*(COUNTIF(AF$11:AF$1000,AF84)-1))</f>
        <v>2.14615384615384</v>
      </c>
      <c r="AF84" s="1" t="n">
        <v>2</v>
      </c>
      <c r="AG84" s="1" t="n">
        <f aca="false">IF(AH84=AH83,AG83+AG$1,AG$3-0.5*AG$1*(COUNTIF(AH$11:AH$1000,AH84)-1))</f>
        <v>3.34716981132075</v>
      </c>
      <c r="AH84" s="1" t="n">
        <v>2</v>
      </c>
      <c r="AI84" s="1" t="n">
        <f aca="false">IF(AJ84=AJ83,AI83+AI$1,AI$3-0.5*AI$1*(COUNTIF(AJ$11:AJ$1000,AJ84)-1))</f>
        <v>4.02285714285714</v>
      </c>
      <c r="AJ84" s="1" t="n">
        <v>4</v>
      </c>
      <c r="AK84" s="1" t="n">
        <f aca="false">IF(AL84=AL83,AK83+AK$1,AK$3-0.5*AK$1*(COUNTIF(AL$11:AL$1000,AL84)-1))</f>
        <v>4.95932203389831</v>
      </c>
      <c r="AL84" s="1" t="n">
        <v>3</v>
      </c>
      <c r="AN84" s="1" t="n">
        <f aca="false">IF(AO84=AO83,AN83+AN$1,AN$3-0.5*AN$1*(COUNTIF(AO$11:AO$1000,AO84)-1))</f>
        <v>1.26538461538461</v>
      </c>
      <c r="AO84" s="1" t="n">
        <v>1</v>
      </c>
      <c r="AP84" s="1" t="n">
        <f aca="false">IF(AQ84=AQ83,AP83+AP$1,AP$3-0.5*AP$1*(COUNTIF(AQ$11:AQ$1000,AQ84)-1))</f>
        <v>1.82978723404255</v>
      </c>
      <c r="AQ84" s="1" t="n">
        <v>3</v>
      </c>
      <c r="AR84" s="1" t="n">
        <f aca="false">IF(AS84=AS83,AR83+AR$1,AR$3-0.5*AR$1*(COUNTIF(AS$11:AS$1000,AS84)-1))</f>
        <v>3.14545454545455</v>
      </c>
      <c r="AS84" s="1" t="n">
        <v>4</v>
      </c>
      <c r="AT84" s="1" t="n">
        <f aca="false">IF(AU84=AU83,AT83+AT$1,AT$3-0.5*AT$1*(COUNTIF(AU$11:AU$1000,AU84)-1))</f>
        <v>3.68695652173913</v>
      </c>
      <c r="AU84" s="1" t="n">
        <v>8</v>
      </c>
      <c r="AV84" s="1" t="n">
        <f aca="false">IF(AW84=AW83,AV83+AV$1,AV$3-0.5*AV$1*(COUNTIF(AW$11:AW$1000,AW84)-1))</f>
        <v>4.92857142857143</v>
      </c>
      <c r="AW84" s="1" t="n">
        <v>7</v>
      </c>
      <c r="AY84" s="1" t="n">
        <v>74</v>
      </c>
      <c r="AZ84" s="1" t="n">
        <f aca="false">IF(BA84=BA83,AZ83+AZ$1,AZ$3-0.5*AZ$1*(COUNTIF(BA$11:BA$1000,BA84)-1))</f>
        <v>0.982978723404255</v>
      </c>
      <c r="BA84" s="1" t="n">
        <v>3</v>
      </c>
      <c r="BB84" s="1" t="n">
        <v>-1</v>
      </c>
      <c r="BC84" s="1" t="n">
        <v>-1</v>
      </c>
      <c r="BE84" s="1" t="n">
        <f aca="false">IF(BF84=BF83,BE83+BE$1,BE$3-0.5*BE$1*(COUNTIF(BF$11:BF$1000,BF84)-1))</f>
        <v>1.01212121212121</v>
      </c>
      <c r="BF84" s="1" t="n">
        <v>5</v>
      </c>
      <c r="BG84" s="1" t="n">
        <v>-1</v>
      </c>
      <c r="BH84" s="1" t="n">
        <v>-1</v>
      </c>
    </row>
    <row r="85" customFormat="false" ht="16" hidden="false" customHeight="false" outlineLevel="0" collapsed="false">
      <c r="A85" s="1" t="n">
        <v>75</v>
      </c>
      <c r="B85" s="1" t="n">
        <f aca="false">IF(C85=C84,B84+B$1,B$3-0.5*B$1*(COUNTIF(C$11:C$1000,C85)-1))</f>
        <v>0.859649122807018</v>
      </c>
      <c r="C85" s="1" t="n">
        <v>2</v>
      </c>
      <c r="D85" s="1" t="n">
        <f aca="false">IF(E85=E84,D84+D$1,D$3-0.5*D$1*(COUNTIF(E$11:E$1000,E85)-1))</f>
        <v>1.63373493975904</v>
      </c>
      <c r="E85" s="1" t="n">
        <v>2</v>
      </c>
      <c r="F85" s="1" t="n">
        <f aca="false">IF(G85=G84,F84+F$1,F$3-0.5*F$1*(COUNTIF(G$11:G$1000,G85)-1))</f>
        <v>3.13125000000001</v>
      </c>
      <c r="G85" s="1" t="n">
        <v>2</v>
      </c>
      <c r="H85" s="1" t="n">
        <f aca="false">IF(I85=I84,H84+H$1,H$3-0.5*H$1*(COUNTIF(I$11:I$1000,I85)-1))</f>
        <v>3.88484848484849</v>
      </c>
      <c r="I85" s="1" t="n">
        <v>2</v>
      </c>
      <c r="J85" s="1" t="n">
        <f aca="false">IF(K85=K84,J84+J$1,J$3-0.5*J$1*(COUNTIF(K$11:K$1000,K85)-1))</f>
        <v>5.1205479452055</v>
      </c>
      <c r="K85" s="1" t="n">
        <v>2</v>
      </c>
      <c r="L85" s="1" t="n">
        <f aca="false">IF(M85=M84,L84+L$1,L$3-0.5*L$1*(COUNTIF(M$11:M$1000,M85)-1))</f>
        <v>5.99473684210525</v>
      </c>
      <c r="M85" s="1" t="n">
        <v>2</v>
      </c>
      <c r="O85" s="1" t="n">
        <f aca="false">IF(P85=P84,O84+O$1,O$3-0.5*O$1*(COUNTIF(P$11:P$1000,P85)-1))</f>
        <v>0.859649122807018</v>
      </c>
      <c r="P85" s="1" t="n">
        <v>2</v>
      </c>
      <c r="Q85" s="1" t="n">
        <f aca="false">IF(R85=R84,Q84+Q$1,Q$3-0.5*Q$1*(COUNTIF(R$11:R$1000,R85)-1))</f>
        <v>1.7</v>
      </c>
      <c r="R85" s="1" t="n">
        <v>2</v>
      </c>
      <c r="S85" s="1" t="n">
        <f aca="false">IF(T85=T84,S84+S$1,S$3-0.5*S$1*(COUNTIF(T$11:T$1000,T85)-1))</f>
        <v>3.37818181818182</v>
      </c>
      <c r="T85" s="1" t="n">
        <v>2</v>
      </c>
      <c r="U85" s="1" t="n">
        <f aca="false">IF(V85=V84,U84+U$1,U$3-0.5*U$1*(COUNTIF(V$11:V$1000,V85)-1))</f>
        <v>4.3921568627451</v>
      </c>
      <c r="V85" s="1" t="n">
        <v>2</v>
      </c>
      <c r="W85" s="1" t="n">
        <f aca="false">IF(X85=X84,W84+W$1,W$3-0.5*W$1*(COUNTIF(X$11:X$1000,X85)-1))</f>
        <v>4.76410256410256</v>
      </c>
      <c r="X85" s="1" t="n">
        <v>4</v>
      </c>
      <c r="Y85" s="1" t="n">
        <f aca="false">IF(Z85=Z84,Y84+Y$1,Y$3-0.5*Y$1*(COUNTIF(Z$11:Z$1000,Z85)-1))</f>
        <v>5.73333333333333</v>
      </c>
      <c r="Z85" s="1" t="n">
        <v>4</v>
      </c>
      <c r="AB85" s="1" t="n">
        <v>75</v>
      </c>
      <c r="AC85" s="1" t="n">
        <f aca="false">IF(AD85=AD84,AC84+AC$1,AC$3-0.5*AC$1*(COUNTIF(AD$11:AD$1000,AD85)-1))</f>
        <v>1.22476190476191</v>
      </c>
      <c r="AD85" s="1" t="n">
        <v>1</v>
      </c>
      <c r="AE85" s="1" t="n">
        <f aca="false">IF(AF85=AF84,AE84+AE$1,AE$3-0.5*AE$1*(COUNTIF(AF$11:AF$1000,AF85)-1))</f>
        <v>2.16153846153846</v>
      </c>
      <c r="AF85" s="1" t="n">
        <v>2</v>
      </c>
      <c r="AG85" s="1" t="n">
        <f aca="false">IF(AH85=AH84,AG84+AG$1,AG$3-0.5*AG$1*(COUNTIF(AH$11:AH$1000,AH85)-1))</f>
        <v>3.3622641509434</v>
      </c>
      <c r="AH85" s="1" t="n">
        <v>2</v>
      </c>
      <c r="AI85" s="1" t="n">
        <f aca="false">IF(AJ85=AJ84,AI84+AI$1,AI$3-0.5*AI$1*(COUNTIF(AJ$11:AJ$1000,AJ85)-1))</f>
        <v>4.04571428571428</v>
      </c>
      <c r="AJ85" s="1" t="n">
        <v>4</v>
      </c>
      <c r="AK85" s="1" t="n">
        <f aca="false">IF(AL85=AL84,AK84+AK$1,AK$3-0.5*AK$1*(COUNTIF(AL$11:AL$1000,AL85)-1))</f>
        <v>4.9728813559322</v>
      </c>
      <c r="AL85" s="1" t="n">
        <v>3</v>
      </c>
      <c r="AN85" s="1" t="n">
        <f aca="false">IF(AO85=AO84,AN84+AN$1,AN$3-0.5*AN$1*(COUNTIF(AO$11:AO$1000,AO85)-1))</f>
        <v>1.27307692307692</v>
      </c>
      <c r="AO85" s="1" t="n">
        <v>1</v>
      </c>
      <c r="AP85" s="1" t="n">
        <f aca="false">IF(AQ85=AQ84,AP84+AP$1,AP$3-0.5*AP$1*(COUNTIF(AQ$11:AQ$1000,AQ85)-1))</f>
        <v>1.8468085106383</v>
      </c>
      <c r="AQ85" s="1" t="n">
        <v>3</v>
      </c>
      <c r="AR85" s="1" t="n">
        <f aca="false">IF(AS85=AS84,AR84+AR$1,AR$3-0.5*AR$1*(COUNTIF(AS$11:AS$1000,AS85)-1))</f>
        <v>3.16969696969697</v>
      </c>
      <c r="AS85" s="1" t="n">
        <v>4</v>
      </c>
      <c r="AT85" s="1" t="n">
        <f aca="false">IF(AU85=AU84,AT84+AT$1,AT$3-0.5*AT$1*(COUNTIF(AU$11:AU$1000,AU85)-1))</f>
        <v>3.72173913043478</v>
      </c>
      <c r="AU85" s="1" t="n">
        <v>8</v>
      </c>
      <c r="AV85" s="1" t="n">
        <f aca="false">IF(AW85=AW84,AV84+AV$1,AV$3-0.5*AV$1*(COUNTIF(AW$11:AW$1000,AW85)-1))</f>
        <v>4.95714285714286</v>
      </c>
      <c r="AW85" s="1" t="n">
        <v>7</v>
      </c>
      <c r="AY85" s="1" t="n">
        <v>75</v>
      </c>
      <c r="AZ85" s="1" t="n">
        <f aca="false">IF(BA85=BA84,AZ84+AZ$1,AZ$3-0.5*AZ$1*(COUNTIF(BA$11:BA$1000,BA85)-1))</f>
        <v>1</v>
      </c>
      <c r="BA85" s="1" t="n">
        <v>3</v>
      </c>
      <c r="BB85" s="1" t="n">
        <v>-1</v>
      </c>
      <c r="BC85" s="1" t="n">
        <v>-1</v>
      </c>
      <c r="BE85" s="1" t="n">
        <f aca="false">IF(BF85=BF84,BE84+BE$1,BE$3-0.5*BE$1*(COUNTIF(BF$11:BF$1000,BF85)-1))</f>
        <v>1.03636363636364</v>
      </c>
      <c r="BF85" s="1" t="n">
        <v>5</v>
      </c>
      <c r="BG85" s="1" t="n">
        <v>-1</v>
      </c>
      <c r="BH85" s="1" t="n">
        <v>-1</v>
      </c>
    </row>
    <row r="86" customFormat="false" ht="16" hidden="false" customHeight="false" outlineLevel="0" collapsed="false">
      <c r="A86" s="1" t="n">
        <v>76</v>
      </c>
      <c r="B86" s="1" t="n">
        <f aca="false">IF(C86=C85,B85+B$1,B$3-0.5*B$1*(COUNTIF(C$11:C$1000,C86)-1))</f>
        <v>0.873684210526317</v>
      </c>
      <c r="C86" s="1" t="n">
        <v>2</v>
      </c>
      <c r="D86" s="1" t="n">
        <f aca="false">IF(E86=E85,D85+D$1,D$3-0.5*D$1*(COUNTIF(E$11:E$1000,E86)-1))</f>
        <v>1.6433734939759</v>
      </c>
      <c r="E86" s="1" t="n">
        <v>2</v>
      </c>
      <c r="F86" s="1" t="n">
        <f aca="false">IF(G86=G85,F85+F$1,F$3-0.5*F$1*(COUNTIF(G$11:G$1000,G86)-1))</f>
        <v>3.14375000000001</v>
      </c>
      <c r="G86" s="1" t="n">
        <v>2</v>
      </c>
      <c r="H86" s="1" t="n">
        <f aca="false">IF(I86=I85,H85+H$1,H$3-0.5*H$1*(COUNTIF(I$11:I$1000,I86)-1))</f>
        <v>3.8969696969697</v>
      </c>
      <c r="I86" s="1" t="n">
        <v>2</v>
      </c>
      <c r="J86" s="1" t="n">
        <f aca="false">IF(K86=K85,J85+J$1,J$3-0.5*J$1*(COUNTIF(K$11:K$1000,K86)-1))</f>
        <v>5.13150684931509</v>
      </c>
      <c r="K86" s="1" t="n">
        <v>2</v>
      </c>
      <c r="L86" s="1" t="n">
        <f aca="false">IF(M86=M85,L85+L$1,L$3-0.5*L$1*(COUNTIF(M$11:M$1000,M86)-1))</f>
        <v>6.00526315789472</v>
      </c>
      <c r="M86" s="1" t="n">
        <v>2</v>
      </c>
      <c r="O86" s="1" t="n">
        <f aca="false">IF(P86=P85,O85+O$1,O$3-0.5*O$1*(COUNTIF(P$11:P$1000,P86)-1))</f>
        <v>0.873684210526317</v>
      </c>
      <c r="P86" s="1" t="n">
        <v>2</v>
      </c>
      <c r="Q86" s="1" t="n">
        <f aca="false">IF(R86=R85,Q85+Q$1,Q$3-0.5*Q$1*(COUNTIF(R$11:R$1000,R86)-1))</f>
        <v>1.70952380952381</v>
      </c>
      <c r="R86" s="1" t="n">
        <v>2</v>
      </c>
      <c r="S86" s="1" t="n">
        <f aca="false">IF(T86=T85,S85+S$1,S$3-0.5*S$1*(COUNTIF(T$11:T$1000,T86)-1))</f>
        <v>3.39272727272728</v>
      </c>
      <c r="T86" s="1" t="n">
        <v>2</v>
      </c>
      <c r="U86" s="1" t="n">
        <f aca="false">IF(V86=V85,U85+U$1,U$3-0.5*U$1*(COUNTIF(V$11:V$1000,V86)-1))</f>
        <v>3.81960784313725</v>
      </c>
      <c r="V86" s="1" t="n">
        <v>3</v>
      </c>
      <c r="W86" s="1" t="n">
        <f aca="false">IF(X86=X85,W85+W$1,W$3-0.5*W$1*(COUNTIF(X$11:X$1000,X86)-1))</f>
        <v>4.78461538461538</v>
      </c>
      <c r="X86" s="1" t="n">
        <v>4</v>
      </c>
      <c r="Y86" s="1" t="n">
        <f aca="false">IF(Z86=Z85,Y85+Y$1,Y$3-0.5*Y$1*(COUNTIF(Z$11:Z$1000,Z86)-1))</f>
        <v>5.75384615384615</v>
      </c>
      <c r="Z86" s="1" t="n">
        <v>4</v>
      </c>
      <c r="AB86" s="1" t="n">
        <v>76</v>
      </c>
      <c r="AC86" s="1" t="n">
        <f aca="false">IF(AD86=AD85,AC85+AC$1,AC$3-0.5*AC$1*(COUNTIF(AD$11:AD$1000,AD86)-1))</f>
        <v>1.23238095238095</v>
      </c>
      <c r="AD86" s="1" t="n">
        <v>1</v>
      </c>
      <c r="AE86" s="1" t="n">
        <f aca="false">IF(AF86=AF85,AE85+AE$1,AE$3-0.5*AE$1*(COUNTIF(AF$11:AF$1000,AF86)-1))</f>
        <v>2.17692307692307</v>
      </c>
      <c r="AF86" s="1" t="n">
        <v>2</v>
      </c>
      <c r="AG86" s="1" t="n">
        <f aca="false">IF(AH86=AH85,AG85+AG$1,AG$3-0.5*AG$1*(COUNTIF(AH$11:AH$1000,AH86)-1))</f>
        <v>3.37735849056604</v>
      </c>
      <c r="AH86" s="1" t="n">
        <v>2</v>
      </c>
      <c r="AI86" s="1" t="n">
        <f aca="false">IF(AJ86=AJ85,AI85+AI$1,AI$3-0.5*AI$1*(COUNTIF(AJ$11:AJ$1000,AJ86)-1))</f>
        <v>4.06857142857143</v>
      </c>
      <c r="AJ86" s="1" t="n">
        <v>4</v>
      </c>
      <c r="AK86" s="1" t="n">
        <f aca="false">IF(AL86=AL85,AK85+AK$1,AK$3-0.5*AK$1*(COUNTIF(AL$11:AL$1000,AL86)-1))</f>
        <v>4.9864406779661</v>
      </c>
      <c r="AL86" s="1" t="n">
        <v>3</v>
      </c>
      <c r="AN86" s="1" t="n">
        <f aca="false">IF(AO86=AO85,AN85+AN$1,AN$3-0.5*AN$1*(COUNTIF(AO$11:AO$1000,AO86)-1))</f>
        <v>1.28076923076923</v>
      </c>
      <c r="AO86" s="1" t="n">
        <v>1</v>
      </c>
      <c r="AP86" s="1" t="n">
        <f aca="false">IF(AQ86=AQ85,AP85+AP$1,AP$3-0.5*AP$1*(COUNTIF(AQ$11:AQ$1000,AQ86)-1))</f>
        <v>1.86382978723404</v>
      </c>
      <c r="AQ86" s="1" t="n">
        <v>3</v>
      </c>
      <c r="AR86" s="1" t="n">
        <f aca="false">IF(AS86=AS85,AR85+AR$1,AR$3-0.5*AR$1*(COUNTIF(AS$11:AS$1000,AS86)-1))</f>
        <v>3.1939393939394</v>
      </c>
      <c r="AS86" s="1" t="n">
        <v>4</v>
      </c>
      <c r="AT86" s="1" t="n">
        <f aca="false">IF(AU86=AU85,AT85+AT$1,AT$3-0.5*AT$1*(COUNTIF(AU$11:AU$1000,AU86)-1))</f>
        <v>3.75652173913043</v>
      </c>
      <c r="AU86" s="1" t="n">
        <v>8</v>
      </c>
      <c r="AV86" s="1" t="n">
        <f aca="false">IF(AW86=AW85,AV85+AV$1,AV$3-0.5*AV$1*(COUNTIF(AW$11:AW$1000,AW86)-1))</f>
        <v>4.98571428571429</v>
      </c>
      <c r="AW86" s="1" t="n">
        <v>7</v>
      </c>
      <c r="AY86" s="1" t="n">
        <v>76</v>
      </c>
      <c r="AZ86" s="1" t="n">
        <f aca="false">IF(BA86=BA85,AZ85+AZ$1,AZ$3-0.5*AZ$1*(COUNTIF(BA$11:BA$1000,BA86)-1))</f>
        <v>1.01702127659574</v>
      </c>
      <c r="BA86" s="1" t="n">
        <v>3</v>
      </c>
      <c r="BB86" s="1" t="n">
        <v>-1</v>
      </c>
      <c r="BC86" s="1" t="n">
        <v>-1</v>
      </c>
      <c r="BE86" s="1" t="n">
        <f aca="false">IF(BF86=BF85,BE85+BE$1,BE$3-0.5*BE$1*(COUNTIF(BF$11:BF$1000,BF86)-1))</f>
        <v>1.06060606060606</v>
      </c>
      <c r="BF86" s="1" t="n">
        <v>5</v>
      </c>
      <c r="BG86" s="1" t="n">
        <v>-1</v>
      </c>
      <c r="BH86" s="1" t="n">
        <v>-1</v>
      </c>
    </row>
    <row r="87" customFormat="false" ht="16" hidden="false" customHeight="false" outlineLevel="0" collapsed="false">
      <c r="A87" s="1" t="n">
        <v>77</v>
      </c>
      <c r="B87" s="1" t="n">
        <f aca="false">IF(C87=C86,B86+B$1,B$3-0.5*B$1*(COUNTIF(C$11:C$1000,C87)-1))</f>
        <v>0.887719298245615</v>
      </c>
      <c r="C87" s="1" t="n">
        <v>2</v>
      </c>
      <c r="D87" s="1" t="n">
        <f aca="false">IF(E87=E86,D86+D$1,D$3-0.5*D$1*(COUNTIF(E$11:E$1000,E87)-1))</f>
        <v>1.65301204819277</v>
      </c>
      <c r="E87" s="1" t="n">
        <v>2</v>
      </c>
      <c r="F87" s="1" t="n">
        <f aca="false">IF(G87=G86,F86+F$1,F$3-0.5*F$1*(COUNTIF(G$11:G$1000,G87)-1))</f>
        <v>3.15625000000001</v>
      </c>
      <c r="G87" s="1" t="n">
        <v>2</v>
      </c>
      <c r="H87" s="1" t="n">
        <f aca="false">IF(I87=I86,H86+H$1,H$3-0.5*H$1*(COUNTIF(I$11:I$1000,I87)-1))</f>
        <v>3.90909090909091</v>
      </c>
      <c r="I87" s="1" t="n">
        <v>2</v>
      </c>
      <c r="J87" s="1" t="n">
        <f aca="false">IF(K87=K86,J86+J$1,J$3-0.5*J$1*(COUNTIF(K$11:K$1000,K87)-1))</f>
        <v>5.14246575342468</v>
      </c>
      <c r="K87" s="1" t="n">
        <v>2</v>
      </c>
      <c r="L87" s="1" t="n">
        <f aca="false">IF(M87=M86,L86+L$1,L$3-0.5*L$1*(COUNTIF(M$11:M$1000,M87)-1))</f>
        <v>6.0157894736842</v>
      </c>
      <c r="M87" s="1" t="n">
        <v>2</v>
      </c>
      <c r="O87" s="1" t="n">
        <f aca="false">IF(P87=P86,O86+O$1,O$3-0.5*O$1*(COUNTIF(P$11:P$1000,P87)-1))</f>
        <v>0.887719298245615</v>
      </c>
      <c r="P87" s="1" t="n">
        <v>2</v>
      </c>
      <c r="Q87" s="1" t="n">
        <f aca="false">IF(R87=R86,Q86+Q$1,Q$3-0.5*Q$1*(COUNTIF(R$11:R$1000,R87)-1))</f>
        <v>1.71904761904762</v>
      </c>
      <c r="R87" s="1" t="n">
        <v>2</v>
      </c>
      <c r="S87" s="1" t="n">
        <f aca="false">IF(T87=T86,S86+S$1,S$3-0.5*S$1*(COUNTIF(T$11:T$1000,T87)-1))</f>
        <v>2.87636363636364</v>
      </c>
      <c r="T87" s="1" t="n">
        <v>3</v>
      </c>
      <c r="U87" s="1" t="n">
        <f aca="false">IF(V87=V86,U86+U$1,U$3-0.5*U$1*(COUNTIF(V$11:V$1000,V87)-1))</f>
        <v>3.83529411764706</v>
      </c>
      <c r="V87" s="1" t="n">
        <v>3</v>
      </c>
      <c r="W87" s="1" t="n">
        <f aca="false">IF(X87=X86,W86+W$1,W$3-0.5*W$1*(COUNTIF(X$11:X$1000,X87)-1))</f>
        <v>4.80512820512821</v>
      </c>
      <c r="X87" s="1" t="n">
        <v>4</v>
      </c>
      <c r="Y87" s="1" t="n">
        <f aca="false">IF(Z87=Z86,Y86+Y$1,Y$3-0.5*Y$1*(COUNTIF(Z$11:Z$1000,Z87)-1))</f>
        <v>5.77435897435897</v>
      </c>
      <c r="Z87" s="1" t="n">
        <v>4</v>
      </c>
      <c r="AB87" s="1" t="n">
        <v>77</v>
      </c>
      <c r="AC87" s="1" t="n">
        <f aca="false">IF(AD87=AD86,AC86+AC$1,AC$3-0.5*AC$1*(COUNTIF(AD$11:AD$1000,AD87)-1))</f>
        <v>1.24</v>
      </c>
      <c r="AD87" s="1" t="n">
        <v>1</v>
      </c>
      <c r="AE87" s="1" t="n">
        <f aca="false">IF(AF87=AF86,AE86+AE$1,AE$3-0.5*AE$1*(COUNTIF(AF$11:AF$1000,AF87)-1))</f>
        <v>2.19230769230769</v>
      </c>
      <c r="AF87" s="1" t="n">
        <v>2</v>
      </c>
      <c r="AG87" s="1" t="n">
        <f aca="false">IF(AH87=AH86,AG86+AG$1,AG$3-0.5*AG$1*(COUNTIF(AH$11:AH$1000,AH87)-1))</f>
        <v>3.39245283018868</v>
      </c>
      <c r="AH87" s="1" t="n">
        <v>2</v>
      </c>
      <c r="AI87" s="1" t="n">
        <f aca="false">IF(AJ87=AJ86,AI86+AI$1,AI$3-0.5*AI$1*(COUNTIF(AJ$11:AJ$1000,AJ87)-1))</f>
        <v>4.09142857142857</v>
      </c>
      <c r="AJ87" s="1" t="n">
        <v>4</v>
      </c>
      <c r="AK87" s="1" t="n">
        <f aca="false">IF(AL87=AL86,AK86+AK$1,AK$3-0.5*AK$1*(COUNTIF(AL$11:AL$1000,AL87)-1))</f>
        <v>5</v>
      </c>
      <c r="AL87" s="1" t="n">
        <v>3</v>
      </c>
      <c r="AN87" s="1" t="n">
        <f aca="false">IF(AO87=AO86,AN86+AN$1,AN$3-0.5*AN$1*(COUNTIF(AO$11:AO$1000,AO87)-1))</f>
        <v>1.28846153846154</v>
      </c>
      <c r="AO87" s="1" t="n">
        <v>1</v>
      </c>
      <c r="AP87" s="1" t="n">
        <f aca="false">IF(AQ87=AQ86,AP86+AP$1,AP$3-0.5*AP$1*(COUNTIF(AQ$11:AQ$1000,AQ87)-1))</f>
        <v>1.88085106382979</v>
      </c>
      <c r="AQ87" s="1" t="n">
        <v>3</v>
      </c>
      <c r="AR87" s="1" t="n">
        <f aca="false">IF(AS87=AS86,AR86+AR$1,AR$3-0.5*AR$1*(COUNTIF(AS$11:AS$1000,AS87)-1))</f>
        <v>3.21818181818182</v>
      </c>
      <c r="AS87" s="1" t="n">
        <v>4</v>
      </c>
      <c r="AT87" s="1" t="n">
        <f aca="false">IF(AU87=AU86,AT86+AT$1,AT$3-0.5*AT$1*(COUNTIF(AU$11:AU$1000,AU87)-1))</f>
        <v>3.79130434782609</v>
      </c>
      <c r="AU87" s="1" t="n">
        <v>8</v>
      </c>
      <c r="AV87" s="1" t="n">
        <f aca="false">IF(AW87=AW86,AV86+AV$1,AV$3-0.5*AV$1*(COUNTIF(AW$11:AW$1000,AW87)-1))</f>
        <v>5.01428571428571</v>
      </c>
      <c r="AW87" s="1" t="n">
        <v>7</v>
      </c>
      <c r="AY87" s="1" t="n">
        <v>77</v>
      </c>
      <c r="AZ87" s="1" t="n">
        <f aca="false">IF(BA87=BA86,AZ86+AZ$1,AZ$3-0.5*AZ$1*(COUNTIF(BA$11:BA$1000,BA87)-1))</f>
        <v>1.03404255319149</v>
      </c>
      <c r="BA87" s="1" t="n">
        <v>3</v>
      </c>
      <c r="BB87" s="1" t="n">
        <v>-1</v>
      </c>
      <c r="BC87" s="1" t="n">
        <v>-1</v>
      </c>
      <c r="BE87" s="1" t="n">
        <f aca="false">IF(BF87=BF86,BE86+BE$1,BE$3-0.5*BE$1*(COUNTIF(BF$11:BF$1000,BF87)-1))</f>
        <v>1.08484848484848</v>
      </c>
      <c r="BF87" s="1" t="n">
        <v>5</v>
      </c>
      <c r="BG87" s="1" t="n">
        <v>-1</v>
      </c>
      <c r="BH87" s="1" t="n">
        <v>-1</v>
      </c>
    </row>
    <row r="88" customFormat="false" ht="16" hidden="false" customHeight="false" outlineLevel="0" collapsed="false">
      <c r="A88" s="1" t="n">
        <v>78</v>
      </c>
      <c r="B88" s="1" t="n">
        <f aca="false">IF(C88=C87,B87+B$1,B$3-0.5*B$1*(COUNTIF(C$11:C$1000,C88)-1))</f>
        <v>0.901754385964913</v>
      </c>
      <c r="C88" s="1" t="n">
        <v>2</v>
      </c>
      <c r="D88" s="1" t="n">
        <f aca="false">IF(E88=E87,D87+D$1,D$3-0.5*D$1*(COUNTIF(E$11:E$1000,E88)-1))</f>
        <v>1.66265060240964</v>
      </c>
      <c r="E88" s="1" t="n">
        <v>2</v>
      </c>
      <c r="F88" s="1" t="n">
        <f aca="false">IF(G88=G87,F87+F$1,F$3-0.5*F$1*(COUNTIF(G$11:G$1000,G88)-1))</f>
        <v>3.16875000000001</v>
      </c>
      <c r="G88" s="1" t="n">
        <v>2</v>
      </c>
      <c r="H88" s="1" t="n">
        <f aca="false">IF(I88=I87,H87+H$1,H$3-0.5*H$1*(COUNTIF(I$11:I$1000,I88)-1))</f>
        <v>3.92121212121212</v>
      </c>
      <c r="I88" s="1" t="n">
        <v>2</v>
      </c>
      <c r="J88" s="1" t="n">
        <f aca="false">IF(K88=K87,J87+J$1,J$3-0.5*J$1*(COUNTIF(K$11:K$1000,K88)-1))</f>
        <v>5.15342465753427</v>
      </c>
      <c r="K88" s="1" t="n">
        <v>2</v>
      </c>
      <c r="L88" s="1" t="n">
        <f aca="false">IF(M88=M87,L87+L$1,L$3-0.5*L$1*(COUNTIF(M$11:M$1000,M88)-1))</f>
        <v>6.02631578947367</v>
      </c>
      <c r="M88" s="1" t="n">
        <v>2</v>
      </c>
      <c r="O88" s="1" t="n">
        <f aca="false">IF(P88=P87,O87+O$1,O$3-0.5*O$1*(COUNTIF(P$11:P$1000,P88)-1))</f>
        <v>0.901754385964913</v>
      </c>
      <c r="P88" s="1" t="n">
        <v>2</v>
      </c>
      <c r="Q88" s="1" t="n">
        <f aca="false">IF(R88=R87,Q87+Q$1,Q$3-0.5*Q$1*(COUNTIF(R$11:R$1000,R88)-1))</f>
        <v>1.72857142857143</v>
      </c>
      <c r="R88" s="1" t="n">
        <v>2</v>
      </c>
      <c r="S88" s="1" t="n">
        <f aca="false">IF(T88=T87,S87+S$1,S$3-0.5*S$1*(COUNTIF(T$11:T$1000,T88)-1))</f>
        <v>2.89090909090909</v>
      </c>
      <c r="T88" s="1" t="n">
        <v>3</v>
      </c>
      <c r="U88" s="1" t="n">
        <f aca="false">IF(V88=V87,U87+U$1,U$3-0.5*U$1*(COUNTIF(V$11:V$1000,V88)-1))</f>
        <v>3.85098039215686</v>
      </c>
      <c r="V88" s="1" t="n">
        <v>3</v>
      </c>
      <c r="W88" s="1" t="n">
        <f aca="false">IF(X88=X87,W87+W$1,W$3-0.5*W$1*(COUNTIF(X$11:X$1000,X88)-1))</f>
        <v>4.82564102564103</v>
      </c>
      <c r="X88" s="1" t="n">
        <v>4</v>
      </c>
      <c r="Y88" s="1" t="n">
        <f aca="false">IF(Z88=Z87,Y87+Y$1,Y$3-0.5*Y$1*(COUNTIF(Z$11:Z$1000,Z88)-1))</f>
        <v>5.79487179487179</v>
      </c>
      <c r="Z88" s="1" t="n">
        <v>4</v>
      </c>
      <c r="AB88" s="1" t="n">
        <v>78</v>
      </c>
      <c r="AC88" s="1" t="n">
        <f aca="false">IF(AD88=AD87,AC87+AC$1,AC$3-0.5*AC$1*(COUNTIF(AD$11:AD$1000,AD88)-1))</f>
        <v>1.24761904761905</v>
      </c>
      <c r="AD88" s="1" t="n">
        <v>1</v>
      </c>
      <c r="AE88" s="1" t="n">
        <f aca="false">IF(AF88=AF87,AE87+AE$1,AE$3-0.5*AE$1*(COUNTIF(AF$11:AF$1000,AF88)-1))</f>
        <v>2.20769230769231</v>
      </c>
      <c r="AF88" s="1" t="n">
        <v>2</v>
      </c>
      <c r="AG88" s="1" t="n">
        <f aca="false">IF(AH88=AH87,AG87+AG$1,AG$3-0.5*AG$1*(COUNTIF(AH$11:AH$1000,AH88)-1))</f>
        <v>2.75094339622642</v>
      </c>
      <c r="AH88" s="1" t="n">
        <v>3</v>
      </c>
      <c r="AI88" s="1" t="n">
        <f aca="false">IF(AJ88=AJ87,AI87+AI$1,AI$3-0.5*AI$1*(COUNTIF(AJ$11:AJ$1000,AJ88)-1))</f>
        <v>4.11428571428571</v>
      </c>
      <c r="AJ88" s="1" t="n">
        <v>4</v>
      </c>
      <c r="AK88" s="1" t="n">
        <f aca="false">IF(AL88=AL87,AK87+AK$1,AK$3-0.5*AK$1*(COUNTIF(AL$11:AL$1000,AL88)-1))</f>
        <v>5.0135593220339</v>
      </c>
      <c r="AL88" s="1" t="n">
        <v>3</v>
      </c>
      <c r="AN88" s="1" t="n">
        <f aca="false">IF(AO88=AO87,AN87+AN$1,AN$3-0.5*AN$1*(COUNTIF(AO$11:AO$1000,AO88)-1))</f>
        <v>1.29615384615384</v>
      </c>
      <c r="AO88" s="1" t="n">
        <v>1</v>
      </c>
      <c r="AP88" s="1" t="n">
        <f aca="false">IF(AQ88=AQ87,AP87+AP$1,AP$3-0.5*AP$1*(COUNTIF(AQ$11:AQ$1000,AQ88)-1))</f>
        <v>1.89787234042553</v>
      </c>
      <c r="AQ88" s="1" t="n">
        <v>3</v>
      </c>
      <c r="AR88" s="1" t="n">
        <f aca="false">IF(AS88=AS87,AR87+AR$1,AR$3-0.5*AR$1*(COUNTIF(AS$11:AS$1000,AS88)-1))</f>
        <v>3.24242424242425</v>
      </c>
      <c r="AS88" s="1" t="n">
        <v>4</v>
      </c>
      <c r="AT88" s="1" t="n">
        <f aca="false">IF(AU88=AU87,AT87+AT$1,AT$3-0.5*AT$1*(COUNTIF(AU$11:AU$1000,AU88)-1))</f>
        <v>3.82608695652174</v>
      </c>
      <c r="AU88" s="1" t="n">
        <v>8</v>
      </c>
      <c r="AV88" s="1" t="n">
        <f aca="false">IF(AW88=AW87,AV87+AV$1,AV$3-0.5*AV$1*(COUNTIF(AW$11:AW$1000,AW88)-1))</f>
        <v>5.04285714285714</v>
      </c>
      <c r="AW88" s="1" t="n">
        <v>7</v>
      </c>
      <c r="AY88" s="1" t="n">
        <v>78</v>
      </c>
      <c r="AZ88" s="1" t="n">
        <f aca="false">IF(BA88=BA87,AZ87+AZ$1,AZ$3-0.5*AZ$1*(COUNTIF(BA$11:BA$1000,BA88)-1))</f>
        <v>1.05106382978723</v>
      </c>
      <c r="BA88" s="1" t="n">
        <v>3</v>
      </c>
      <c r="BB88" s="1" t="n">
        <v>-1</v>
      </c>
      <c r="BC88" s="1" t="n">
        <v>-1</v>
      </c>
      <c r="BE88" s="1" t="n">
        <f aca="false">IF(BF88=BF87,BE87+BE$1,BE$3-0.5*BE$1*(COUNTIF(BF$11:BF$1000,BF88)-1))</f>
        <v>1.10909090909091</v>
      </c>
      <c r="BF88" s="1" t="n">
        <v>5</v>
      </c>
      <c r="BG88" s="1" t="n">
        <v>-1</v>
      </c>
      <c r="BH88" s="1" t="n">
        <v>-1</v>
      </c>
    </row>
    <row r="89" customFormat="false" ht="16" hidden="false" customHeight="false" outlineLevel="0" collapsed="false">
      <c r="A89" s="1" t="n">
        <v>79</v>
      </c>
      <c r="B89" s="1" t="n">
        <f aca="false">IF(C89=C88,B88+B$1,B$3-0.5*B$1*(COUNTIF(C$11:C$1000,C89)-1))</f>
        <v>0.915789473684212</v>
      </c>
      <c r="C89" s="1" t="n">
        <v>2</v>
      </c>
      <c r="D89" s="1" t="n">
        <f aca="false">IF(E89=E88,D88+D$1,D$3-0.5*D$1*(COUNTIF(E$11:E$1000,E89)-1))</f>
        <v>1.67228915662651</v>
      </c>
      <c r="E89" s="1" t="n">
        <v>2</v>
      </c>
      <c r="F89" s="1" t="n">
        <f aca="false">IF(G89=G88,F88+F$1,F$3-0.5*F$1*(COUNTIF(G$11:G$1000,G89)-1))</f>
        <v>3.18125000000001</v>
      </c>
      <c r="G89" s="1" t="n">
        <v>2</v>
      </c>
      <c r="H89" s="1" t="n">
        <f aca="false">IF(I89=I88,H88+H$1,H$3-0.5*H$1*(COUNTIF(I$11:I$1000,I89)-1))</f>
        <v>3.93333333333334</v>
      </c>
      <c r="I89" s="1" t="n">
        <v>2</v>
      </c>
      <c r="J89" s="1" t="n">
        <f aca="false">IF(K89=K88,J88+J$1,J$3-0.5*J$1*(COUNTIF(K$11:K$1000,K89)-1))</f>
        <v>5.16438356164386</v>
      </c>
      <c r="K89" s="1" t="n">
        <v>2</v>
      </c>
      <c r="L89" s="1" t="n">
        <f aca="false">IF(M89=M88,L88+L$1,L$3-0.5*L$1*(COUNTIF(M$11:M$1000,M89)-1))</f>
        <v>6.03684210526314</v>
      </c>
      <c r="M89" s="1" t="n">
        <v>2</v>
      </c>
      <c r="O89" s="1" t="n">
        <f aca="false">IF(P89=P88,O88+O$1,O$3-0.5*O$1*(COUNTIF(P$11:P$1000,P89)-1))</f>
        <v>0.915789473684212</v>
      </c>
      <c r="P89" s="1" t="n">
        <v>2</v>
      </c>
      <c r="Q89" s="1" t="n">
        <f aca="false">IF(R89=R88,Q88+Q$1,Q$3-0.5*Q$1*(COUNTIF(R$11:R$1000,R89)-1))</f>
        <v>1.73809523809524</v>
      </c>
      <c r="R89" s="1" t="n">
        <v>2</v>
      </c>
      <c r="S89" s="1" t="n">
        <f aca="false">IF(T89=T88,S88+S$1,S$3-0.5*S$1*(COUNTIF(T$11:T$1000,T89)-1))</f>
        <v>2.90545454545455</v>
      </c>
      <c r="T89" s="1" t="n">
        <v>3</v>
      </c>
      <c r="U89" s="1" t="n">
        <f aca="false">IF(V89=V88,U88+U$1,U$3-0.5*U$1*(COUNTIF(V$11:V$1000,V89)-1))</f>
        <v>3.86666666666667</v>
      </c>
      <c r="V89" s="1" t="n">
        <v>3</v>
      </c>
      <c r="W89" s="1" t="n">
        <f aca="false">IF(X89=X88,W88+W$1,W$3-0.5*W$1*(COUNTIF(X$11:X$1000,X89)-1))</f>
        <v>4.84615384615385</v>
      </c>
      <c r="X89" s="1" t="n">
        <v>4</v>
      </c>
      <c r="Y89" s="1" t="n">
        <f aca="false">IF(Z89=Z88,Y88+Y$1,Y$3-0.5*Y$1*(COUNTIF(Z$11:Z$1000,Z89)-1))</f>
        <v>5.81538461538461</v>
      </c>
      <c r="Z89" s="1" t="n">
        <v>4</v>
      </c>
      <c r="AB89" s="1" t="n">
        <v>79</v>
      </c>
      <c r="AC89" s="1" t="n">
        <f aca="false">IF(AD89=AD88,AC88+AC$1,AC$3-0.5*AC$1*(COUNTIF(AD$11:AD$1000,AD89)-1))</f>
        <v>1.2552380952381</v>
      </c>
      <c r="AD89" s="1" t="n">
        <v>1</v>
      </c>
      <c r="AE89" s="1" t="n">
        <f aca="false">IF(AF89=AF88,AE88+AE$1,AE$3-0.5*AE$1*(COUNTIF(AF$11:AF$1000,AF89)-1))</f>
        <v>2.22307692307692</v>
      </c>
      <c r="AF89" s="1" t="n">
        <v>2</v>
      </c>
      <c r="AG89" s="1" t="n">
        <f aca="false">IF(AH89=AH88,AG88+AG$1,AG$3-0.5*AG$1*(COUNTIF(AH$11:AH$1000,AH89)-1))</f>
        <v>2.76603773584906</v>
      </c>
      <c r="AH89" s="1" t="n">
        <v>3</v>
      </c>
      <c r="AI89" s="1" t="n">
        <f aca="false">IF(AJ89=AJ88,AI88+AI$1,AI$3-0.5*AI$1*(COUNTIF(AJ$11:AJ$1000,AJ89)-1))</f>
        <v>4.13714285714286</v>
      </c>
      <c r="AJ89" s="1" t="n">
        <v>4</v>
      </c>
      <c r="AK89" s="1" t="n">
        <f aca="false">IF(AL89=AL88,AK88+AK$1,AK$3-0.5*AK$1*(COUNTIF(AL$11:AL$1000,AL89)-1))</f>
        <v>5.0271186440678</v>
      </c>
      <c r="AL89" s="1" t="n">
        <v>3</v>
      </c>
      <c r="AN89" s="1" t="n">
        <f aca="false">IF(AO89=AO88,AN88+AN$1,AN$3-0.5*AN$1*(COUNTIF(AO$11:AO$1000,AO89)-1))</f>
        <v>0.603846153846154</v>
      </c>
      <c r="AO89" s="1" t="n">
        <v>2</v>
      </c>
      <c r="AP89" s="1" t="n">
        <f aca="false">IF(AQ89=AQ88,AP88+AP$1,AP$3-0.5*AP$1*(COUNTIF(AQ$11:AQ$1000,AQ89)-1))</f>
        <v>1.91489361702128</v>
      </c>
      <c r="AQ89" s="1" t="n">
        <v>3</v>
      </c>
      <c r="AR89" s="1" t="n">
        <f aca="false">IF(AS89=AS88,AR88+AR$1,AR$3-0.5*AR$1*(COUNTIF(AS$11:AS$1000,AS89)-1))</f>
        <v>3.26666666666667</v>
      </c>
      <c r="AS89" s="1" t="n">
        <v>4</v>
      </c>
      <c r="AT89" s="1" t="n">
        <f aca="false">IF(AU89=AU88,AT88+AT$1,AT$3-0.5*AT$1*(COUNTIF(AU$11:AU$1000,AU89)-1))</f>
        <v>3.86086956521739</v>
      </c>
      <c r="AU89" s="1" t="n">
        <v>8</v>
      </c>
      <c r="AV89" s="1" t="n">
        <f aca="false">IF(AW89=AW88,AV88+AV$1,AV$3-0.5*AV$1*(COUNTIF(AW$11:AW$1000,AW89)-1))</f>
        <v>5.07142857142857</v>
      </c>
      <c r="AW89" s="1" t="n">
        <v>7</v>
      </c>
      <c r="AY89" s="1" t="n">
        <v>79</v>
      </c>
      <c r="AZ89" s="1" t="n">
        <f aca="false">IF(BA89=BA88,AZ88+AZ$1,AZ$3-0.5*AZ$1*(COUNTIF(BA$11:BA$1000,BA89)-1))</f>
        <v>1.06808510638298</v>
      </c>
      <c r="BA89" s="1" t="n">
        <v>3</v>
      </c>
      <c r="BB89" s="1" t="n">
        <v>-1</v>
      </c>
      <c r="BC89" s="1" t="n">
        <v>-1</v>
      </c>
      <c r="BE89" s="1" t="n">
        <f aca="false">IF(BF89=BF88,BE88+BE$1,BE$3-0.5*BE$1*(COUNTIF(BF$11:BF$1000,BF89)-1))</f>
        <v>0.927272727272727</v>
      </c>
      <c r="BF89" s="1" t="n">
        <v>6</v>
      </c>
      <c r="BG89" s="1" t="n">
        <v>-1</v>
      </c>
      <c r="BH89" s="1" t="n">
        <v>-1</v>
      </c>
    </row>
    <row r="90" customFormat="false" ht="16" hidden="false" customHeight="false" outlineLevel="0" collapsed="false">
      <c r="A90" s="1" t="n">
        <v>80</v>
      </c>
      <c r="B90" s="1" t="n">
        <f aca="false">IF(C90=C89,B89+B$1,B$3-0.5*B$1*(COUNTIF(C$11:C$1000,C90)-1))</f>
        <v>0.92982456140351</v>
      </c>
      <c r="C90" s="1" t="n">
        <v>2</v>
      </c>
      <c r="D90" s="1" t="n">
        <f aca="false">IF(E90=E89,D89+D$1,D$3-0.5*D$1*(COUNTIF(E$11:E$1000,E90)-1))</f>
        <v>1.68192771084337</v>
      </c>
      <c r="E90" s="1" t="n">
        <v>2</v>
      </c>
      <c r="F90" s="1" t="n">
        <f aca="false">IF(G90=G89,F89+F$1,F$3-0.5*F$1*(COUNTIF(G$11:G$1000,G90)-1))</f>
        <v>3.19375000000001</v>
      </c>
      <c r="G90" s="1" t="n">
        <v>2</v>
      </c>
      <c r="H90" s="1" t="n">
        <f aca="false">IF(I90=I89,H89+H$1,H$3-0.5*H$1*(COUNTIF(I$11:I$1000,I90)-1))</f>
        <v>3.94545454545455</v>
      </c>
      <c r="I90" s="1" t="n">
        <v>2</v>
      </c>
      <c r="J90" s="1" t="n">
        <f aca="false">IF(K90=K89,J89+J$1,J$3-0.5*J$1*(COUNTIF(K$11:K$1000,K90)-1))</f>
        <v>5.17534246575345</v>
      </c>
      <c r="K90" s="1" t="n">
        <v>2</v>
      </c>
      <c r="L90" s="1" t="n">
        <f aca="false">IF(M90=M89,L89+L$1,L$3-0.5*L$1*(COUNTIF(M$11:M$1000,M90)-1))</f>
        <v>6.04736842105261</v>
      </c>
      <c r="M90" s="1" t="n">
        <v>2</v>
      </c>
      <c r="O90" s="1" t="n">
        <f aca="false">IF(P90=P89,O89+O$1,O$3-0.5*O$1*(COUNTIF(P$11:P$1000,P90)-1))</f>
        <v>0.92982456140351</v>
      </c>
      <c r="P90" s="1" t="n">
        <v>2</v>
      </c>
      <c r="Q90" s="1" t="n">
        <f aca="false">IF(R90=R89,Q89+Q$1,Q$3-0.5*Q$1*(COUNTIF(R$11:R$1000,R90)-1))</f>
        <v>1.74761904761905</v>
      </c>
      <c r="R90" s="1" t="n">
        <v>2</v>
      </c>
      <c r="S90" s="1" t="n">
        <f aca="false">IF(T90=T89,S89+S$1,S$3-0.5*S$1*(COUNTIF(T$11:T$1000,T90)-1))</f>
        <v>2.92</v>
      </c>
      <c r="T90" s="1" t="n">
        <v>3</v>
      </c>
      <c r="U90" s="1" t="n">
        <f aca="false">IF(V90=V89,U89+U$1,U$3-0.5*U$1*(COUNTIF(V$11:V$1000,V90)-1))</f>
        <v>3.88235294117647</v>
      </c>
      <c r="V90" s="1" t="n">
        <v>3</v>
      </c>
      <c r="W90" s="1" t="n">
        <f aca="false">IF(X90=X89,W89+W$1,W$3-0.5*W$1*(COUNTIF(X$11:X$1000,X90)-1))</f>
        <v>4.86666666666667</v>
      </c>
      <c r="X90" s="1" t="n">
        <v>4</v>
      </c>
      <c r="Y90" s="1" t="n">
        <f aca="false">IF(Z90=Z89,Y89+Y$1,Y$3-0.5*Y$1*(COUNTIF(Z$11:Z$1000,Z90)-1))</f>
        <v>5.83589743589744</v>
      </c>
      <c r="Z90" s="1" t="n">
        <v>4</v>
      </c>
      <c r="AB90" s="1" t="n">
        <v>80</v>
      </c>
      <c r="AC90" s="1" t="n">
        <f aca="false">IF(AD90=AD89,AC89+AC$1,AC$3-0.5*AC$1*(COUNTIF(AD$11:AD$1000,AD90)-1))</f>
        <v>1.26285714285714</v>
      </c>
      <c r="AD90" s="1" t="n">
        <v>1</v>
      </c>
      <c r="AE90" s="1" t="n">
        <f aca="false">IF(AF90=AF89,AE89+AE$1,AE$3-0.5*AE$1*(COUNTIF(AF$11:AF$1000,AF90)-1))</f>
        <v>2.23846153846154</v>
      </c>
      <c r="AF90" s="1" t="n">
        <v>2</v>
      </c>
      <c r="AG90" s="1" t="n">
        <f aca="false">IF(AH90=AH89,AG89+AG$1,AG$3-0.5*AG$1*(COUNTIF(AH$11:AH$1000,AH90)-1))</f>
        <v>2.7811320754717</v>
      </c>
      <c r="AH90" s="1" t="n">
        <v>3</v>
      </c>
      <c r="AI90" s="1" t="n">
        <f aca="false">IF(AJ90=AJ89,AI89+AI$1,AI$3-0.5*AI$1*(COUNTIF(AJ$11:AJ$1000,AJ90)-1))</f>
        <v>4.16</v>
      </c>
      <c r="AJ90" s="1" t="n">
        <v>4</v>
      </c>
      <c r="AK90" s="1" t="n">
        <f aca="false">IF(AL90=AL89,AK89+AK$1,AK$3-0.5*AK$1*(COUNTIF(AL$11:AL$1000,AL90)-1))</f>
        <v>5.04067796610169</v>
      </c>
      <c r="AL90" s="1" t="n">
        <v>3</v>
      </c>
      <c r="AN90" s="1" t="n">
        <f aca="false">IF(AO90=AO89,AN89+AN$1,AN$3-0.5*AN$1*(COUNTIF(AO$11:AO$1000,AO90)-1))</f>
        <v>0.611538461538461</v>
      </c>
      <c r="AO90" s="1" t="n">
        <v>2</v>
      </c>
      <c r="AP90" s="1" t="n">
        <f aca="false">IF(AQ90=AQ89,AP89+AP$1,AP$3-0.5*AP$1*(COUNTIF(AQ$11:AQ$1000,AQ90)-1))</f>
        <v>1.93191489361702</v>
      </c>
      <c r="AQ90" s="1" t="n">
        <v>3</v>
      </c>
      <c r="AR90" s="1" t="n">
        <f aca="false">IF(AS90=AS89,AR89+AR$1,AR$3-0.5*AR$1*(COUNTIF(AS$11:AS$1000,AS90)-1))</f>
        <v>3.2909090909091</v>
      </c>
      <c r="AS90" s="1" t="n">
        <v>4</v>
      </c>
      <c r="AT90" s="1" t="n">
        <f aca="false">IF(AU90=AU89,AT89+AT$1,AT$3-0.5*AT$1*(COUNTIF(AU$11:AU$1000,AU90)-1))</f>
        <v>3.89565217391304</v>
      </c>
      <c r="AU90" s="1" t="n">
        <v>8</v>
      </c>
      <c r="AV90" s="1" t="n">
        <f aca="false">IF(AW90=AW89,AV89+AV$1,AV$3-0.5*AV$1*(COUNTIF(AW$11:AW$1000,AW90)-1))</f>
        <v>4.78571428571429</v>
      </c>
      <c r="AW90" s="1" t="n">
        <v>8</v>
      </c>
      <c r="AY90" s="1" t="n">
        <v>80</v>
      </c>
      <c r="AZ90" s="1" t="n">
        <f aca="false">IF(BA90=BA89,AZ89+AZ$1,AZ$3-0.5*AZ$1*(COUNTIF(BA$11:BA$1000,BA90)-1))</f>
        <v>0.957446808510638</v>
      </c>
      <c r="BA90" s="1" t="n">
        <v>4</v>
      </c>
      <c r="BB90" s="1" t="n">
        <v>-1</v>
      </c>
      <c r="BC90" s="1" t="n">
        <v>-1</v>
      </c>
      <c r="BE90" s="1" t="n">
        <f aca="false">IF(BF90=BF89,BE89+BE$1,BE$3-0.5*BE$1*(COUNTIF(BF$11:BF$1000,BF90)-1))</f>
        <v>0.951515151515152</v>
      </c>
      <c r="BF90" s="1" t="n">
        <v>6</v>
      </c>
      <c r="BG90" s="1" t="n">
        <v>-1</v>
      </c>
      <c r="BH90" s="1" t="n">
        <v>-1</v>
      </c>
    </row>
    <row r="91" customFormat="false" ht="16" hidden="false" customHeight="false" outlineLevel="0" collapsed="false">
      <c r="A91" s="1" t="n">
        <v>81</v>
      </c>
      <c r="B91" s="1" t="n">
        <f aca="false">IF(C91=C90,B90+B$1,B$3-0.5*B$1*(COUNTIF(C$11:C$1000,C91)-1))</f>
        <v>0.943859649122808</v>
      </c>
      <c r="C91" s="1" t="n">
        <v>2</v>
      </c>
      <c r="D91" s="1" t="n">
        <f aca="false">IF(E91=E90,D90+D$1,D$3-0.5*D$1*(COUNTIF(E$11:E$1000,E91)-1))</f>
        <v>1.69156626506024</v>
      </c>
      <c r="E91" s="1" t="n">
        <v>2</v>
      </c>
      <c r="F91" s="1" t="n">
        <f aca="false">IF(G91=G90,F90+F$1,F$3-0.5*F$1*(COUNTIF(G$11:G$1000,G91)-1))</f>
        <v>3.20625000000001</v>
      </c>
      <c r="G91" s="1" t="n">
        <v>2</v>
      </c>
      <c r="H91" s="1" t="n">
        <f aca="false">IF(I91=I90,H90+H$1,H$3-0.5*H$1*(COUNTIF(I$11:I$1000,I91)-1))</f>
        <v>3.95757575757576</v>
      </c>
      <c r="I91" s="1" t="n">
        <v>2</v>
      </c>
      <c r="J91" s="1" t="n">
        <f aca="false">IF(K91=K90,J90+J$1,J$3-0.5*J$1*(COUNTIF(K$11:K$1000,K91)-1))</f>
        <v>5.18630136986304</v>
      </c>
      <c r="K91" s="1" t="n">
        <v>2</v>
      </c>
      <c r="L91" s="1" t="n">
        <f aca="false">IF(M91=M90,L90+L$1,L$3-0.5*L$1*(COUNTIF(M$11:M$1000,M91)-1))</f>
        <v>6.05789473684209</v>
      </c>
      <c r="M91" s="1" t="n">
        <v>2</v>
      </c>
      <c r="O91" s="1" t="n">
        <f aca="false">IF(P91=P90,O90+O$1,O$3-0.5*O$1*(COUNTIF(P$11:P$1000,P91)-1))</f>
        <v>0.943859649122808</v>
      </c>
      <c r="P91" s="1" t="n">
        <v>2</v>
      </c>
      <c r="Q91" s="1" t="n">
        <f aca="false">IF(R91=R90,Q90+Q$1,Q$3-0.5*Q$1*(COUNTIF(R$11:R$1000,R91)-1))</f>
        <v>1.75714285714286</v>
      </c>
      <c r="R91" s="1" t="n">
        <v>2</v>
      </c>
      <c r="S91" s="1" t="n">
        <f aca="false">IF(T91=T90,S90+S$1,S$3-0.5*S$1*(COUNTIF(T$11:T$1000,T91)-1))</f>
        <v>2.93454545454545</v>
      </c>
      <c r="T91" s="1" t="n">
        <v>3</v>
      </c>
      <c r="U91" s="1" t="n">
        <f aca="false">IF(V91=V90,U90+U$1,U$3-0.5*U$1*(COUNTIF(V$11:V$1000,V91)-1))</f>
        <v>3.89803921568627</v>
      </c>
      <c r="V91" s="1" t="n">
        <v>3</v>
      </c>
      <c r="W91" s="1" t="n">
        <f aca="false">IF(X91=X90,W90+W$1,W$3-0.5*W$1*(COUNTIF(X$11:X$1000,X91)-1))</f>
        <v>4.88717948717949</v>
      </c>
      <c r="X91" s="1" t="n">
        <v>4</v>
      </c>
      <c r="Y91" s="1" t="n">
        <f aca="false">IF(Z91=Z90,Y90+Y$1,Y$3-0.5*Y$1*(COUNTIF(Z$11:Z$1000,Z91)-1))</f>
        <v>5.85641025641026</v>
      </c>
      <c r="Z91" s="1" t="n">
        <v>4</v>
      </c>
      <c r="AB91" s="1" t="n">
        <v>81</v>
      </c>
      <c r="AC91" s="1" t="n">
        <f aca="false">IF(AD91=AD90,AC90+AC$1,AC$3-0.5*AC$1*(COUNTIF(AD$11:AD$1000,AD91)-1))</f>
        <v>1.27047619047619</v>
      </c>
      <c r="AD91" s="1" t="n">
        <v>1</v>
      </c>
      <c r="AE91" s="1" t="n">
        <f aca="false">IF(AF91=AF90,AE90+AE$1,AE$3-0.5*AE$1*(COUNTIF(AF$11:AF$1000,AF91)-1))</f>
        <v>2.25384615384615</v>
      </c>
      <c r="AF91" s="1" t="n">
        <v>2</v>
      </c>
      <c r="AG91" s="1" t="n">
        <f aca="false">IF(AH91=AH90,AG90+AG$1,AG$3-0.5*AG$1*(COUNTIF(AH$11:AH$1000,AH91)-1))</f>
        <v>2.79622641509434</v>
      </c>
      <c r="AH91" s="1" t="n">
        <v>3</v>
      </c>
      <c r="AI91" s="1" t="n">
        <f aca="false">IF(AJ91=AJ90,AI90+AI$1,AI$3-0.5*AI$1*(COUNTIF(AJ$11:AJ$1000,AJ91)-1))</f>
        <v>4.18285714285714</v>
      </c>
      <c r="AJ91" s="1" t="n">
        <v>4</v>
      </c>
      <c r="AK91" s="1" t="n">
        <f aca="false">IF(AL91=AL90,AK90+AK$1,AK$3-0.5*AK$1*(COUNTIF(AL$11:AL$1000,AL91)-1))</f>
        <v>5.05423728813559</v>
      </c>
      <c r="AL91" s="1" t="n">
        <v>3</v>
      </c>
      <c r="AN91" s="1" t="n">
        <f aca="false">IF(AO91=AO90,AN90+AN$1,AN$3-0.5*AN$1*(COUNTIF(AO$11:AO$1000,AO91)-1))</f>
        <v>0.619230769230769</v>
      </c>
      <c r="AO91" s="1" t="n">
        <v>2</v>
      </c>
      <c r="AP91" s="1" t="n">
        <f aca="false">IF(AQ91=AQ90,AP90+AP$1,AP$3-0.5*AP$1*(COUNTIF(AQ$11:AQ$1000,AQ91)-1))</f>
        <v>1.94893617021277</v>
      </c>
      <c r="AQ91" s="1" t="n">
        <v>3</v>
      </c>
      <c r="AR91" s="1" t="n">
        <f aca="false">IF(AS91=AS90,AR90+AR$1,AR$3-0.5*AR$1*(COUNTIF(AS$11:AS$1000,AS91)-1))</f>
        <v>3.31515151515152</v>
      </c>
      <c r="AS91" s="1" t="n">
        <v>4</v>
      </c>
      <c r="AT91" s="1" t="n">
        <f aca="false">IF(AU91=AU90,AT90+AT$1,AT$3-0.5*AT$1*(COUNTIF(AU$11:AU$1000,AU91)-1))</f>
        <v>3.93043478260869</v>
      </c>
      <c r="AU91" s="1" t="n">
        <v>8</v>
      </c>
      <c r="AV91" s="1" t="n">
        <f aca="false">IF(AW91=AW90,AV90+AV$1,AV$3-0.5*AV$1*(COUNTIF(AW$11:AW$1000,AW91)-1))</f>
        <v>4.81428571428571</v>
      </c>
      <c r="AW91" s="1" t="n">
        <v>8</v>
      </c>
      <c r="AY91" s="1" t="n">
        <v>81</v>
      </c>
      <c r="AZ91" s="1" t="n">
        <f aca="false">IF(BA91=BA90,AZ90+AZ$1,AZ$3-0.5*AZ$1*(COUNTIF(BA$11:BA$1000,BA91)-1))</f>
        <v>0.974468085106383</v>
      </c>
      <c r="BA91" s="1" t="n">
        <v>4</v>
      </c>
      <c r="BB91" s="1" t="n">
        <v>-1</v>
      </c>
      <c r="BC91" s="1" t="n">
        <v>-1</v>
      </c>
      <c r="BE91" s="1" t="n">
        <f aca="false">IF(BF91=BF90,BE90+BE$1,BE$3-0.5*BE$1*(COUNTIF(BF$11:BF$1000,BF91)-1))</f>
        <v>0.975757575757576</v>
      </c>
      <c r="BF91" s="1" t="n">
        <v>6</v>
      </c>
      <c r="BG91" s="1" t="n">
        <v>-1</v>
      </c>
      <c r="BH91" s="1" t="n">
        <v>-1</v>
      </c>
    </row>
    <row r="92" customFormat="false" ht="16" hidden="false" customHeight="false" outlineLevel="0" collapsed="false">
      <c r="A92" s="1" t="n">
        <v>82</v>
      </c>
      <c r="B92" s="1" t="n">
        <f aca="false">IF(C92=C91,B91+B$1,B$3-0.5*B$1*(COUNTIF(C$11:C$1000,C92)-1))</f>
        <v>0.957894736842106</v>
      </c>
      <c r="C92" s="1" t="n">
        <v>2</v>
      </c>
      <c r="D92" s="1" t="n">
        <f aca="false">IF(E92=E91,D91+D$1,D$3-0.5*D$1*(COUNTIF(E$11:E$1000,E92)-1))</f>
        <v>1.70120481927711</v>
      </c>
      <c r="E92" s="1" t="n">
        <v>2</v>
      </c>
      <c r="F92" s="1" t="n">
        <f aca="false">IF(G92=G91,F91+F$1,F$3-0.5*F$1*(COUNTIF(G$11:G$1000,G92)-1))</f>
        <v>3.21875000000001</v>
      </c>
      <c r="G92" s="1" t="n">
        <v>2</v>
      </c>
      <c r="H92" s="1" t="n">
        <f aca="false">IF(I92=I91,H91+H$1,H$3-0.5*H$1*(COUNTIF(I$11:I$1000,I92)-1))</f>
        <v>3.96969696969697</v>
      </c>
      <c r="I92" s="1" t="n">
        <v>2</v>
      </c>
      <c r="J92" s="1" t="n">
        <f aca="false">IF(K92=K91,J91+J$1,J$3-0.5*J$1*(COUNTIF(K$11:K$1000,K92)-1))</f>
        <v>5.19726027397262</v>
      </c>
      <c r="K92" s="1" t="n">
        <v>2</v>
      </c>
      <c r="L92" s="1" t="n">
        <f aca="false">IF(M92=M91,L91+L$1,L$3-0.5*L$1*(COUNTIF(M$11:M$1000,M92)-1))</f>
        <v>6.06842105263156</v>
      </c>
      <c r="M92" s="1" t="n">
        <v>2</v>
      </c>
      <c r="O92" s="1" t="n">
        <f aca="false">IF(P92=P91,O91+O$1,O$3-0.5*O$1*(COUNTIF(P$11:P$1000,P92)-1))</f>
        <v>0.957894736842106</v>
      </c>
      <c r="P92" s="1" t="n">
        <v>2</v>
      </c>
      <c r="Q92" s="1" t="n">
        <f aca="false">IF(R92=R91,Q91+Q$1,Q$3-0.5*Q$1*(COUNTIF(R$11:R$1000,R92)-1))</f>
        <v>1.76666666666667</v>
      </c>
      <c r="R92" s="1" t="n">
        <v>2</v>
      </c>
      <c r="S92" s="1" t="n">
        <f aca="false">IF(T92=T91,S91+S$1,S$3-0.5*S$1*(COUNTIF(T$11:T$1000,T92)-1))</f>
        <v>2.94909090909091</v>
      </c>
      <c r="T92" s="1" t="n">
        <v>3</v>
      </c>
      <c r="U92" s="1" t="n">
        <f aca="false">IF(V92=V91,U91+U$1,U$3-0.5*U$1*(COUNTIF(V$11:V$1000,V92)-1))</f>
        <v>3.91372549019608</v>
      </c>
      <c r="V92" s="1" t="n">
        <v>3</v>
      </c>
      <c r="W92" s="1" t="n">
        <f aca="false">IF(X92=X91,W91+W$1,W$3-0.5*W$1*(COUNTIF(X$11:X$1000,X92)-1))</f>
        <v>4.90769230769231</v>
      </c>
      <c r="X92" s="1" t="n">
        <v>4</v>
      </c>
      <c r="Y92" s="1" t="n">
        <f aca="false">IF(Z92=Z91,Y91+Y$1,Y$3-0.5*Y$1*(COUNTIF(Z$11:Z$1000,Z92)-1))</f>
        <v>5.87692307692308</v>
      </c>
      <c r="Z92" s="1" t="n">
        <v>4</v>
      </c>
      <c r="AB92" s="1" t="n">
        <v>82</v>
      </c>
      <c r="AC92" s="1" t="n">
        <f aca="false">IF(AD92=AD91,AC91+AC$1,AC$3-0.5*AC$1*(COUNTIF(AD$11:AD$1000,AD92)-1))</f>
        <v>1.27809523809524</v>
      </c>
      <c r="AD92" s="1" t="n">
        <v>1</v>
      </c>
      <c r="AE92" s="1" t="n">
        <f aca="false">IF(AF92=AF91,AE91+AE$1,AE$3-0.5*AE$1*(COUNTIF(AF$11:AF$1000,AF92)-1))</f>
        <v>2.26923076923077</v>
      </c>
      <c r="AF92" s="1" t="n">
        <v>2</v>
      </c>
      <c r="AG92" s="1" t="n">
        <f aca="false">IF(AH92=AH91,AG91+AG$1,AG$3-0.5*AG$1*(COUNTIF(AH$11:AH$1000,AH92)-1))</f>
        <v>2.81132075471698</v>
      </c>
      <c r="AH92" s="1" t="n">
        <v>3</v>
      </c>
      <c r="AI92" s="1" t="n">
        <f aca="false">IF(AJ92=AJ91,AI91+AI$1,AI$3-0.5*AI$1*(COUNTIF(AJ$11:AJ$1000,AJ92)-1))</f>
        <v>4.20571428571429</v>
      </c>
      <c r="AJ92" s="1" t="n">
        <v>4</v>
      </c>
      <c r="AK92" s="1" t="n">
        <f aca="false">IF(AL92=AL91,AK91+AK$1,AK$3-0.5*AK$1*(COUNTIF(AL$11:AL$1000,AL92)-1))</f>
        <v>4.68813559322034</v>
      </c>
      <c r="AL92" s="1" t="n">
        <v>4</v>
      </c>
      <c r="AN92" s="1" t="n">
        <f aca="false">IF(AO92=AO91,AN91+AN$1,AN$3-0.5*AN$1*(COUNTIF(AO$11:AO$1000,AO92)-1))</f>
        <v>0.626923076923077</v>
      </c>
      <c r="AO92" s="1" t="n">
        <v>2</v>
      </c>
      <c r="AP92" s="1" t="n">
        <f aca="false">IF(AQ92=AQ91,AP91+AP$1,AP$3-0.5*AP$1*(COUNTIF(AQ$11:AQ$1000,AQ92)-1))</f>
        <v>1.96595744680851</v>
      </c>
      <c r="AQ92" s="1" t="n">
        <v>3</v>
      </c>
      <c r="AR92" s="1" t="n">
        <f aca="false">IF(AS92=AS91,AR91+AR$1,AR$3-0.5*AR$1*(COUNTIF(AS$11:AS$1000,AS92)-1))</f>
        <v>3.33939393939394</v>
      </c>
      <c r="AS92" s="1" t="n">
        <v>4</v>
      </c>
      <c r="AT92" s="1" t="n">
        <f aca="false">IF(AU92=AU91,AT91+AT$1,AT$3-0.5*AT$1*(COUNTIF(AU$11:AU$1000,AU92)-1))</f>
        <v>3.96521739130435</v>
      </c>
      <c r="AU92" s="1" t="n">
        <v>8</v>
      </c>
      <c r="AV92" s="1" t="n">
        <f aca="false">IF(AW92=AW91,AV91+AV$1,AV$3-0.5*AV$1*(COUNTIF(AW$11:AW$1000,AW92)-1))</f>
        <v>4.84285714285714</v>
      </c>
      <c r="AW92" s="1" t="n">
        <v>8</v>
      </c>
      <c r="AY92" s="1" t="n">
        <v>82</v>
      </c>
      <c r="AZ92" s="1" t="n">
        <f aca="false">IF(BA92=BA91,AZ91+AZ$1,AZ$3-0.5*AZ$1*(COUNTIF(BA$11:BA$1000,BA92)-1))</f>
        <v>0.991489361702128</v>
      </c>
      <c r="BA92" s="1" t="n">
        <v>4</v>
      </c>
      <c r="BB92" s="1" t="n">
        <v>-1</v>
      </c>
      <c r="BC92" s="1" t="n">
        <v>-1</v>
      </c>
      <c r="BE92" s="1" t="n">
        <f aca="false">IF(BF92=BF91,BE91+BE$1,BE$3-0.5*BE$1*(COUNTIF(BF$11:BF$1000,BF92)-1))</f>
        <v>1</v>
      </c>
      <c r="BF92" s="1" t="n">
        <v>6</v>
      </c>
      <c r="BG92" s="1" t="n">
        <v>-1</v>
      </c>
      <c r="BH92" s="1" t="n">
        <v>-1</v>
      </c>
    </row>
    <row r="93" customFormat="false" ht="16" hidden="false" customHeight="false" outlineLevel="0" collapsed="false">
      <c r="A93" s="1" t="n">
        <v>83</v>
      </c>
      <c r="B93" s="1" t="n">
        <f aca="false">IF(C93=C92,B92+B$1,B$3-0.5*B$1*(COUNTIF(C$11:C$1000,C93)-1))</f>
        <v>0.971929824561405</v>
      </c>
      <c r="C93" s="1" t="n">
        <v>2</v>
      </c>
      <c r="D93" s="1" t="n">
        <f aca="false">IF(E93=E92,D92+D$1,D$3-0.5*D$1*(COUNTIF(E$11:E$1000,E93)-1))</f>
        <v>1.71084337349398</v>
      </c>
      <c r="E93" s="1" t="n">
        <v>2</v>
      </c>
      <c r="F93" s="1" t="n">
        <f aca="false">IF(G93=G92,F92+F$1,F$3-0.5*F$1*(COUNTIF(G$11:G$1000,G93)-1))</f>
        <v>3.23125000000001</v>
      </c>
      <c r="G93" s="1" t="n">
        <v>2</v>
      </c>
      <c r="H93" s="1" t="n">
        <f aca="false">IF(I93=I92,H92+H$1,H$3-0.5*H$1*(COUNTIF(I$11:I$1000,I93)-1))</f>
        <v>3.98181818181818</v>
      </c>
      <c r="I93" s="1" t="n">
        <v>2</v>
      </c>
      <c r="J93" s="1" t="n">
        <f aca="false">IF(K93=K92,J92+J$1,J$3-0.5*J$1*(COUNTIF(K$11:K$1000,K93)-1))</f>
        <v>5.20821917808221</v>
      </c>
      <c r="K93" s="1" t="n">
        <v>2</v>
      </c>
      <c r="L93" s="1" t="n">
        <f aca="false">IF(M93=M92,L92+L$1,L$3-0.5*L$1*(COUNTIF(M$11:M$1000,M93)-1))</f>
        <v>6.07894736842103</v>
      </c>
      <c r="M93" s="1" t="n">
        <v>2</v>
      </c>
      <c r="O93" s="1" t="n">
        <f aca="false">IF(P93=P92,O92+O$1,O$3-0.5*O$1*(COUNTIF(P$11:P$1000,P93)-1))</f>
        <v>0.971929824561405</v>
      </c>
      <c r="P93" s="1" t="n">
        <v>2</v>
      </c>
      <c r="Q93" s="1" t="n">
        <f aca="false">IF(R93=R92,Q92+Q$1,Q$3-0.5*Q$1*(COUNTIF(R$11:R$1000,R93)-1))</f>
        <v>1.77619047619048</v>
      </c>
      <c r="R93" s="1" t="n">
        <v>2</v>
      </c>
      <c r="S93" s="1" t="n">
        <f aca="false">IF(T93=T92,S92+S$1,S$3-0.5*S$1*(COUNTIF(T$11:T$1000,T93)-1))</f>
        <v>2.96363636363636</v>
      </c>
      <c r="T93" s="1" t="n">
        <v>3</v>
      </c>
      <c r="U93" s="1" t="n">
        <f aca="false">IF(V93=V92,U92+U$1,U$3-0.5*U$1*(COUNTIF(V$11:V$1000,V93)-1))</f>
        <v>3.92941176470588</v>
      </c>
      <c r="V93" s="1" t="n">
        <v>3</v>
      </c>
      <c r="W93" s="1" t="n">
        <f aca="false">IF(X93=X92,W92+W$1,W$3-0.5*W$1*(COUNTIF(X$11:X$1000,X93)-1))</f>
        <v>4.92820512820513</v>
      </c>
      <c r="X93" s="1" t="n">
        <v>4</v>
      </c>
      <c r="Y93" s="1" t="n">
        <f aca="false">IF(Z93=Z92,Y92+Y$1,Y$3-0.5*Y$1*(COUNTIF(Z$11:Z$1000,Z93)-1))</f>
        <v>5.8974358974359</v>
      </c>
      <c r="Z93" s="1" t="n">
        <v>4</v>
      </c>
      <c r="AB93" s="1" t="n">
        <v>83</v>
      </c>
      <c r="AC93" s="1" t="n">
        <f aca="false">IF(AD93=AD92,AC92+AC$1,AC$3-0.5*AC$1*(COUNTIF(AD$11:AD$1000,AD93)-1))</f>
        <v>1.28571428571429</v>
      </c>
      <c r="AD93" s="1" t="n">
        <v>1</v>
      </c>
      <c r="AE93" s="1" t="n">
        <f aca="false">IF(AF93=AF92,AE92+AE$1,AE$3-0.5*AE$1*(COUNTIF(AF$11:AF$1000,AF93)-1))</f>
        <v>2.28461538461538</v>
      </c>
      <c r="AF93" s="1" t="n">
        <v>2</v>
      </c>
      <c r="AG93" s="1" t="n">
        <f aca="false">IF(AH93=AH92,AG92+AG$1,AG$3-0.5*AG$1*(COUNTIF(AH$11:AH$1000,AH93)-1))</f>
        <v>2.82641509433962</v>
      </c>
      <c r="AH93" s="1" t="n">
        <v>3</v>
      </c>
      <c r="AI93" s="1" t="n">
        <f aca="false">IF(AJ93=AJ92,AI92+AI$1,AI$3-0.5*AI$1*(COUNTIF(AJ$11:AJ$1000,AJ93)-1))</f>
        <v>4.22857142857143</v>
      </c>
      <c r="AJ93" s="1" t="n">
        <v>4</v>
      </c>
      <c r="AK93" s="1" t="n">
        <f aca="false">IF(AL93=AL92,AK92+AK$1,AK$3-0.5*AK$1*(COUNTIF(AL$11:AL$1000,AL93)-1))</f>
        <v>4.70169491525424</v>
      </c>
      <c r="AL93" s="1" t="n">
        <v>4</v>
      </c>
      <c r="AN93" s="1" t="n">
        <f aca="false">IF(AO93=AO92,AN92+AN$1,AN$3-0.5*AN$1*(COUNTIF(AO$11:AO$1000,AO93)-1))</f>
        <v>0.634615384615384</v>
      </c>
      <c r="AO93" s="1" t="n">
        <v>2</v>
      </c>
      <c r="AP93" s="1" t="n">
        <f aca="false">IF(AQ93=AQ92,AP92+AP$1,AP$3-0.5*AP$1*(COUNTIF(AQ$11:AQ$1000,AQ93)-1))</f>
        <v>1.98297872340426</v>
      </c>
      <c r="AQ93" s="1" t="n">
        <v>3</v>
      </c>
      <c r="AR93" s="1" t="n">
        <f aca="false">IF(AS93=AS92,AR92+AR$1,AR$3-0.5*AR$1*(COUNTIF(AS$11:AS$1000,AS93)-1))</f>
        <v>3.36363636363637</v>
      </c>
      <c r="AS93" s="1" t="n">
        <v>4</v>
      </c>
      <c r="AT93" s="1" t="n">
        <f aca="false">IF(AU93=AU92,AT92+AT$1,AT$3-0.5*AT$1*(COUNTIF(AU$11:AU$1000,AU93)-1))</f>
        <v>4</v>
      </c>
      <c r="AU93" s="1" t="n">
        <v>8</v>
      </c>
      <c r="AV93" s="1" t="n">
        <f aca="false">IF(AW93=AW92,AV92+AV$1,AV$3-0.5*AV$1*(COUNTIF(AW$11:AW$1000,AW93)-1))</f>
        <v>4.87142857142857</v>
      </c>
      <c r="AW93" s="1" t="n">
        <v>8</v>
      </c>
      <c r="AY93" s="1" t="n">
        <v>83</v>
      </c>
      <c r="AZ93" s="1" t="n">
        <f aca="false">IF(BA93=BA92,AZ92+AZ$1,AZ$3-0.5*AZ$1*(COUNTIF(BA$11:BA$1000,BA93)-1))</f>
        <v>1.00851063829787</v>
      </c>
      <c r="BA93" s="1" t="n">
        <v>4</v>
      </c>
      <c r="BB93" s="1" t="n">
        <v>-1</v>
      </c>
      <c r="BC93" s="1" t="n">
        <v>-1</v>
      </c>
      <c r="BE93" s="1" t="n">
        <f aca="false">IF(BF93=BF92,BE92+BE$1,BE$3-0.5*BE$1*(COUNTIF(BF$11:BF$1000,BF93)-1))</f>
        <v>1.02424242424242</v>
      </c>
      <c r="BF93" s="1" t="n">
        <v>6</v>
      </c>
      <c r="BG93" s="1" t="n">
        <v>-1</v>
      </c>
      <c r="BH93" s="1" t="n">
        <v>-1</v>
      </c>
    </row>
    <row r="94" customFormat="false" ht="16" hidden="false" customHeight="false" outlineLevel="0" collapsed="false">
      <c r="A94" s="1" t="n">
        <v>84</v>
      </c>
      <c r="B94" s="1" t="n">
        <f aca="false">IF(C94=C93,B93+B$1,B$3-0.5*B$1*(COUNTIF(C$11:C$1000,C94)-1))</f>
        <v>0.985964912280703</v>
      </c>
      <c r="C94" s="1" t="n">
        <v>2</v>
      </c>
      <c r="D94" s="1" t="n">
        <f aca="false">IF(E94=E93,D93+D$1,D$3-0.5*D$1*(COUNTIF(E$11:E$1000,E94)-1))</f>
        <v>1.72048192771084</v>
      </c>
      <c r="E94" s="1" t="n">
        <v>2</v>
      </c>
      <c r="F94" s="1" t="n">
        <f aca="false">IF(G94=G93,F93+F$1,F$3-0.5*F$1*(COUNTIF(G$11:G$1000,G94)-1))</f>
        <v>3.24375000000001</v>
      </c>
      <c r="G94" s="1" t="n">
        <v>2</v>
      </c>
      <c r="H94" s="1" t="n">
        <f aca="false">IF(I94=I93,H93+H$1,H$3-0.5*H$1*(COUNTIF(I$11:I$1000,I94)-1))</f>
        <v>3.9939393939394</v>
      </c>
      <c r="I94" s="1" t="n">
        <v>2</v>
      </c>
      <c r="J94" s="1" t="n">
        <f aca="false">IF(K94=K93,J93+J$1,J$3-0.5*J$1*(COUNTIF(K$11:K$1000,K94)-1))</f>
        <v>5.2191780821918</v>
      </c>
      <c r="K94" s="1" t="n">
        <v>2</v>
      </c>
      <c r="L94" s="1" t="n">
        <f aca="false">IF(M94=M93,L93+L$1,L$3-0.5*L$1*(COUNTIF(M$11:M$1000,M94)-1))</f>
        <v>6.08947368421051</v>
      </c>
      <c r="M94" s="1" t="n">
        <v>2</v>
      </c>
      <c r="O94" s="1" t="n">
        <f aca="false">IF(P94=P93,O93+O$1,O$3-0.5*O$1*(COUNTIF(P$11:P$1000,P94)-1))</f>
        <v>0.985964912280703</v>
      </c>
      <c r="P94" s="1" t="n">
        <v>2</v>
      </c>
      <c r="Q94" s="1" t="n">
        <f aca="false">IF(R94=R93,Q93+Q$1,Q$3-0.5*Q$1*(COUNTIF(R$11:R$1000,R94)-1))</f>
        <v>1.78571428571429</v>
      </c>
      <c r="R94" s="1" t="n">
        <v>2</v>
      </c>
      <c r="S94" s="1" t="n">
        <f aca="false">IF(T94=T93,S93+S$1,S$3-0.5*S$1*(COUNTIF(T$11:T$1000,T94)-1))</f>
        <v>2.97818181818182</v>
      </c>
      <c r="T94" s="1" t="n">
        <v>3</v>
      </c>
      <c r="U94" s="1" t="n">
        <f aca="false">IF(V94=V93,U93+U$1,U$3-0.5*U$1*(COUNTIF(V$11:V$1000,V94)-1))</f>
        <v>3.94509803921569</v>
      </c>
      <c r="V94" s="1" t="n">
        <v>3</v>
      </c>
      <c r="W94" s="1" t="n">
        <f aca="false">IF(X94=X93,W93+W$1,W$3-0.5*W$1*(COUNTIF(X$11:X$1000,X94)-1))</f>
        <v>4.94871794871795</v>
      </c>
      <c r="X94" s="1" t="n">
        <v>4</v>
      </c>
      <c r="Y94" s="1" t="n">
        <f aca="false">IF(Z94=Z93,Y93+Y$1,Y$3-0.5*Y$1*(COUNTIF(Z$11:Z$1000,Z94)-1))</f>
        <v>5.91794871794872</v>
      </c>
      <c r="Z94" s="1" t="n">
        <v>4</v>
      </c>
      <c r="AB94" s="1" t="n">
        <v>84</v>
      </c>
      <c r="AC94" s="1" t="n">
        <f aca="false">IF(AD94=AD93,AC93+AC$1,AC$3-0.5*AC$1*(COUNTIF(AD$11:AD$1000,AD94)-1))</f>
        <v>1.29333333333333</v>
      </c>
      <c r="AD94" s="1" t="n">
        <v>1</v>
      </c>
      <c r="AE94" s="1" t="n">
        <f aca="false">IF(AF94=AF93,AE93+AE$1,AE$3-0.5*AE$1*(COUNTIF(AF$11:AF$1000,AF94)-1))</f>
        <v>2.3</v>
      </c>
      <c r="AF94" s="1" t="n">
        <v>2</v>
      </c>
      <c r="AG94" s="1" t="n">
        <f aca="false">IF(AH94=AH93,AG93+AG$1,AG$3-0.5*AG$1*(COUNTIF(AH$11:AH$1000,AH94)-1))</f>
        <v>2.84150943396226</v>
      </c>
      <c r="AH94" s="1" t="n">
        <v>3</v>
      </c>
      <c r="AI94" s="1" t="n">
        <f aca="false">IF(AJ94=AJ93,AI93+AI$1,AI$3-0.5*AI$1*(COUNTIF(AJ$11:AJ$1000,AJ94)-1))</f>
        <v>4.25142857142857</v>
      </c>
      <c r="AJ94" s="1" t="n">
        <v>4</v>
      </c>
      <c r="AK94" s="1" t="n">
        <f aca="false">IF(AL94=AL93,AK93+AK$1,AK$3-0.5*AK$1*(COUNTIF(AL$11:AL$1000,AL94)-1))</f>
        <v>4.71525423728814</v>
      </c>
      <c r="AL94" s="1" t="n">
        <v>4</v>
      </c>
      <c r="AN94" s="1" t="n">
        <f aca="false">IF(AO94=AO93,AN93+AN$1,AN$3-0.5*AN$1*(COUNTIF(AO$11:AO$1000,AO94)-1))</f>
        <v>0.642307692307692</v>
      </c>
      <c r="AO94" s="1" t="n">
        <v>2</v>
      </c>
      <c r="AP94" s="1" t="n">
        <f aca="false">IF(AQ94=AQ93,AP93+AP$1,AP$3-0.5*AP$1*(COUNTIF(AQ$11:AQ$1000,AQ94)-1))</f>
        <v>2</v>
      </c>
      <c r="AQ94" s="1" t="n">
        <v>3</v>
      </c>
      <c r="AR94" s="1" t="n">
        <f aca="false">IF(AS94=AS93,AR93+AR$1,AR$3-0.5*AR$1*(COUNTIF(AS$11:AS$1000,AS94)-1))</f>
        <v>3.38787878787879</v>
      </c>
      <c r="AS94" s="1" t="n">
        <v>4</v>
      </c>
      <c r="AT94" s="1" t="n">
        <f aca="false">IF(AU94=AU93,AT93+AT$1,AT$3-0.5*AT$1*(COUNTIF(AU$11:AU$1000,AU94)-1))</f>
        <v>4.03478260869565</v>
      </c>
      <c r="AU94" s="1" t="n">
        <v>8</v>
      </c>
      <c r="AV94" s="1" t="n">
        <f aca="false">IF(AW94=AW93,AV93+AV$1,AV$3-0.5*AV$1*(COUNTIF(AW$11:AW$1000,AW94)-1))</f>
        <v>4.9</v>
      </c>
      <c r="AW94" s="1" t="n">
        <v>8</v>
      </c>
      <c r="AY94" s="1" t="n">
        <v>84</v>
      </c>
      <c r="AZ94" s="1" t="n">
        <f aca="false">IF(BA94=BA93,AZ93+AZ$1,AZ$3-0.5*AZ$1*(COUNTIF(BA$11:BA$1000,BA94)-1))</f>
        <v>1.02553191489362</v>
      </c>
      <c r="BA94" s="1" t="n">
        <v>4</v>
      </c>
      <c r="BB94" s="1" t="n">
        <v>-1</v>
      </c>
      <c r="BC94" s="1" t="n">
        <v>-1</v>
      </c>
      <c r="BE94" s="1" t="n">
        <f aca="false">IF(BF94=BF93,BE93+BE$1,BE$3-0.5*BE$1*(COUNTIF(BF$11:BF$1000,BF94)-1))</f>
        <v>1.04848484848485</v>
      </c>
      <c r="BF94" s="1" t="n">
        <v>6</v>
      </c>
      <c r="BG94" s="1" t="n">
        <v>-1</v>
      </c>
      <c r="BH94" s="1" t="n">
        <v>-1</v>
      </c>
    </row>
    <row r="95" customFormat="false" ht="16" hidden="false" customHeight="false" outlineLevel="0" collapsed="false">
      <c r="A95" s="1" t="n">
        <v>85</v>
      </c>
      <c r="B95" s="1" t="n">
        <f aca="false">IF(C95=C94,B94+B$1,B$3-0.5*B$1*(COUNTIF(C$11:C$1000,C95)-1))</f>
        <v>1</v>
      </c>
      <c r="C95" s="1" t="n">
        <v>2</v>
      </c>
      <c r="D95" s="1" t="n">
        <f aca="false">IF(E95=E94,D94+D$1,D$3-0.5*D$1*(COUNTIF(E$11:E$1000,E95)-1))</f>
        <v>1.73012048192771</v>
      </c>
      <c r="E95" s="1" t="n">
        <v>2</v>
      </c>
      <c r="F95" s="1" t="n">
        <f aca="false">IF(G95=G94,F94+F$1,F$3-0.5*F$1*(COUNTIF(G$11:G$1000,G95)-1))</f>
        <v>3.25625000000001</v>
      </c>
      <c r="G95" s="1" t="n">
        <v>2</v>
      </c>
      <c r="H95" s="1" t="n">
        <f aca="false">IF(I95=I94,H94+H$1,H$3-0.5*H$1*(COUNTIF(I$11:I$1000,I95)-1))</f>
        <v>4.00606060606061</v>
      </c>
      <c r="I95" s="1" t="n">
        <v>2</v>
      </c>
      <c r="J95" s="1" t="n">
        <f aca="false">IF(K95=K94,J94+J$1,J$3-0.5*J$1*(COUNTIF(K$11:K$1000,K95)-1))</f>
        <v>5.23013698630139</v>
      </c>
      <c r="K95" s="1" t="n">
        <v>2</v>
      </c>
      <c r="L95" s="1" t="n">
        <f aca="false">IF(M95=M94,L94+L$1,L$3-0.5*L$1*(COUNTIF(M$11:M$1000,M95)-1))</f>
        <v>6.09999999999998</v>
      </c>
      <c r="M95" s="1" t="n">
        <v>2</v>
      </c>
      <c r="O95" s="1" t="n">
        <f aca="false">IF(P95=P94,O94+O$1,O$3-0.5*O$1*(COUNTIF(P$11:P$1000,P95)-1))</f>
        <v>1</v>
      </c>
      <c r="P95" s="1" t="n">
        <v>2</v>
      </c>
      <c r="Q95" s="1" t="n">
        <f aca="false">IF(R95=R94,Q94+Q$1,Q$3-0.5*Q$1*(COUNTIF(R$11:R$1000,R95)-1))</f>
        <v>1.79523809523809</v>
      </c>
      <c r="R95" s="1" t="n">
        <v>2</v>
      </c>
      <c r="S95" s="1" t="n">
        <f aca="false">IF(T95=T94,S94+S$1,S$3-0.5*S$1*(COUNTIF(T$11:T$1000,T95)-1))</f>
        <v>2.99272727272727</v>
      </c>
      <c r="T95" s="1" t="n">
        <v>3</v>
      </c>
      <c r="U95" s="1" t="n">
        <f aca="false">IF(V95=V94,U94+U$1,U$3-0.5*U$1*(COUNTIF(V$11:V$1000,V95)-1))</f>
        <v>3.96078431372549</v>
      </c>
      <c r="V95" s="1" t="n">
        <v>3</v>
      </c>
      <c r="W95" s="1" t="n">
        <f aca="false">IF(X95=X94,W94+W$1,W$3-0.5*W$1*(COUNTIF(X$11:X$1000,X95)-1))</f>
        <v>4.96923076923077</v>
      </c>
      <c r="X95" s="1" t="n">
        <v>4</v>
      </c>
      <c r="Y95" s="1" t="n">
        <f aca="false">IF(Z95=Z94,Y94+Y$1,Y$3-0.5*Y$1*(COUNTIF(Z$11:Z$1000,Z95)-1))</f>
        <v>5.93846153846154</v>
      </c>
      <c r="Z95" s="1" t="n">
        <v>4</v>
      </c>
      <c r="AB95" s="1" t="n">
        <v>85</v>
      </c>
      <c r="AC95" s="1" t="n">
        <f aca="false">IF(AD95=AD94,AC94+AC$1,AC$3-0.5*AC$1*(COUNTIF(AD$11:AD$1000,AD95)-1))</f>
        <v>1.30095238095238</v>
      </c>
      <c r="AD95" s="1" t="n">
        <v>1</v>
      </c>
      <c r="AE95" s="1" t="n">
        <f aca="false">IF(AF95=AF94,AE94+AE$1,AE$3-0.5*AE$1*(COUNTIF(AF$11:AF$1000,AF95)-1))</f>
        <v>2.31538461538461</v>
      </c>
      <c r="AF95" s="1" t="n">
        <v>2</v>
      </c>
      <c r="AG95" s="1" t="n">
        <f aca="false">IF(AH95=AH94,AG94+AG$1,AG$3-0.5*AG$1*(COUNTIF(AH$11:AH$1000,AH95)-1))</f>
        <v>2.85660377358491</v>
      </c>
      <c r="AH95" s="1" t="n">
        <v>3</v>
      </c>
      <c r="AI95" s="1" t="n">
        <f aca="false">IF(AJ95=AJ94,AI94+AI$1,AI$3-0.5*AI$1*(COUNTIF(AJ$11:AJ$1000,AJ95)-1))</f>
        <v>4.27428571428572</v>
      </c>
      <c r="AJ95" s="1" t="n">
        <v>4</v>
      </c>
      <c r="AK95" s="1" t="n">
        <f aca="false">IF(AL95=AL94,AK94+AK$1,AK$3-0.5*AK$1*(COUNTIF(AL$11:AL$1000,AL95)-1))</f>
        <v>4.72881355932203</v>
      </c>
      <c r="AL95" s="1" t="n">
        <v>4</v>
      </c>
      <c r="AN95" s="1" t="n">
        <f aca="false">IF(AO95=AO94,AN94+AN$1,AN$3-0.5*AN$1*(COUNTIF(AO$11:AO$1000,AO95)-1))</f>
        <v>0.65</v>
      </c>
      <c r="AO95" s="1" t="n">
        <v>2</v>
      </c>
      <c r="AP95" s="1" t="n">
        <f aca="false">IF(AQ95=AQ94,AP94+AP$1,AP$3-0.5*AP$1*(COUNTIF(AQ$11:AQ$1000,AQ95)-1))</f>
        <v>2.01702127659575</v>
      </c>
      <c r="AQ95" s="1" t="n">
        <v>3</v>
      </c>
      <c r="AR95" s="1" t="n">
        <f aca="false">IF(AS95=AS94,AR94+AR$1,AR$3-0.5*AR$1*(COUNTIF(AS$11:AS$1000,AS95)-1))</f>
        <v>2.73333333333333</v>
      </c>
      <c r="AS95" s="1" t="n">
        <v>5</v>
      </c>
      <c r="AT95" s="1" t="n">
        <f aca="false">IF(AU95=AU94,AT94+AT$1,AT$3-0.5*AT$1*(COUNTIF(AU$11:AU$1000,AU95)-1))</f>
        <v>4.0695652173913</v>
      </c>
      <c r="AU95" s="1" t="n">
        <v>8</v>
      </c>
      <c r="AV95" s="1" t="n">
        <f aca="false">IF(AW95=AW94,AV94+AV$1,AV$3-0.5*AV$1*(COUNTIF(AW$11:AW$1000,AW95)-1))</f>
        <v>4.92857142857143</v>
      </c>
      <c r="AW95" s="1" t="n">
        <v>8</v>
      </c>
      <c r="AY95" s="1" t="n">
        <v>85</v>
      </c>
      <c r="AZ95" s="1" t="n">
        <f aca="false">IF(BA95=BA94,AZ94+AZ$1,AZ$3-0.5*AZ$1*(COUNTIF(BA$11:BA$1000,BA95)-1))</f>
        <v>1.04255319148936</v>
      </c>
      <c r="BA95" s="1" t="n">
        <v>4</v>
      </c>
      <c r="BB95" s="1" t="n">
        <v>-1</v>
      </c>
      <c r="BC95" s="1" t="n">
        <v>-1</v>
      </c>
      <c r="BE95" s="1" t="n">
        <f aca="false">IF(BF95=BF94,BE94+BE$1,BE$3-0.5*BE$1*(COUNTIF(BF$11:BF$1000,BF95)-1))</f>
        <v>1.07272727272727</v>
      </c>
      <c r="BF95" s="1" t="n">
        <v>6</v>
      </c>
      <c r="BG95" s="1" t="n">
        <v>-1</v>
      </c>
      <c r="BH95" s="1" t="n">
        <v>-1</v>
      </c>
    </row>
    <row r="96" customFormat="false" ht="16" hidden="false" customHeight="false" outlineLevel="0" collapsed="false">
      <c r="A96" s="1" t="n">
        <v>86</v>
      </c>
      <c r="B96" s="1" t="n">
        <f aca="false">IF(C96=C95,B95+B$1,B$3-0.5*B$1*(COUNTIF(C$11:C$1000,C96)-1))</f>
        <v>1.0140350877193</v>
      </c>
      <c r="C96" s="1" t="n">
        <v>2</v>
      </c>
      <c r="D96" s="1" t="n">
        <f aca="false">IF(E96=E95,D95+D$1,D$3-0.5*D$1*(COUNTIF(E$11:E$1000,E96)-1))</f>
        <v>1.73975903614458</v>
      </c>
      <c r="E96" s="1" t="n">
        <v>2</v>
      </c>
      <c r="F96" s="1" t="n">
        <f aca="false">IF(G96=G95,F95+F$1,F$3-0.5*F$1*(COUNTIF(G$11:G$1000,G96)-1))</f>
        <v>3.26875000000001</v>
      </c>
      <c r="G96" s="1" t="n">
        <v>2</v>
      </c>
      <c r="H96" s="1" t="n">
        <f aca="false">IF(I96=I95,H95+H$1,H$3-0.5*H$1*(COUNTIF(I$11:I$1000,I96)-1))</f>
        <v>4.01818181818182</v>
      </c>
      <c r="I96" s="1" t="n">
        <v>2</v>
      </c>
      <c r="J96" s="1" t="n">
        <f aca="false">IF(K96=K95,J95+J$1,J$3-0.5*J$1*(COUNTIF(K$11:K$1000,K96)-1))</f>
        <v>5.24109589041098</v>
      </c>
      <c r="K96" s="1" t="n">
        <v>2</v>
      </c>
      <c r="L96" s="1" t="n">
        <f aca="false">IF(M96=M95,L95+L$1,L$3-0.5*L$1*(COUNTIF(M$11:M$1000,M96)-1))</f>
        <v>6.11052631578945</v>
      </c>
      <c r="M96" s="1" t="n">
        <v>2</v>
      </c>
      <c r="O96" s="1" t="n">
        <f aca="false">IF(P96=P95,O95+O$1,O$3-0.5*O$1*(COUNTIF(P$11:P$1000,P96)-1))</f>
        <v>1.0140350877193</v>
      </c>
      <c r="P96" s="1" t="n">
        <v>2</v>
      </c>
      <c r="Q96" s="1" t="n">
        <f aca="false">IF(R96=R95,Q95+Q$1,Q$3-0.5*Q$1*(COUNTIF(R$11:R$1000,R96)-1))</f>
        <v>1.8047619047619</v>
      </c>
      <c r="R96" s="1" t="n">
        <v>2</v>
      </c>
      <c r="S96" s="1" t="n">
        <f aca="false">IF(T96=T95,S95+S$1,S$3-0.5*S$1*(COUNTIF(T$11:T$1000,T96)-1))</f>
        <v>3.00727272727273</v>
      </c>
      <c r="T96" s="1" t="n">
        <v>3</v>
      </c>
      <c r="U96" s="1" t="n">
        <f aca="false">IF(V96=V95,U95+U$1,U$3-0.5*U$1*(COUNTIF(V$11:V$1000,V96)-1))</f>
        <v>3.97647058823529</v>
      </c>
      <c r="V96" s="1" t="n">
        <v>3</v>
      </c>
      <c r="W96" s="1" t="n">
        <f aca="false">IF(X96=X95,W95+W$1,W$3-0.5*W$1*(COUNTIF(X$11:X$1000,X96)-1))</f>
        <v>4.98974358974359</v>
      </c>
      <c r="X96" s="1" t="n">
        <v>4</v>
      </c>
      <c r="Y96" s="1" t="n">
        <f aca="false">IF(Z96=Z95,Y95+Y$1,Y$3-0.5*Y$1*(COUNTIF(Z$11:Z$1000,Z96)-1))</f>
        <v>5.95897435897436</v>
      </c>
      <c r="Z96" s="1" t="n">
        <v>4</v>
      </c>
      <c r="AB96" s="1" t="n">
        <v>86</v>
      </c>
      <c r="AC96" s="1" t="n">
        <f aca="false">IF(AD96=AD95,AC95+AC$1,AC$3-0.5*AC$1*(COUNTIF(AD$11:AD$1000,AD96)-1))</f>
        <v>1.30857142857143</v>
      </c>
      <c r="AD96" s="1" t="n">
        <v>1</v>
      </c>
      <c r="AE96" s="1" t="n">
        <f aca="false">IF(AF96=AF95,AE95+AE$1,AE$3-0.5*AE$1*(COUNTIF(AF$11:AF$1000,AF96)-1))</f>
        <v>2.33076923076923</v>
      </c>
      <c r="AF96" s="1" t="n">
        <v>2</v>
      </c>
      <c r="AG96" s="1" t="n">
        <f aca="false">IF(AH96=AH95,AG95+AG$1,AG$3-0.5*AG$1*(COUNTIF(AH$11:AH$1000,AH96)-1))</f>
        <v>2.87169811320755</v>
      </c>
      <c r="AH96" s="1" t="n">
        <v>3</v>
      </c>
      <c r="AI96" s="1" t="n">
        <f aca="false">IF(AJ96=AJ95,AI95+AI$1,AI$3-0.5*AI$1*(COUNTIF(AJ$11:AJ$1000,AJ96)-1))</f>
        <v>4.29714285714286</v>
      </c>
      <c r="AJ96" s="1" t="n">
        <v>4</v>
      </c>
      <c r="AK96" s="1" t="n">
        <f aca="false">IF(AL96=AL95,AK95+AK$1,AK$3-0.5*AK$1*(COUNTIF(AL$11:AL$1000,AL96)-1))</f>
        <v>4.74237288135593</v>
      </c>
      <c r="AL96" s="1" t="n">
        <v>4</v>
      </c>
      <c r="AN96" s="1" t="n">
        <f aca="false">IF(AO96=AO95,AN95+AN$1,AN$3-0.5*AN$1*(COUNTIF(AO$11:AO$1000,AO96)-1))</f>
        <v>0.657692307692307</v>
      </c>
      <c r="AO96" s="1" t="n">
        <v>2</v>
      </c>
      <c r="AP96" s="1" t="n">
        <f aca="false">IF(AQ96=AQ95,AP95+AP$1,AP$3-0.5*AP$1*(COUNTIF(AQ$11:AQ$1000,AQ96)-1))</f>
        <v>2.03404255319149</v>
      </c>
      <c r="AQ96" s="1" t="n">
        <v>3</v>
      </c>
      <c r="AR96" s="1" t="n">
        <f aca="false">IF(AS96=AS95,AR95+AR$1,AR$3-0.5*AR$1*(COUNTIF(AS$11:AS$1000,AS96)-1))</f>
        <v>2.75757575757576</v>
      </c>
      <c r="AS96" s="1" t="n">
        <v>5</v>
      </c>
      <c r="AT96" s="1" t="n">
        <f aca="false">IF(AU96=AU95,AT95+AT$1,AT$3-0.5*AT$1*(COUNTIF(AU$11:AU$1000,AU96)-1))</f>
        <v>4.10434782608695</v>
      </c>
      <c r="AU96" s="1" t="n">
        <v>8</v>
      </c>
      <c r="AV96" s="1" t="n">
        <f aca="false">IF(AW96=AW95,AV95+AV$1,AV$3-0.5*AV$1*(COUNTIF(AW$11:AW$1000,AW96)-1))</f>
        <v>4.95714285714286</v>
      </c>
      <c r="AW96" s="1" t="n">
        <v>8</v>
      </c>
      <c r="AY96" s="1" t="n">
        <v>86</v>
      </c>
    </row>
    <row r="97" customFormat="false" ht="16" hidden="false" customHeight="false" outlineLevel="0" collapsed="false">
      <c r="A97" s="1" t="n">
        <v>87</v>
      </c>
      <c r="B97" s="1" t="n">
        <f aca="false">IF(C97=C96,B96+B$1,B$3-0.5*B$1*(COUNTIF(C$11:C$1000,C97)-1))</f>
        <v>1.0280701754386</v>
      </c>
      <c r="C97" s="1" t="n">
        <v>2</v>
      </c>
      <c r="D97" s="1" t="n">
        <f aca="false">IF(E97=E96,D96+D$1,D$3-0.5*D$1*(COUNTIF(E$11:E$1000,E97)-1))</f>
        <v>1.74939759036145</v>
      </c>
      <c r="E97" s="1" t="n">
        <v>2</v>
      </c>
      <c r="F97" s="1" t="n">
        <f aca="false">IF(G97=G96,F96+F$1,F$3-0.5*F$1*(COUNTIF(G$11:G$1000,G97)-1))</f>
        <v>3.28125000000001</v>
      </c>
      <c r="G97" s="1" t="n">
        <v>2</v>
      </c>
      <c r="H97" s="1" t="n">
        <f aca="false">IF(I97=I96,H96+H$1,H$3-0.5*H$1*(COUNTIF(I$11:I$1000,I97)-1))</f>
        <v>4.03030303030303</v>
      </c>
      <c r="I97" s="1" t="n">
        <v>2</v>
      </c>
      <c r="J97" s="1" t="n">
        <f aca="false">IF(K97=K96,J96+J$1,J$3-0.5*J$1*(COUNTIF(K$11:K$1000,K97)-1))</f>
        <v>5.25205479452057</v>
      </c>
      <c r="K97" s="1" t="n">
        <v>2</v>
      </c>
      <c r="L97" s="1" t="n">
        <f aca="false">IF(M97=M96,L96+L$1,L$3-0.5*L$1*(COUNTIF(M$11:M$1000,M97)-1))</f>
        <v>6.12105263157893</v>
      </c>
      <c r="M97" s="1" t="n">
        <v>2</v>
      </c>
      <c r="O97" s="1" t="n">
        <f aca="false">IF(P97=P96,O96+O$1,O$3-0.5*O$1*(COUNTIF(P$11:P$1000,P97)-1))</f>
        <v>1.0280701754386</v>
      </c>
      <c r="P97" s="1" t="n">
        <v>2</v>
      </c>
      <c r="Q97" s="1" t="n">
        <f aca="false">IF(R97=R96,Q96+Q$1,Q$3-0.5*Q$1*(COUNTIF(R$11:R$1000,R97)-1))</f>
        <v>1.81428571428571</v>
      </c>
      <c r="R97" s="1" t="n">
        <v>2</v>
      </c>
      <c r="S97" s="1" t="n">
        <f aca="false">IF(T97=T96,S96+S$1,S$3-0.5*S$1*(COUNTIF(T$11:T$1000,T97)-1))</f>
        <v>3.02181818181818</v>
      </c>
      <c r="T97" s="1" t="n">
        <v>3</v>
      </c>
      <c r="U97" s="1" t="n">
        <f aca="false">IF(V97=V96,U96+U$1,U$3-0.5*U$1*(COUNTIF(V$11:V$1000,V97)-1))</f>
        <v>3.9921568627451</v>
      </c>
      <c r="V97" s="1" t="n">
        <v>3</v>
      </c>
      <c r="W97" s="1" t="n">
        <f aca="false">IF(X97=X96,W96+W$1,W$3-0.5*W$1*(COUNTIF(X$11:X$1000,X97)-1))</f>
        <v>5.01025641025641</v>
      </c>
      <c r="X97" s="1" t="n">
        <v>4</v>
      </c>
      <c r="Y97" s="1" t="n">
        <f aca="false">IF(Z97=Z96,Y96+Y$1,Y$3-0.5*Y$1*(COUNTIF(Z$11:Z$1000,Z97)-1))</f>
        <v>5.97948717948718</v>
      </c>
      <c r="Z97" s="1" t="n">
        <v>4</v>
      </c>
      <c r="AB97" s="1" t="n">
        <v>87</v>
      </c>
      <c r="AC97" s="1" t="n">
        <f aca="false">IF(AD97=AD96,AC96+AC$1,AC$3-0.5*AC$1*(COUNTIF(AD$11:AD$1000,AD97)-1))</f>
        <v>1.31619047619048</v>
      </c>
      <c r="AD97" s="1" t="n">
        <v>1</v>
      </c>
      <c r="AE97" s="1" t="n">
        <f aca="false">IF(AF97=AF96,AE96+AE$1,AE$3-0.5*AE$1*(COUNTIF(AF$11:AF$1000,AF97)-1))</f>
        <v>2.34615384615384</v>
      </c>
      <c r="AF97" s="1" t="n">
        <v>2</v>
      </c>
      <c r="AG97" s="1" t="n">
        <f aca="false">IF(AH97=AH96,AG96+AG$1,AG$3-0.5*AG$1*(COUNTIF(AH$11:AH$1000,AH97)-1))</f>
        <v>2.88679245283019</v>
      </c>
      <c r="AH97" s="1" t="n">
        <v>3</v>
      </c>
      <c r="AI97" s="1" t="n">
        <f aca="false">IF(AJ97=AJ96,AI96+AI$1,AI$3-0.5*AI$1*(COUNTIF(AJ$11:AJ$1000,AJ97)-1))</f>
        <v>4.32</v>
      </c>
      <c r="AJ97" s="1" t="n">
        <v>4</v>
      </c>
      <c r="AK97" s="1" t="n">
        <f aca="false">IF(AL97=AL96,AK96+AK$1,AK$3-0.5*AK$1*(COUNTIF(AL$11:AL$1000,AL97)-1))</f>
        <v>4.75593220338983</v>
      </c>
      <c r="AL97" s="1" t="n">
        <v>4</v>
      </c>
      <c r="AN97" s="1" t="n">
        <f aca="false">IF(AO97=AO96,AN96+AN$1,AN$3-0.5*AN$1*(COUNTIF(AO$11:AO$1000,AO97)-1))</f>
        <v>0.665384615384615</v>
      </c>
      <c r="AO97" s="1" t="n">
        <v>2</v>
      </c>
      <c r="AP97" s="1" t="n">
        <f aca="false">IF(AQ97=AQ96,AP96+AP$1,AP$3-0.5*AP$1*(COUNTIF(AQ$11:AQ$1000,AQ97)-1))</f>
        <v>2.05106382978723</v>
      </c>
      <c r="AQ97" s="1" t="n">
        <v>3</v>
      </c>
      <c r="AR97" s="1" t="n">
        <f aca="false">IF(AS97=AS96,AR96+AR$1,AR$3-0.5*AR$1*(COUNTIF(AS$11:AS$1000,AS97)-1))</f>
        <v>2.78181818181818</v>
      </c>
      <c r="AS97" s="1" t="n">
        <v>5</v>
      </c>
      <c r="AT97" s="1" t="n">
        <f aca="false">IF(AU97=AU96,AT96+AT$1,AT$3-0.5*AT$1*(COUNTIF(AU$11:AU$1000,AU97)-1))</f>
        <v>4.13913043478261</v>
      </c>
      <c r="AU97" s="1" t="n">
        <v>8</v>
      </c>
      <c r="AV97" s="1" t="n">
        <f aca="false">IF(AW97=AW96,AV96+AV$1,AV$3-0.5*AV$1*(COUNTIF(AW$11:AW$1000,AW97)-1))</f>
        <v>4.98571428571429</v>
      </c>
      <c r="AW97" s="1" t="n">
        <v>8</v>
      </c>
      <c r="AY97" s="1" t="n">
        <v>87</v>
      </c>
    </row>
    <row r="98" customFormat="false" ht="16" hidden="false" customHeight="false" outlineLevel="0" collapsed="false">
      <c r="A98" s="1" t="n">
        <v>88</v>
      </c>
      <c r="B98" s="1" t="n">
        <f aca="false">IF(C98=C97,B97+B$1,B$3-0.5*B$1*(COUNTIF(C$11:C$1000,C98)-1))</f>
        <v>1.0421052631579</v>
      </c>
      <c r="C98" s="1" t="n">
        <v>2</v>
      </c>
      <c r="D98" s="1" t="n">
        <f aca="false">IF(E98=E97,D97+D$1,D$3-0.5*D$1*(COUNTIF(E$11:E$1000,E98)-1))</f>
        <v>1.75903614457831</v>
      </c>
      <c r="E98" s="1" t="n">
        <v>2</v>
      </c>
      <c r="F98" s="1" t="n">
        <f aca="false">IF(G98=G97,F97+F$1,F$3-0.5*F$1*(COUNTIF(G$11:G$1000,G98)-1))</f>
        <v>3.29375000000001</v>
      </c>
      <c r="G98" s="1" t="n">
        <v>2</v>
      </c>
      <c r="H98" s="1" t="n">
        <f aca="false">IF(I98=I97,H97+H$1,H$3-0.5*H$1*(COUNTIF(I$11:I$1000,I98)-1))</f>
        <v>4.04242424242424</v>
      </c>
      <c r="I98" s="1" t="n">
        <v>2</v>
      </c>
      <c r="J98" s="1" t="n">
        <f aca="false">IF(K98=K97,J97+J$1,J$3-0.5*J$1*(COUNTIF(K$11:K$1000,K98)-1))</f>
        <v>5.26301369863016</v>
      </c>
      <c r="K98" s="1" t="n">
        <v>2</v>
      </c>
      <c r="L98" s="1" t="n">
        <f aca="false">IF(M98=M97,L97+L$1,L$3-0.5*L$1*(COUNTIF(M$11:M$1000,M98)-1))</f>
        <v>6.1315789473684</v>
      </c>
      <c r="M98" s="1" t="n">
        <v>2</v>
      </c>
      <c r="O98" s="1" t="n">
        <f aca="false">IF(P98=P97,O97+O$1,O$3-0.5*O$1*(COUNTIF(P$11:P$1000,P98)-1))</f>
        <v>1.0421052631579</v>
      </c>
      <c r="P98" s="1" t="n">
        <v>2</v>
      </c>
      <c r="Q98" s="1" t="n">
        <f aca="false">IF(R98=R97,Q97+Q$1,Q$3-0.5*Q$1*(COUNTIF(R$11:R$1000,R98)-1))</f>
        <v>1.82380952380952</v>
      </c>
      <c r="R98" s="1" t="n">
        <v>2</v>
      </c>
      <c r="S98" s="1" t="n">
        <f aca="false">IF(T98=T97,S97+S$1,S$3-0.5*S$1*(COUNTIF(T$11:T$1000,T98)-1))</f>
        <v>3.03636363636364</v>
      </c>
      <c r="T98" s="1" t="n">
        <v>3</v>
      </c>
      <c r="U98" s="1" t="n">
        <f aca="false">IF(V98=V97,U97+U$1,U$3-0.5*U$1*(COUNTIF(V$11:V$1000,V98)-1))</f>
        <v>4.0078431372549</v>
      </c>
      <c r="V98" s="1" t="n">
        <v>3</v>
      </c>
      <c r="W98" s="1" t="n">
        <f aca="false">IF(X98=X97,W97+W$1,W$3-0.5*W$1*(COUNTIF(X$11:X$1000,X98)-1))</f>
        <v>5.03076923076923</v>
      </c>
      <c r="X98" s="1" t="n">
        <v>4</v>
      </c>
      <c r="Y98" s="1" t="n">
        <f aca="false">IF(Z98=Z97,Y97+Y$1,Y$3-0.5*Y$1*(COUNTIF(Z$11:Z$1000,Z98)-1))</f>
        <v>6</v>
      </c>
      <c r="Z98" s="1" t="n">
        <v>4</v>
      </c>
      <c r="AB98" s="1" t="n">
        <v>88</v>
      </c>
      <c r="AC98" s="1" t="n">
        <f aca="false">IF(AD98=AD97,AC97+AC$1,AC$3-0.5*AC$1*(COUNTIF(AD$11:AD$1000,AD98)-1))</f>
        <v>1.32380952380953</v>
      </c>
      <c r="AD98" s="1" t="n">
        <v>1</v>
      </c>
      <c r="AE98" s="1" t="n">
        <f aca="false">IF(AF98=AF97,AE97+AE$1,AE$3-0.5*AE$1*(COUNTIF(AF$11:AF$1000,AF98)-1))</f>
        <v>2.36153846153846</v>
      </c>
      <c r="AF98" s="1" t="n">
        <v>2</v>
      </c>
      <c r="AG98" s="1" t="n">
        <f aca="false">IF(AH98=AH97,AG97+AG$1,AG$3-0.5*AG$1*(COUNTIF(AH$11:AH$1000,AH98)-1))</f>
        <v>2.90188679245283</v>
      </c>
      <c r="AH98" s="1" t="n">
        <v>3</v>
      </c>
      <c r="AI98" s="1" t="n">
        <f aca="false">IF(AJ98=AJ97,AI97+AI$1,AI$3-0.5*AI$1*(COUNTIF(AJ$11:AJ$1000,AJ98)-1))</f>
        <v>3.90857142857143</v>
      </c>
      <c r="AJ98" s="1" t="n">
        <v>5</v>
      </c>
      <c r="AK98" s="1" t="n">
        <f aca="false">IF(AL98=AL97,AK97+AK$1,AK$3-0.5*AK$1*(COUNTIF(AL$11:AL$1000,AL98)-1))</f>
        <v>4.76949152542373</v>
      </c>
      <c r="AL98" s="1" t="n">
        <v>4</v>
      </c>
      <c r="AN98" s="1" t="n">
        <f aca="false">IF(AO98=AO97,AN97+AN$1,AN$3-0.5*AN$1*(COUNTIF(AO$11:AO$1000,AO98)-1))</f>
        <v>0.673076923076923</v>
      </c>
      <c r="AO98" s="1" t="n">
        <v>2</v>
      </c>
      <c r="AP98" s="1" t="n">
        <f aca="false">IF(AQ98=AQ97,AP97+AP$1,AP$3-0.5*AP$1*(COUNTIF(AQ$11:AQ$1000,AQ98)-1))</f>
        <v>2.06808510638298</v>
      </c>
      <c r="AQ98" s="1" t="n">
        <v>3</v>
      </c>
      <c r="AR98" s="1" t="n">
        <f aca="false">IF(AS98=AS97,AR97+AR$1,AR$3-0.5*AR$1*(COUNTIF(AS$11:AS$1000,AS98)-1))</f>
        <v>2.80606060606061</v>
      </c>
      <c r="AS98" s="1" t="n">
        <v>5</v>
      </c>
      <c r="AT98" s="1" t="n">
        <f aca="false">IF(AU98=AU97,AT97+AT$1,AT$3-0.5*AT$1*(COUNTIF(AU$11:AU$1000,AU98)-1))</f>
        <v>4.17391304347826</v>
      </c>
      <c r="AU98" s="1" t="n">
        <v>8</v>
      </c>
      <c r="AV98" s="1" t="n">
        <f aca="false">IF(AW98=AW97,AV97+AV$1,AV$3-0.5*AV$1*(COUNTIF(AW$11:AW$1000,AW98)-1))</f>
        <v>5.01428571428571</v>
      </c>
      <c r="AW98" s="1" t="n">
        <v>8</v>
      </c>
      <c r="AY98" s="1" t="n">
        <v>88</v>
      </c>
    </row>
    <row r="99" customFormat="false" ht="16" hidden="false" customHeight="false" outlineLevel="0" collapsed="false">
      <c r="A99" s="1" t="n">
        <v>89</v>
      </c>
      <c r="B99" s="1" t="n">
        <f aca="false">IF(C99=C98,B98+B$1,B$3-0.5*B$1*(COUNTIF(C$11:C$1000,C99)-1))</f>
        <v>1.05614035087719</v>
      </c>
      <c r="C99" s="1" t="n">
        <v>2</v>
      </c>
      <c r="D99" s="1" t="n">
        <f aca="false">IF(E99=E98,D98+D$1,D$3-0.5*D$1*(COUNTIF(E$11:E$1000,E99)-1))</f>
        <v>1.76867469879518</v>
      </c>
      <c r="E99" s="1" t="n">
        <v>2</v>
      </c>
      <c r="F99" s="1" t="n">
        <f aca="false">IF(G99=G98,F98+F$1,F$3-0.5*F$1*(COUNTIF(G$11:G$1000,G99)-1))</f>
        <v>3.30625000000001</v>
      </c>
      <c r="G99" s="1" t="n">
        <v>2</v>
      </c>
      <c r="H99" s="1" t="n">
        <f aca="false">IF(I99=I98,H98+H$1,H$3-0.5*H$1*(COUNTIF(I$11:I$1000,I99)-1))</f>
        <v>4.05454545454546</v>
      </c>
      <c r="I99" s="1" t="n">
        <v>2</v>
      </c>
      <c r="J99" s="1" t="n">
        <f aca="false">IF(K99=K98,J98+J$1,J$3-0.5*J$1*(COUNTIF(K$11:K$1000,K99)-1))</f>
        <v>5.27397260273975</v>
      </c>
      <c r="K99" s="1" t="n">
        <v>2</v>
      </c>
      <c r="L99" s="1" t="n">
        <f aca="false">IF(M99=M98,L98+L$1,L$3-0.5*L$1*(COUNTIF(M$11:M$1000,M99)-1))</f>
        <v>6.14210526315787</v>
      </c>
      <c r="M99" s="1" t="n">
        <v>2</v>
      </c>
      <c r="O99" s="1" t="n">
        <f aca="false">IF(P99=P98,O98+O$1,O$3-0.5*O$1*(COUNTIF(P$11:P$1000,P99)-1))</f>
        <v>1.05614035087719</v>
      </c>
      <c r="P99" s="1" t="n">
        <v>2</v>
      </c>
      <c r="Q99" s="1" t="n">
        <f aca="false">IF(R99=R98,Q98+Q$1,Q$3-0.5*Q$1*(COUNTIF(R$11:R$1000,R99)-1))</f>
        <v>1.83333333333333</v>
      </c>
      <c r="R99" s="1" t="n">
        <v>2</v>
      </c>
      <c r="S99" s="1" t="n">
        <f aca="false">IF(T99=T98,S98+S$1,S$3-0.5*S$1*(COUNTIF(T$11:T$1000,T99)-1))</f>
        <v>3.05090909090909</v>
      </c>
      <c r="T99" s="1" t="n">
        <v>3</v>
      </c>
      <c r="U99" s="1" t="n">
        <f aca="false">IF(V99=V98,U98+U$1,U$3-0.5*U$1*(COUNTIF(V$11:V$1000,V99)-1))</f>
        <v>4.02352941176471</v>
      </c>
      <c r="V99" s="1" t="n">
        <v>3</v>
      </c>
      <c r="W99" s="1" t="n">
        <f aca="false">IF(X99=X98,W98+W$1,W$3-0.5*W$1*(COUNTIF(X$11:X$1000,X99)-1))</f>
        <v>5.05128205128205</v>
      </c>
      <c r="X99" s="1" t="n">
        <v>4</v>
      </c>
      <c r="Y99" s="1" t="n">
        <f aca="false">IF(Z99=Z98,Y98+Y$1,Y$3-0.5*Y$1*(COUNTIF(Z$11:Z$1000,Z99)-1))</f>
        <v>6.02051282051282</v>
      </c>
      <c r="Z99" s="1" t="n">
        <v>4</v>
      </c>
      <c r="AB99" s="1" t="n">
        <v>89</v>
      </c>
      <c r="AC99" s="1" t="n">
        <f aca="false">IF(AD99=AD98,AC98+AC$1,AC$3-0.5*AC$1*(COUNTIF(AD$11:AD$1000,AD99)-1))</f>
        <v>1.33142857142857</v>
      </c>
      <c r="AD99" s="1" t="n">
        <v>1</v>
      </c>
      <c r="AE99" s="1" t="n">
        <f aca="false">IF(AF99=AF98,AE98+AE$1,AE$3-0.5*AE$1*(COUNTIF(AF$11:AF$1000,AF99)-1))</f>
        <v>2.37692307692307</v>
      </c>
      <c r="AF99" s="1" t="n">
        <v>2</v>
      </c>
      <c r="AG99" s="1" t="n">
        <f aca="false">IF(AH99=AH98,AG98+AG$1,AG$3-0.5*AG$1*(COUNTIF(AH$11:AH$1000,AH99)-1))</f>
        <v>2.91698113207547</v>
      </c>
      <c r="AH99" s="1" t="n">
        <v>3</v>
      </c>
      <c r="AI99" s="1" t="n">
        <f aca="false">IF(AJ99=AJ98,AI98+AI$1,AI$3-0.5*AI$1*(COUNTIF(AJ$11:AJ$1000,AJ99)-1))</f>
        <v>3.93142857142857</v>
      </c>
      <c r="AJ99" s="1" t="n">
        <v>5</v>
      </c>
      <c r="AK99" s="1" t="n">
        <f aca="false">IF(AL99=AL98,AK98+AK$1,AK$3-0.5*AK$1*(COUNTIF(AL$11:AL$1000,AL99)-1))</f>
        <v>4.78305084745763</v>
      </c>
      <c r="AL99" s="1" t="n">
        <v>4</v>
      </c>
      <c r="AN99" s="1" t="n">
        <f aca="false">IF(AO99=AO98,AN98+AN$1,AN$3-0.5*AN$1*(COUNTIF(AO$11:AO$1000,AO99)-1))</f>
        <v>0.68076923076923</v>
      </c>
      <c r="AO99" s="1" t="n">
        <v>2</v>
      </c>
      <c r="AP99" s="1" t="n">
        <f aca="false">IF(AQ99=AQ98,AP98+AP$1,AP$3-0.5*AP$1*(COUNTIF(AQ$11:AQ$1000,AQ99)-1))</f>
        <v>2.08510638297872</v>
      </c>
      <c r="AQ99" s="1" t="n">
        <v>3</v>
      </c>
      <c r="AR99" s="1" t="n">
        <f aca="false">IF(AS99=AS98,AR98+AR$1,AR$3-0.5*AR$1*(COUNTIF(AS$11:AS$1000,AS99)-1))</f>
        <v>2.83030303030303</v>
      </c>
      <c r="AS99" s="1" t="n">
        <v>5</v>
      </c>
      <c r="AT99" s="1" t="n">
        <f aca="false">IF(AU99=AU98,AT98+AT$1,AT$3-0.5*AT$1*(COUNTIF(AU$11:AU$1000,AU99)-1))</f>
        <v>4.20869565217391</v>
      </c>
      <c r="AU99" s="1" t="n">
        <v>8</v>
      </c>
      <c r="AV99" s="1" t="n">
        <f aca="false">IF(AW99=AW98,AV98+AV$1,AV$3-0.5*AV$1*(COUNTIF(AW$11:AW$1000,AW99)-1))</f>
        <v>5.04285714285714</v>
      </c>
      <c r="AW99" s="1" t="n">
        <v>8</v>
      </c>
      <c r="AY99" s="1" t="n">
        <v>89</v>
      </c>
    </row>
    <row r="100" customFormat="false" ht="16" hidden="false" customHeight="false" outlineLevel="0" collapsed="false">
      <c r="A100" s="1" t="n">
        <v>90</v>
      </c>
      <c r="B100" s="1" t="n">
        <f aca="false">IF(C100=C99,B99+B$1,B$3-0.5*B$1*(COUNTIF(C$11:C$1000,C100)-1))</f>
        <v>1.07017543859649</v>
      </c>
      <c r="C100" s="1" t="n">
        <v>2</v>
      </c>
      <c r="D100" s="1" t="n">
        <f aca="false">IF(E100=E99,D99+D$1,D$3-0.5*D$1*(COUNTIF(E$11:E$1000,E100)-1))</f>
        <v>1.77831325301205</v>
      </c>
      <c r="E100" s="1" t="n">
        <v>2</v>
      </c>
      <c r="F100" s="1" t="n">
        <f aca="false">IF(G100=G99,F99+F$1,F$3-0.5*F$1*(COUNTIF(G$11:G$1000,G100)-1))</f>
        <v>3.31875000000001</v>
      </c>
      <c r="G100" s="1" t="n">
        <v>2</v>
      </c>
      <c r="H100" s="1" t="n">
        <f aca="false">IF(I100=I99,H99+H$1,H$3-0.5*H$1*(COUNTIF(I$11:I$1000,I100)-1))</f>
        <v>4.06666666666667</v>
      </c>
      <c r="I100" s="1" t="n">
        <v>2</v>
      </c>
      <c r="J100" s="1" t="n">
        <f aca="false">IF(K100=K99,J99+J$1,J$3-0.5*J$1*(COUNTIF(K$11:K$1000,K100)-1))</f>
        <v>5.28493150684934</v>
      </c>
      <c r="K100" s="1" t="n">
        <v>2</v>
      </c>
      <c r="L100" s="1" t="n">
        <f aca="false">IF(M100=M99,L99+L$1,L$3-0.5*L$1*(COUNTIF(M$11:M$1000,M100)-1))</f>
        <v>6.15263157894735</v>
      </c>
      <c r="M100" s="1" t="n">
        <v>2</v>
      </c>
      <c r="O100" s="1" t="n">
        <f aca="false">IF(P100=P99,O99+O$1,O$3-0.5*O$1*(COUNTIF(P$11:P$1000,P100)-1))</f>
        <v>1.07017543859649</v>
      </c>
      <c r="P100" s="1" t="n">
        <v>2</v>
      </c>
      <c r="Q100" s="1" t="n">
        <f aca="false">IF(R100=R99,Q99+Q$1,Q$3-0.5*Q$1*(COUNTIF(R$11:R$1000,R100)-1))</f>
        <v>1.84285714285714</v>
      </c>
      <c r="R100" s="1" t="n">
        <v>2</v>
      </c>
      <c r="S100" s="1" t="n">
        <f aca="false">IF(T100=T99,S99+S$1,S$3-0.5*S$1*(COUNTIF(T$11:T$1000,T100)-1))</f>
        <v>3.06545454545455</v>
      </c>
      <c r="T100" s="1" t="n">
        <v>3</v>
      </c>
      <c r="U100" s="1" t="n">
        <f aca="false">IF(V100=V99,U99+U$1,U$3-0.5*U$1*(COUNTIF(V$11:V$1000,V100)-1))</f>
        <v>4.03921568627451</v>
      </c>
      <c r="V100" s="1" t="n">
        <v>3</v>
      </c>
      <c r="W100" s="1" t="n">
        <f aca="false">IF(X100=X99,W99+W$1,W$3-0.5*W$1*(COUNTIF(X$11:X$1000,X100)-1))</f>
        <v>5.07179487179487</v>
      </c>
      <c r="X100" s="1" t="n">
        <v>4</v>
      </c>
      <c r="Y100" s="1" t="n">
        <f aca="false">IF(Z100=Z99,Y99+Y$1,Y$3-0.5*Y$1*(COUNTIF(Z$11:Z$1000,Z100)-1))</f>
        <v>6.04102564102564</v>
      </c>
      <c r="Z100" s="1" t="n">
        <v>4</v>
      </c>
      <c r="AB100" s="1" t="n">
        <v>90</v>
      </c>
      <c r="AC100" s="1" t="n">
        <f aca="false">IF(AD100=AD99,AC99+AC$1,AC$3-0.5*AC$1*(COUNTIF(AD$11:AD$1000,AD100)-1))</f>
        <v>1.33904761904762</v>
      </c>
      <c r="AD100" s="1" t="n">
        <v>1</v>
      </c>
      <c r="AE100" s="1" t="n">
        <f aca="false">IF(AF100=AF99,AE99+AE$1,AE$3-0.5*AE$1*(COUNTIF(AF$11:AF$1000,AF100)-1))</f>
        <v>2.39230769230769</v>
      </c>
      <c r="AF100" s="1" t="n">
        <v>2</v>
      </c>
      <c r="AG100" s="1" t="n">
        <f aca="false">IF(AH100=AH99,AG99+AG$1,AG$3-0.5*AG$1*(COUNTIF(AH$11:AH$1000,AH100)-1))</f>
        <v>2.93207547169811</v>
      </c>
      <c r="AH100" s="1" t="n">
        <v>3</v>
      </c>
      <c r="AI100" s="1" t="n">
        <f aca="false">IF(AJ100=AJ99,AI99+AI$1,AI$3-0.5*AI$1*(COUNTIF(AJ$11:AJ$1000,AJ100)-1))</f>
        <v>3.95428571428571</v>
      </c>
      <c r="AJ100" s="1" t="n">
        <v>5</v>
      </c>
      <c r="AK100" s="1" t="n">
        <f aca="false">IF(AL100=AL99,AK99+AK$1,AK$3-0.5*AK$1*(COUNTIF(AL$11:AL$1000,AL100)-1))</f>
        <v>4.79661016949152</v>
      </c>
      <c r="AL100" s="1" t="n">
        <v>4</v>
      </c>
      <c r="AN100" s="1" t="n">
        <f aca="false">IF(AO100=AO99,AN99+AN$1,AN$3-0.5*AN$1*(COUNTIF(AO$11:AO$1000,AO100)-1))</f>
        <v>0.688461538461538</v>
      </c>
      <c r="AO100" s="1" t="n">
        <v>2</v>
      </c>
      <c r="AP100" s="1" t="n">
        <f aca="false">IF(AQ100=AQ99,AP99+AP$1,AP$3-0.5*AP$1*(COUNTIF(AQ$11:AQ$1000,AQ100)-1))</f>
        <v>2.10212765957447</v>
      </c>
      <c r="AQ100" s="1" t="n">
        <v>3</v>
      </c>
      <c r="AR100" s="1" t="n">
        <f aca="false">IF(AS100=AS99,AR99+AR$1,AR$3-0.5*AR$1*(COUNTIF(AS$11:AS$1000,AS100)-1))</f>
        <v>2.85454545454546</v>
      </c>
      <c r="AS100" s="1" t="n">
        <v>5</v>
      </c>
      <c r="AT100" s="1" t="n">
        <f aca="false">IF(AU100=AU99,AT99+AT$1,AT$3-0.5*AT$1*(COUNTIF(AU$11:AU$1000,AU100)-1))</f>
        <v>4.24347826086956</v>
      </c>
      <c r="AU100" s="1" t="n">
        <v>8</v>
      </c>
      <c r="AV100" s="1" t="n">
        <f aca="false">IF(AW100=AW99,AV99+AV$1,AV$3-0.5*AV$1*(COUNTIF(AW$11:AW$1000,AW100)-1))</f>
        <v>5.07142857142857</v>
      </c>
      <c r="AW100" s="1" t="n">
        <v>8</v>
      </c>
      <c r="AY100" s="1" t="n">
        <v>90</v>
      </c>
    </row>
    <row r="101" customFormat="false" ht="16" hidden="false" customHeight="false" outlineLevel="0" collapsed="false">
      <c r="A101" s="1" t="n">
        <v>91</v>
      </c>
      <c r="B101" s="1" t="n">
        <f aca="false">IF(C101=C100,B100+B$1,B$3-0.5*B$1*(COUNTIF(C$11:C$1000,C101)-1))</f>
        <v>1.08421052631579</v>
      </c>
      <c r="C101" s="1" t="n">
        <v>2</v>
      </c>
      <c r="D101" s="1" t="n">
        <f aca="false">IF(E101=E100,D100+D$1,D$3-0.5*D$1*(COUNTIF(E$11:E$1000,E101)-1))</f>
        <v>1.78795180722892</v>
      </c>
      <c r="E101" s="1" t="n">
        <v>2</v>
      </c>
      <c r="F101" s="1" t="n">
        <f aca="false">IF(G101=G100,F100+F$1,F$3-0.5*F$1*(COUNTIF(G$11:G$1000,G101)-1))</f>
        <v>3.33125000000001</v>
      </c>
      <c r="G101" s="1" t="n">
        <v>2</v>
      </c>
      <c r="H101" s="1" t="n">
        <f aca="false">IF(I101=I100,H100+H$1,H$3-0.5*H$1*(COUNTIF(I$11:I$1000,I101)-1))</f>
        <v>4.07878787878788</v>
      </c>
      <c r="I101" s="1" t="n">
        <v>2</v>
      </c>
      <c r="J101" s="1" t="n">
        <f aca="false">IF(K101=K100,J100+J$1,J$3-0.5*J$1*(COUNTIF(K$11:K$1000,K101)-1))</f>
        <v>5.29589041095893</v>
      </c>
      <c r="K101" s="1" t="n">
        <v>2</v>
      </c>
      <c r="L101" s="1" t="n">
        <f aca="false">IF(M101=M100,L100+L$1,L$3-0.5*L$1*(COUNTIF(M$11:M$1000,M101)-1))</f>
        <v>6.16315789473682</v>
      </c>
      <c r="M101" s="1" t="n">
        <v>2</v>
      </c>
      <c r="O101" s="1" t="n">
        <f aca="false">IF(P101=P100,O100+O$1,O$3-0.5*O$1*(COUNTIF(P$11:P$1000,P101)-1))</f>
        <v>1.08421052631579</v>
      </c>
      <c r="P101" s="1" t="n">
        <v>2</v>
      </c>
      <c r="Q101" s="1" t="n">
        <f aca="false">IF(R101=R100,Q100+Q$1,Q$3-0.5*Q$1*(COUNTIF(R$11:R$1000,R101)-1))</f>
        <v>1.85238095238095</v>
      </c>
      <c r="R101" s="1" t="n">
        <v>2</v>
      </c>
      <c r="S101" s="1" t="n">
        <f aca="false">IF(T101=T100,S100+S$1,S$3-0.5*S$1*(COUNTIF(T$11:T$1000,T101)-1))</f>
        <v>3.08</v>
      </c>
      <c r="T101" s="1" t="n">
        <v>3</v>
      </c>
      <c r="U101" s="1" t="n">
        <f aca="false">IF(V101=V100,U100+U$1,U$3-0.5*U$1*(COUNTIF(V$11:V$1000,V101)-1))</f>
        <v>4.05490196078431</v>
      </c>
      <c r="V101" s="1" t="n">
        <v>3</v>
      </c>
      <c r="W101" s="1" t="n">
        <f aca="false">IF(X101=X100,W100+W$1,W$3-0.5*W$1*(COUNTIF(X$11:X$1000,X101)-1))</f>
        <v>5.09230769230769</v>
      </c>
      <c r="X101" s="1" t="n">
        <v>4</v>
      </c>
      <c r="Y101" s="1" t="n">
        <f aca="false">IF(Z101=Z100,Y100+Y$1,Y$3-0.5*Y$1*(COUNTIF(Z$11:Z$1000,Z101)-1))</f>
        <v>6.06153846153846</v>
      </c>
      <c r="Z101" s="1" t="n">
        <v>4</v>
      </c>
      <c r="AB101" s="1" t="n">
        <v>91</v>
      </c>
      <c r="AC101" s="1" t="n">
        <f aca="false">IF(AD101=AD100,AC100+AC$1,AC$3-0.5*AC$1*(COUNTIF(AD$11:AD$1000,AD101)-1))</f>
        <v>0.603809523809524</v>
      </c>
      <c r="AD101" s="1" t="n">
        <v>2</v>
      </c>
      <c r="AE101" s="1" t="n">
        <f aca="false">IF(AF101=AF100,AE100+AE$1,AE$3-0.5*AE$1*(COUNTIF(AF$11:AF$1000,AF101)-1))</f>
        <v>1.73846153846154</v>
      </c>
      <c r="AF101" s="1" t="n">
        <v>3</v>
      </c>
      <c r="AG101" s="1" t="n">
        <f aca="false">IF(AH101=AH100,AG100+AG$1,AG$3-0.5*AG$1*(COUNTIF(AH$11:AH$1000,AH101)-1))</f>
        <v>2.94716981132075</v>
      </c>
      <c r="AH101" s="1" t="n">
        <v>3</v>
      </c>
      <c r="AI101" s="1" t="n">
        <f aca="false">IF(AJ101=AJ100,AI100+AI$1,AI$3-0.5*AI$1*(COUNTIF(AJ$11:AJ$1000,AJ101)-1))</f>
        <v>3.97714285714286</v>
      </c>
      <c r="AJ101" s="1" t="n">
        <v>5</v>
      </c>
      <c r="AK101" s="1" t="n">
        <f aca="false">IF(AL101=AL100,AK100+AK$1,AK$3-0.5*AK$1*(COUNTIF(AL$11:AL$1000,AL101)-1))</f>
        <v>4.81016949152542</v>
      </c>
      <c r="AL101" s="1" t="n">
        <v>4</v>
      </c>
      <c r="AN101" s="1" t="n">
        <f aca="false">IF(AO101=AO100,AN100+AN$1,AN$3-0.5*AN$1*(COUNTIF(AO$11:AO$1000,AO101)-1))</f>
        <v>0.696153846153846</v>
      </c>
      <c r="AO101" s="1" t="n">
        <v>2</v>
      </c>
      <c r="AP101" s="1" t="n">
        <f aca="false">IF(AQ101=AQ100,AP100+AP$1,AP$3-0.5*AP$1*(COUNTIF(AQ$11:AQ$1000,AQ101)-1))</f>
        <v>2.11914893617021</v>
      </c>
      <c r="AQ101" s="1" t="n">
        <v>3</v>
      </c>
      <c r="AR101" s="1" t="n">
        <f aca="false">IF(AS101=AS100,AR100+AR$1,AR$3-0.5*AR$1*(COUNTIF(AS$11:AS$1000,AS101)-1))</f>
        <v>2.87878787878788</v>
      </c>
      <c r="AS101" s="1" t="n">
        <v>5</v>
      </c>
      <c r="AT101" s="1" t="n">
        <f aca="false">IF(AU101=AU100,AT100+AT$1,AT$3-0.5*AT$1*(COUNTIF(AU$11:AU$1000,AU101)-1))</f>
        <v>4.27826086956521</v>
      </c>
      <c r="AU101" s="1" t="n">
        <v>8</v>
      </c>
      <c r="AV101" s="1" t="n">
        <f aca="false">IF(AW101=AW100,AV100+AV$1,AV$3-0.5*AV$1*(COUNTIF(AW$11:AW$1000,AW101)-1))</f>
        <v>5.1</v>
      </c>
      <c r="AW101" s="1" t="n">
        <v>8</v>
      </c>
      <c r="AY101" s="1" t="n">
        <v>91</v>
      </c>
    </row>
    <row r="102" customFormat="false" ht="16" hidden="false" customHeight="false" outlineLevel="0" collapsed="false">
      <c r="A102" s="1" t="n">
        <v>92</v>
      </c>
      <c r="B102" s="1" t="n">
        <f aca="false">IF(C102=C101,B101+B$1,B$3-0.5*B$1*(COUNTIF(C$11:C$1000,C102)-1))</f>
        <v>1.09824561403509</v>
      </c>
      <c r="C102" s="1" t="n">
        <v>2</v>
      </c>
      <c r="D102" s="1" t="n">
        <f aca="false">IF(E102=E101,D101+D$1,D$3-0.5*D$1*(COUNTIF(E$11:E$1000,E102)-1))</f>
        <v>1.79759036144578</v>
      </c>
      <c r="E102" s="1" t="n">
        <v>2</v>
      </c>
      <c r="F102" s="1" t="n">
        <f aca="false">IF(G102=G101,F101+F$1,F$3-0.5*F$1*(COUNTIF(G$11:G$1000,G102)-1))</f>
        <v>3.34375000000001</v>
      </c>
      <c r="G102" s="1" t="n">
        <v>2</v>
      </c>
      <c r="H102" s="1" t="n">
        <f aca="false">IF(I102=I101,H101+H$1,H$3-0.5*H$1*(COUNTIF(I$11:I$1000,I102)-1))</f>
        <v>4.09090909090909</v>
      </c>
      <c r="I102" s="1" t="n">
        <v>2</v>
      </c>
      <c r="J102" s="1" t="n">
        <f aca="false">IF(K102=K101,J101+J$1,J$3-0.5*J$1*(COUNTIF(K$11:K$1000,K102)-1))</f>
        <v>5.30684931506852</v>
      </c>
      <c r="K102" s="1" t="n">
        <v>2</v>
      </c>
      <c r="L102" s="1" t="n">
        <f aca="false">IF(M102=M101,L101+L$1,L$3-0.5*L$1*(COUNTIF(M$11:M$1000,M102)-1))</f>
        <v>6.17368421052629</v>
      </c>
      <c r="M102" s="1" t="n">
        <v>2</v>
      </c>
      <c r="O102" s="1" t="n">
        <f aca="false">IF(P102=P101,O101+O$1,O$3-0.5*O$1*(COUNTIF(P$11:P$1000,P102)-1))</f>
        <v>1.09824561403509</v>
      </c>
      <c r="P102" s="1" t="n">
        <v>2</v>
      </c>
      <c r="Q102" s="1" t="n">
        <f aca="false">IF(R102=R101,Q101+Q$1,Q$3-0.5*Q$1*(COUNTIF(R$11:R$1000,R102)-1))</f>
        <v>1.86190476190476</v>
      </c>
      <c r="R102" s="1" t="n">
        <v>2</v>
      </c>
      <c r="S102" s="1" t="n">
        <f aca="false">IF(T102=T101,S101+S$1,S$3-0.5*S$1*(COUNTIF(T$11:T$1000,T102)-1))</f>
        <v>3.09454545454546</v>
      </c>
      <c r="T102" s="1" t="n">
        <v>3</v>
      </c>
      <c r="U102" s="1" t="n">
        <f aca="false">IF(V102=V101,U101+U$1,U$3-0.5*U$1*(COUNTIF(V$11:V$1000,V102)-1))</f>
        <v>4.07058823529412</v>
      </c>
      <c r="V102" s="1" t="n">
        <v>3</v>
      </c>
      <c r="W102" s="1" t="n">
        <f aca="false">IF(X102=X101,W101+W$1,W$3-0.5*W$1*(COUNTIF(X$11:X$1000,X102)-1))</f>
        <v>5.11282051282051</v>
      </c>
      <c r="X102" s="1" t="n">
        <v>4</v>
      </c>
      <c r="Y102" s="1" t="n">
        <f aca="false">IF(Z102=Z101,Y101+Y$1,Y$3-0.5*Y$1*(COUNTIF(Z$11:Z$1000,Z102)-1))</f>
        <v>6.08205128205128</v>
      </c>
      <c r="Z102" s="1" t="n">
        <v>4</v>
      </c>
      <c r="AB102" s="1" t="n">
        <v>92</v>
      </c>
      <c r="AC102" s="1" t="n">
        <f aca="false">IF(AD102=AD101,AC101+AC$1,AC$3-0.5*AC$1*(COUNTIF(AD$11:AD$1000,AD102)-1))</f>
        <v>0.611428571428571</v>
      </c>
      <c r="AD102" s="1" t="n">
        <v>2</v>
      </c>
      <c r="AE102" s="1" t="n">
        <f aca="false">IF(AF102=AF101,AE101+AE$1,AE$3-0.5*AE$1*(COUNTIF(AF$11:AF$1000,AF102)-1))</f>
        <v>1.75384615384615</v>
      </c>
      <c r="AF102" s="1" t="n">
        <v>3</v>
      </c>
      <c r="AG102" s="1" t="n">
        <f aca="false">IF(AH102=AH101,AG101+AG$1,AG$3-0.5*AG$1*(COUNTIF(AH$11:AH$1000,AH102)-1))</f>
        <v>2.9622641509434</v>
      </c>
      <c r="AH102" s="1" t="n">
        <v>3</v>
      </c>
      <c r="AI102" s="1" t="n">
        <f aca="false">IF(AJ102=AJ101,AI101+AI$1,AI$3-0.5*AI$1*(COUNTIF(AJ$11:AJ$1000,AJ102)-1))</f>
        <v>4</v>
      </c>
      <c r="AJ102" s="1" t="n">
        <v>5</v>
      </c>
      <c r="AK102" s="1" t="n">
        <f aca="false">IF(AL102=AL101,AK101+AK$1,AK$3-0.5*AK$1*(COUNTIF(AL$11:AL$1000,AL102)-1))</f>
        <v>4.82372881355932</v>
      </c>
      <c r="AL102" s="1" t="n">
        <v>4</v>
      </c>
      <c r="AN102" s="1" t="n">
        <f aca="false">IF(AO102=AO101,AN101+AN$1,AN$3-0.5*AN$1*(COUNTIF(AO$11:AO$1000,AO102)-1))</f>
        <v>0.703846153846153</v>
      </c>
      <c r="AO102" s="1" t="n">
        <v>2</v>
      </c>
      <c r="AP102" s="1" t="n">
        <f aca="false">IF(AQ102=AQ101,AP101+AP$1,AP$3-0.5*AP$1*(COUNTIF(AQ$11:AQ$1000,AQ102)-1))</f>
        <v>2.13617021276596</v>
      </c>
      <c r="AQ102" s="1" t="n">
        <v>3</v>
      </c>
      <c r="AR102" s="1" t="n">
        <f aca="false">IF(AS102=AS101,AR101+AR$1,AR$3-0.5*AR$1*(COUNTIF(AS$11:AS$1000,AS102)-1))</f>
        <v>2.9030303030303</v>
      </c>
      <c r="AS102" s="1" t="n">
        <v>5</v>
      </c>
      <c r="AT102" s="1" t="n">
        <f aca="false">IF(AU102=AU101,AT101+AT$1,AT$3-0.5*AT$1*(COUNTIF(AU$11:AU$1000,AU102)-1))</f>
        <v>4.31304347826087</v>
      </c>
      <c r="AU102" s="1" t="n">
        <v>8</v>
      </c>
      <c r="AV102" s="1" t="n">
        <f aca="false">IF(AW102=AW101,AV101+AV$1,AV$3-0.5*AV$1*(COUNTIF(AW$11:AW$1000,AW102)-1))</f>
        <v>5.12857142857143</v>
      </c>
      <c r="AW102" s="1" t="n">
        <v>8</v>
      </c>
      <c r="AY102" s="1" t="n">
        <v>92</v>
      </c>
    </row>
    <row r="103" customFormat="false" ht="16" hidden="false" customHeight="false" outlineLevel="0" collapsed="false">
      <c r="A103" s="1" t="n">
        <v>93</v>
      </c>
      <c r="B103" s="1" t="n">
        <f aca="false">IF(C103=C102,B102+B$1,B$3-0.5*B$1*(COUNTIF(C$11:C$1000,C103)-1))</f>
        <v>1.11228070175439</v>
      </c>
      <c r="C103" s="1" t="n">
        <v>2</v>
      </c>
      <c r="D103" s="1" t="n">
        <f aca="false">IF(E103=E102,D102+D$1,D$3-0.5*D$1*(COUNTIF(E$11:E$1000,E103)-1))</f>
        <v>1.80722891566265</v>
      </c>
      <c r="E103" s="1" t="n">
        <v>2</v>
      </c>
      <c r="F103" s="1" t="n">
        <f aca="false">IF(G103=G102,F102+F$1,F$3-0.5*F$1*(COUNTIF(G$11:G$1000,G103)-1))</f>
        <v>3.35625000000001</v>
      </c>
      <c r="G103" s="1" t="n">
        <v>2</v>
      </c>
      <c r="H103" s="1" t="n">
        <f aca="false">IF(I103=I102,H102+H$1,H$3-0.5*H$1*(COUNTIF(I$11:I$1000,I103)-1))</f>
        <v>4.1030303030303</v>
      </c>
      <c r="I103" s="1" t="n">
        <v>2</v>
      </c>
      <c r="J103" s="1" t="n">
        <f aca="false">IF(K103=K102,J102+J$1,J$3-0.5*J$1*(COUNTIF(K$11:K$1000,K103)-1))</f>
        <v>5.31780821917811</v>
      </c>
      <c r="K103" s="1" t="n">
        <v>2</v>
      </c>
      <c r="L103" s="1" t="n">
        <f aca="false">IF(M103=M102,L102+L$1,L$3-0.5*L$1*(COUNTIF(M$11:M$1000,M103)-1))</f>
        <v>6.18421052631577</v>
      </c>
      <c r="M103" s="1" t="n">
        <v>2</v>
      </c>
      <c r="O103" s="1" t="n">
        <f aca="false">IF(P103=P102,O102+O$1,O$3-0.5*O$1*(COUNTIF(P$11:P$1000,P103)-1))</f>
        <v>1.11228070175439</v>
      </c>
      <c r="P103" s="1" t="n">
        <v>2</v>
      </c>
      <c r="Q103" s="1" t="n">
        <f aca="false">IF(R103=R102,Q102+Q$1,Q$3-0.5*Q$1*(COUNTIF(R$11:R$1000,R103)-1))</f>
        <v>1.87142857142857</v>
      </c>
      <c r="R103" s="1" t="n">
        <v>2</v>
      </c>
      <c r="S103" s="1" t="n">
        <f aca="false">IF(T103=T102,S102+S$1,S$3-0.5*S$1*(COUNTIF(T$11:T$1000,T103)-1))</f>
        <v>3.10909090909091</v>
      </c>
      <c r="T103" s="1" t="n">
        <v>3</v>
      </c>
      <c r="U103" s="1" t="n">
        <f aca="false">IF(V103=V102,U102+U$1,U$3-0.5*U$1*(COUNTIF(V$11:V$1000,V103)-1))</f>
        <v>4.08627450980392</v>
      </c>
      <c r="V103" s="1" t="n">
        <v>3</v>
      </c>
      <c r="W103" s="1" t="n">
        <f aca="false">IF(X103=X102,W102+W$1,W$3-0.5*W$1*(COUNTIF(X$11:X$1000,X103)-1))</f>
        <v>5.13333333333333</v>
      </c>
      <c r="X103" s="1" t="n">
        <v>4</v>
      </c>
      <c r="Y103" s="1" t="n">
        <f aca="false">IF(Z103=Z102,Y102+Y$1,Y$3-0.5*Y$1*(COUNTIF(Z$11:Z$1000,Z103)-1))</f>
        <v>6.1025641025641</v>
      </c>
      <c r="Z103" s="1" t="n">
        <v>4</v>
      </c>
      <c r="AB103" s="1" t="n">
        <v>93</v>
      </c>
      <c r="AC103" s="1" t="n">
        <f aca="false">IF(AD103=AD102,AC102+AC$1,AC$3-0.5*AC$1*(COUNTIF(AD$11:AD$1000,AD103)-1))</f>
        <v>0.619047619047619</v>
      </c>
      <c r="AD103" s="1" t="n">
        <v>2</v>
      </c>
      <c r="AE103" s="1" t="n">
        <f aca="false">IF(AF103=AF102,AE102+AE$1,AE$3-0.5*AE$1*(COUNTIF(AF$11:AF$1000,AF103)-1))</f>
        <v>1.76923076923077</v>
      </c>
      <c r="AF103" s="1" t="n">
        <v>3</v>
      </c>
      <c r="AG103" s="1" t="n">
        <f aca="false">IF(AH103=AH102,AG102+AG$1,AG$3-0.5*AG$1*(COUNTIF(AH$11:AH$1000,AH103)-1))</f>
        <v>2.97735849056604</v>
      </c>
      <c r="AH103" s="1" t="n">
        <v>3</v>
      </c>
      <c r="AI103" s="1" t="n">
        <f aca="false">IF(AJ103=AJ102,AI102+AI$1,AI$3-0.5*AI$1*(COUNTIF(AJ$11:AJ$1000,AJ103)-1))</f>
        <v>4.02285714285714</v>
      </c>
      <c r="AJ103" s="1" t="n">
        <v>5</v>
      </c>
      <c r="AK103" s="1" t="n">
        <f aca="false">IF(AL103=AL102,AK102+AK$1,AK$3-0.5*AK$1*(COUNTIF(AL$11:AL$1000,AL103)-1))</f>
        <v>4.83728813559322</v>
      </c>
      <c r="AL103" s="1" t="n">
        <v>4</v>
      </c>
      <c r="AN103" s="1" t="n">
        <f aca="false">IF(AO103=AO102,AN102+AN$1,AN$3-0.5*AN$1*(COUNTIF(AO$11:AO$1000,AO103)-1))</f>
        <v>0.711538461538461</v>
      </c>
      <c r="AO103" s="1" t="n">
        <v>2</v>
      </c>
      <c r="AP103" s="1" t="n">
        <f aca="false">IF(AQ103=AQ102,AP102+AP$1,AP$3-0.5*AP$1*(COUNTIF(AQ$11:AQ$1000,AQ103)-1))</f>
        <v>2.1531914893617</v>
      </c>
      <c r="AQ103" s="1" t="n">
        <v>3</v>
      </c>
      <c r="AR103" s="1" t="n">
        <f aca="false">IF(AS103=AS102,AR102+AR$1,AR$3-0.5*AR$1*(COUNTIF(AS$11:AS$1000,AS103)-1))</f>
        <v>2.92727272727273</v>
      </c>
      <c r="AS103" s="1" t="n">
        <v>5</v>
      </c>
      <c r="AT103" s="1" t="n">
        <f aca="false">IF(AU103=AU102,AT102+AT$1,AT$3-0.5*AT$1*(COUNTIF(AU$11:AU$1000,AU103)-1))</f>
        <v>4.34782608695652</v>
      </c>
      <c r="AU103" s="1" t="n">
        <v>8</v>
      </c>
      <c r="AV103" s="1" t="n">
        <f aca="false">IF(AW103=AW102,AV102+AV$1,AV$3-0.5*AV$1*(COUNTIF(AW$11:AW$1000,AW103)-1))</f>
        <v>5.15714285714286</v>
      </c>
      <c r="AW103" s="1" t="n">
        <v>8</v>
      </c>
      <c r="AY103" s="1" t="n">
        <v>93</v>
      </c>
    </row>
    <row r="104" customFormat="false" ht="16" hidden="false" customHeight="false" outlineLevel="0" collapsed="false">
      <c r="A104" s="1" t="n">
        <v>94</v>
      </c>
      <c r="B104" s="1" t="n">
        <f aca="false">IF(C104=C103,B103+B$1,B$3-0.5*B$1*(COUNTIF(C$11:C$1000,C104)-1))</f>
        <v>1.12631578947369</v>
      </c>
      <c r="C104" s="1" t="n">
        <v>2</v>
      </c>
      <c r="D104" s="1" t="n">
        <f aca="false">IF(E104=E103,D103+D$1,D$3-0.5*D$1*(COUNTIF(E$11:E$1000,E104)-1))</f>
        <v>1.81686746987952</v>
      </c>
      <c r="E104" s="1" t="n">
        <v>2</v>
      </c>
      <c r="F104" s="1" t="n">
        <f aca="false">IF(G104=G103,F103+F$1,F$3-0.5*F$1*(COUNTIF(G$11:G$1000,G104)-1))</f>
        <v>3.36875000000001</v>
      </c>
      <c r="G104" s="1" t="n">
        <v>2</v>
      </c>
      <c r="H104" s="1" t="n">
        <f aca="false">IF(I104=I103,H103+H$1,H$3-0.5*H$1*(COUNTIF(I$11:I$1000,I104)-1))</f>
        <v>4.11515151515151</v>
      </c>
      <c r="I104" s="1" t="n">
        <v>2</v>
      </c>
      <c r="J104" s="1" t="n">
        <f aca="false">IF(K104=K103,J103+J$1,J$3-0.5*J$1*(COUNTIF(K$11:K$1000,K104)-1))</f>
        <v>5.3287671232877</v>
      </c>
      <c r="K104" s="1" t="n">
        <v>2</v>
      </c>
      <c r="L104" s="1" t="n">
        <f aca="false">IF(M104=M103,L103+L$1,L$3-0.5*L$1*(COUNTIF(M$11:M$1000,M104)-1))</f>
        <v>6.19473684210524</v>
      </c>
      <c r="M104" s="1" t="n">
        <v>2</v>
      </c>
      <c r="O104" s="1" t="n">
        <f aca="false">IF(P104=P103,O103+O$1,O$3-0.5*O$1*(COUNTIF(P$11:P$1000,P104)-1))</f>
        <v>1.12631578947369</v>
      </c>
      <c r="P104" s="1" t="n">
        <v>2</v>
      </c>
      <c r="Q104" s="1" t="n">
        <f aca="false">IF(R104=R103,Q103+Q$1,Q$3-0.5*Q$1*(COUNTIF(R$11:R$1000,R104)-1))</f>
        <v>1.88095238095238</v>
      </c>
      <c r="R104" s="1" t="n">
        <v>2</v>
      </c>
      <c r="S104" s="1" t="n">
        <f aca="false">IF(T104=T103,S103+S$1,S$3-0.5*S$1*(COUNTIF(T$11:T$1000,T104)-1))</f>
        <v>3.12363636363637</v>
      </c>
      <c r="T104" s="1" t="n">
        <v>3</v>
      </c>
      <c r="U104" s="1" t="n">
        <f aca="false">IF(V104=V103,U103+U$1,U$3-0.5*U$1*(COUNTIF(V$11:V$1000,V104)-1))</f>
        <v>4.10196078431373</v>
      </c>
      <c r="V104" s="1" t="n">
        <v>3</v>
      </c>
      <c r="W104" s="1" t="n">
        <f aca="false">IF(X104=X103,W103+W$1,W$3-0.5*W$1*(COUNTIF(X$11:X$1000,X104)-1))</f>
        <v>5.15384615384615</v>
      </c>
      <c r="X104" s="1" t="n">
        <v>4</v>
      </c>
      <c r="Y104" s="1" t="n">
        <f aca="false">IF(Z104=Z103,Y103+Y$1,Y$3-0.5*Y$1*(COUNTIF(Z$11:Z$1000,Z104)-1))</f>
        <v>6.12307692307692</v>
      </c>
      <c r="Z104" s="1" t="n">
        <v>4</v>
      </c>
      <c r="AB104" s="1" t="n">
        <v>94</v>
      </c>
      <c r="AC104" s="1" t="n">
        <f aca="false">IF(AD104=AD103,AC103+AC$1,AC$3-0.5*AC$1*(COUNTIF(AD$11:AD$1000,AD104)-1))</f>
        <v>0.626666666666667</v>
      </c>
      <c r="AD104" s="1" t="n">
        <v>2</v>
      </c>
      <c r="AE104" s="1" t="n">
        <f aca="false">IF(AF104=AF103,AE103+AE$1,AE$3-0.5*AE$1*(COUNTIF(AF$11:AF$1000,AF104)-1))</f>
        <v>1.78461538461538</v>
      </c>
      <c r="AF104" s="1" t="n">
        <v>3</v>
      </c>
      <c r="AG104" s="1" t="n">
        <f aca="false">IF(AH104=AH103,AG103+AG$1,AG$3-0.5*AG$1*(COUNTIF(AH$11:AH$1000,AH104)-1))</f>
        <v>2.99245283018868</v>
      </c>
      <c r="AH104" s="1" t="n">
        <v>3</v>
      </c>
      <c r="AI104" s="1" t="n">
        <f aca="false">IF(AJ104=AJ103,AI103+AI$1,AI$3-0.5*AI$1*(COUNTIF(AJ$11:AJ$1000,AJ104)-1))</f>
        <v>4.04571428571429</v>
      </c>
      <c r="AJ104" s="1" t="n">
        <v>5</v>
      </c>
      <c r="AK104" s="1" t="n">
        <f aca="false">IF(AL104=AL103,AK103+AK$1,AK$3-0.5*AK$1*(COUNTIF(AL$11:AL$1000,AL104)-1))</f>
        <v>4.85084745762712</v>
      </c>
      <c r="AL104" s="1" t="n">
        <v>4</v>
      </c>
      <c r="AN104" s="1" t="n">
        <f aca="false">IF(AO104=AO103,AN103+AN$1,AN$3-0.5*AN$1*(COUNTIF(AO$11:AO$1000,AO104)-1))</f>
        <v>0.719230769230769</v>
      </c>
      <c r="AO104" s="1" t="n">
        <v>2</v>
      </c>
      <c r="AP104" s="1" t="n">
        <f aca="false">IF(AQ104=AQ103,AP103+AP$1,AP$3-0.5*AP$1*(COUNTIF(AQ$11:AQ$1000,AQ104)-1))</f>
        <v>2.17021276595745</v>
      </c>
      <c r="AQ104" s="1" t="n">
        <v>3</v>
      </c>
      <c r="AR104" s="1" t="n">
        <f aca="false">IF(AS104=AS103,AR103+AR$1,AR$3-0.5*AR$1*(COUNTIF(AS$11:AS$1000,AS104)-1))</f>
        <v>2.95151515151515</v>
      </c>
      <c r="AS104" s="1" t="n">
        <v>5</v>
      </c>
      <c r="AT104" s="1" t="n">
        <f aca="false">IF(AU104=AU103,AT103+AT$1,AT$3-0.5*AT$1*(COUNTIF(AU$11:AU$1000,AU104)-1))</f>
        <v>4.38260869565217</v>
      </c>
      <c r="AU104" s="1" t="n">
        <v>8</v>
      </c>
      <c r="AV104" s="1" t="n">
        <f aca="false">IF(AW104=AW103,AV103+AV$1,AV$3-0.5*AV$1*(COUNTIF(AW$11:AW$1000,AW104)-1))</f>
        <v>5.18571428571428</v>
      </c>
      <c r="AW104" s="1" t="n">
        <v>8</v>
      </c>
      <c r="AY104" s="1" t="n">
        <v>94</v>
      </c>
    </row>
    <row r="105" customFormat="false" ht="16" hidden="false" customHeight="false" outlineLevel="0" collapsed="false">
      <c r="A105" s="1" t="n">
        <v>95</v>
      </c>
      <c r="B105" s="1" t="n">
        <f aca="false">IF(C105=C104,B104+B$1,B$3-0.5*B$1*(COUNTIF(C$11:C$1000,C105)-1))</f>
        <v>1.14035087719298</v>
      </c>
      <c r="C105" s="1" t="n">
        <v>2</v>
      </c>
      <c r="D105" s="1" t="n">
        <f aca="false">IF(E105=E104,D104+D$1,D$3-0.5*D$1*(COUNTIF(E$11:E$1000,E105)-1))</f>
        <v>1.82650602409639</v>
      </c>
      <c r="E105" s="1" t="n">
        <v>2</v>
      </c>
      <c r="F105" s="1" t="n">
        <f aca="false">IF(G105=G104,F104+F$1,F$3-0.5*F$1*(COUNTIF(G$11:G$1000,G105)-1))</f>
        <v>3.38125000000001</v>
      </c>
      <c r="G105" s="1" t="n">
        <v>2</v>
      </c>
      <c r="H105" s="1" t="n">
        <f aca="false">IF(I105=I104,H104+H$1,H$3-0.5*H$1*(COUNTIF(I$11:I$1000,I105)-1))</f>
        <v>4.12727272727273</v>
      </c>
      <c r="I105" s="1" t="n">
        <v>2</v>
      </c>
      <c r="J105" s="1" t="n">
        <f aca="false">IF(K105=K104,J104+J$1,J$3-0.5*J$1*(COUNTIF(K$11:K$1000,K105)-1))</f>
        <v>5.33972602739729</v>
      </c>
      <c r="K105" s="1" t="n">
        <v>2</v>
      </c>
      <c r="L105" s="1" t="n">
        <f aca="false">IF(M105=M104,L104+L$1,L$3-0.5*L$1*(COUNTIF(M$11:M$1000,M105)-1))</f>
        <v>6.20526315789471</v>
      </c>
      <c r="M105" s="1" t="n">
        <v>2</v>
      </c>
      <c r="O105" s="1" t="n">
        <f aca="false">IF(P105=P104,O104+O$1,O$3-0.5*O$1*(COUNTIF(P$11:P$1000,P105)-1))</f>
        <v>1.14035087719298</v>
      </c>
      <c r="P105" s="1" t="n">
        <v>2</v>
      </c>
      <c r="Q105" s="1" t="n">
        <f aca="false">IF(R105=R104,Q104+Q$1,Q$3-0.5*Q$1*(COUNTIF(R$11:R$1000,R105)-1))</f>
        <v>1.89047619047619</v>
      </c>
      <c r="R105" s="1" t="n">
        <v>2</v>
      </c>
      <c r="S105" s="1" t="n">
        <f aca="false">IF(T105=T104,S104+S$1,S$3-0.5*S$1*(COUNTIF(T$11:T$1000,T105)-1))</f>
        <v>2.78909090909091</v>
      </c>
      <c r="T105" s="1" t="n">
        <v>4</v>
      </c>
      <c r="U105" s="1" t="n">
        <f aca="false">IF(V105=V104,U104+U$1,U$3-0.5*U$1*(COUNTIF(V$11:V$1000,V105)-1))</f>
        <v>4.11764705882353</v>
      </c>
      <c r="V105" s="1" t="n">
        <v>3</v>
      </c>
      <c r="W105" s="1" t="n">
        <f aca="false">IF(X105=X104,W104+W$1,W$3-0.5*W$1*(COUNTIF(X$11:X$1000,X105)-1))</f>
        <v>5.17435897435897</v>
      </c>
      <c r="X105" s="1" t="n">
        <v>4</v>
      </c>
      <c r="Y105" s="1" t="n">
        <f aca="false">IF(Z105=Z104,Y104+Y$1,Y$3-0.5*Y$1*(COUNTIF(Z$11:Z$1000,Z105)-1))</f>
        <v>6.14358974358974</v>
      </c>
      <c r="Z105" s="1" t="n">
        <v>4</v>
      </c>
      <c r="AB105" s="1" t="n">
        <v>95</v>
      </c>
      <c r="AC105" s="1" t="n">
        <f aca="false">IF(AD105=AD104,AC104+AC$1,AC$3-0.5*AC$1*(COUNTIF(AD$11:AD$1000,AD105)-1))</f>
        <v>0.634285714285714</v>
      </c>
      <c r="AD105" s="1" t="n">
        <v>2</v>
      </c>
      <c r="AE105" s="1" t="n">
        <f aca="false">IF(AF105=AF104,AE104+AE$1,AE$3-0.5*AE$1*(COUNTIF(AF$11:AF$1000,AF105)-1))</f>
        <v>1.8</v>
      </c>
      <c r="AF105" s="1" t="n">
        <v>3</v>
      </c>
      <c r="AG105" s="1" t="n">
        <f aca="false">IF(AH105=AH104,AG104+AG$1,AG$3-0.5*AG$1*(COUNTIF(AH$11:AH$1000,AH105)-1))</f>
        <v>3.00754716981132</v>
      </c>
      <c r="AH105" s="1" t="n">
        <v>3</v>
      </c>
      <c r="AI105" s="1" t="n">
        <f aca="false">IF(AJ105=AJ104,AI104+AI$1,AI$3-0.5*AI$1*(COUNTIF(AJ$11:AJ$1000,AJ105)-1))</f>
        <v>4.06857142857143</v>
      </c>
      <c r="AJ105" s="1" t="n">
        <v>5</v>
      </c>
      <c r="AK105" s="1" t="n">
        <f aca="false">IF(AL105=AL104,AK104+AK$1,AK$3-0.5*AK$1*(COUNTIF(AL$11:AL$1000,AL105)-1))</f>
        <v>4.86440677966101</v>
      </c>
      <c r="AL105" s="1" t="n">
        <v>4</v>
      </c>
      <c r="AN105" s="1" t="n">
        <f aca="false">IF(AO105=AO104,AN104+AN$1,AN$3-0.5*AN$1*(COUNTIF(AO$11:AO$1000,AO105)-1))</f>
        <v>0.726923076923076</v>
      </c>
      <c r="AO105" s="1" t="n">
        <v>2</v>
      </c>
      <c r="AP105" s="1" t="n">
        <f aca="false">IF(AQ105=AQ104,AP104+AP$1,AP$3-0.5*AP$1*(COUNTIF(AQ$11:AQ$1000,AQ105)-1))</f>
        <v>2.18723404255319</v>
      </c>
      <c r="AQ105" s="1" t="n">
        <v>3</v>
      </c>
      <c r="AR105" s="1" t="n">
        <f aca="false">IF(AS105=AS104,AR104+AR$1,AR$3-0.5*AR$1*(COUNTIF(AS$11:AS$1000,AS105)-1))</f>
        <v>2.97575757575758</v>
      </c>
      <c r="AS105" s="1" t="n">
        <v>5</v>
      </c>
      <c r="AT105" s="1" t="n">
        <f aca="false">IF(AU105=AU104,AT104+AT$1,AT$3-0.5*AT$1*(COUNTIF(AU$11:AU$1000,AU105)-1))</f>
        <v>3.89565217391304</v>
      </c>
      <c r="AU105" s="1" t="n">
        <v>9</v>
      </c>
      <c r="AV105" s="1" t="n">
        <f aca="false">IF(AW105=AW104,AV104+AV$1,AV$3-0.5*AV$1*(COUNTIF(AW$11:AW$1000,AW105)-1))</f>
        <v>5.21428571428571</v>
      </c>
      <c r="AW105" s="1" t="n">
        <v>8</v>
      </c>
      <c r="AY105" s="1" t="n">
        <v>95</v>
      </c>
    </row>
    <row r="106" customFormat="false" ht="16" hidden="false" customHeight="false" outlineLevel="0" collapsed="false">
      <c r="A106" s="1" t="n">
        <v>96</v>
      </c>
      <c r="B106" s="1" t="n">
        <f aca="false">IF(C106=C105,B105+B$1,B$3-0.5*B$1*(COUNTIF(C$11:C$1000,C106)-1))</f>
        <v>1.15438596491228</v>
      </c>
      <c r="C106" s="1" t="n">
        <v>2</v>
      </c>
      <c r="D106" s="1" t="n">
        <f aca="false">IF(E106=E105,D105+D$1,D$3-0.5*D$1*(COUNTIF(E$11:E$1000,E106)-1))</f>
        <v>1.83614457831325</v>
      </c>
      <c r="E106" s="1" t="n">
        <v>2</v>
      </c>
      <c r="F106" s="1" t="n">
        <f aca="false">IF(G106=G105,F105+F$1,F$3-0.5*F$1*(COUNTIF(G$11:G$1000,G106)-1))</f>
        <v>3.39375000000001</v>
      </c>
      <c r="G106" s="1" t="n">
        <v>2</v>
      </c>
      <c r="H106" s="1" t="n">
        <f aca="false">IF(I106=I105,H105+H$1,H$3-0.5*H$1*(COUNTIF(I$11:I$1000,I106)-1))</f>
        <v>4.13939393939394</v>
      </c>
      <c r="I106" s="1" t="n">
        <v>2</v>
      </c>
      <c r="J106" s="1" t="n">
        <f aca="false">IF(K106=K105,J105+J$1,J$3-0.5*J$1*(COUNTIF(K$11:K$1000,K106)-1))</f>
        <v>5.35068493150688</v>
      </c>
      <c r="K106" s="1" t="n">
        <v>2</v>
      </c>
      <c r="L106" s="1" t="n">
        <f aca="false">IF(M106=M105,L105+L$1,L$3-0.5*L$1*(COUNTIF(M$11:M$1000,M106)-1))</f>
        <v>6.21578947368419</v>
      </c>
      <c r="M106" s="1" t="n">
        <v>2</v>
      </c>
      <c r="O106" s="1" t="n">
        <f aca="false">IF(P106=P105,O105+O$1,O$3-0.5*O$1*(COUNTIF(P$11:P$1000,P106)-1))</f>
        <v>1.15438596491228</v>
      </c>
      <c r="P106" s="1" t="n">
        <v>2</v>
      </c>
      <c r="Q106" s="1" t="n">
        <f aca="false">IF(R106=R105,Q105+Q$1,Q$3-0.5*Q$1*(COUNTIF(R$11:R$1000,R106)-1))</f>
        <v>1.9</v>
      </c>
      <c r="R106" s="1" t="n">
        <v>2</v>
      </c>
      <c r="S106" s="1" t="n">
        <f aca="false">IF(T106=T105,S105+S$1,S$3-0.5*S$1*(COUNTIF(T$11:T$1000,T106)-1))</f>
        <v>2.80363636363636</v>
      </c>
      <c r="T106" s="1" t="n">
        <v>4</v>
      </c>
      <c r="U106" s="1" t="n">
        <f aca="false">IF(V106=V105,U105+U$1,U$3-0.5*U$1*(COUNTIF(V$11:V$1000,V106)-1))</f>
        <v>4.13333333333333</v>
      </c>
      <c r="V106" s="1" t="n">
        <v>3</v>
      </c>
      <c r="W106" s="1" t="n">
        <f aca="false">IF(X106=X105,W105+W$1,W$3-0.5*W$1*(COUNTIF(X$11:X$1000,X106)-1))</f>
        <v>5.19487179487179</v>
      </c>
      <c r="X106" s="1" t="n">
        <v>4</v>
      </c>
      <c r="Y106" s="1" t="n">
        <f aca="false">IF(Z106=Z105,Y105+Y$1,Y$3-0.5*Y$1*(COUNTIF(Z$11:Z$1000,Z106)-1))</f>
        <v>6.16410256410256</v>
      </c>
      <c r="Z106" s="1" t="n">
        <v>4</v>
      </c>
      <c r="AB106" s="1" t="n">
        <v>96</v>
      </c>
      <c r="AC106" s="1" t="n">
        <f aca="false">IF(AD106=AD105,AC105+AC$1,AC$3-0.5*AC$1*(COUNTIF(AD$11:AD$1000,AD106)-1))</f>
        <v>0.641904761904762</v>
      </c>
      <c r="AD106" s="1" t="n">
        <v>2</v>
      </c>
      <c r="AE106" s="1" t="n">
        <f aca="false">IF(AF106=AF105,AE105+AE$1,AE$3-0.5*AE$1*(COUNTIF(AF$11:AF$1000,AF106)-1))</f>
        <v>1.81538461538462</v>
      </c>
      <c r="AF106" s="1" t="n">
        <v>3</v>
      </c>
      <c r="AG106" s="1" t="n">
        <f aca="false">IF(AH106=AH105,AG105+AG$1,AG$3-0.5*AG$1*(COUNTIF(AH$11:AH$1000,AH106)-1))</f>
        <v>3.02264150943396</v>
      </c>
      <c r="AH106" s="1" t="n">
        <v>3</v>
      </c>
      <c r="AI106" s="1" t="n">
        <f aca="false">IF(AJ106=AJ105,AI105+AI$1,AI$3-0.5*AI$1*(COUNTIF(AJ$11:AJ$1000,AJ106)-1))</f>
        <v>4.09142857142857</v>
      </c>
      <c r="AJ106" s="1" t="n">
        <v>5</v>
      </c>
      <c r="AK106" s="1" t="n">
        <f aca="false">IF(AL106=AL105,AK105+AK$1,AK$3-0.5*AK$1*(COUNTIF(AL$11:AL$1000,AL106)-1))</f>
        <v>4.87796610169491</v>
      </c>
      <c r="AL106" s="1" t="n">
        <v>4</v>
      </c>
      <c r="AN106" s="1" t="n">
        <f aca="false">IF(AO106=AO105,AN105+AN$1,AN$3-0.5*AN$1*(COUNTIF(AO$11:AO$1000,AO106)-1))</f>
        <v>0.734615384615384</v>
      </c>
      <c r="AO106" s="1" t="n">
        <v>2</v>
      </c>
      <c r="AP106" s="1" t="n">
        <f aca="false">IF(AQ106=AQ105,AP105+AP$1,AP$3-0.5*AP$1*(COUNTIF(AQ$11:AQ$1000,AQ106)-1))</f>
        <v>2.20425531914894</v>
      </c>
      <c r="AQ106" s="1" t="n">
        <v>3</v>
      </c>
      <c r="AR106" s="1" t="n">
        <f aca="false">IF(AS106=AS105,AR105+AR$1,AR$3-0.5*AR$1*(COUNTIF(AS$11:AS$1000,AS106)-1))</f>
        <v>3</v>
      </c>
      <c r="AS106" s="1" t="n">
        <v>5</v>
      </c>
      <c r="AT106" s="1" t="n">
        <f aca="false">IF(AU106=AU105,AT105+AT$1,AT$3-0.5*AT$1*(COUNTIF(AU$11:AU$1000,AU106)-1))</f>
        <v>3.9304347826087</v>
      </c>
      <c r="AU106" s="1" t="n">
        <v>9</v>
      </c>
      <c r="AV106" s="1" t="n">
        <f aca="false">IF(AW106=AW105,AV105+AV$1,AV$3-0.5*AV$1*(COUNTIF(AW$11:AW$1000,AW106)-1))</f>
        <v>4.94285714285714</v>
      </c>
      <c r="AW106" s="1" t="n">
        <v>9</v>
      </c>
      <c r="AY106" s="1" t="n">
        <v>96</v>
      </c>
    </row>
    <row r="107" customFormat="false" ht="16" hidden="false" customHeight="false" outlineLevel="0" collapsed="false">
      <c r="A107" s="1" t="n">
        <v>97</v>
      </c>
      <c r="B107" s="1" t="n">
        <f aca="false">IF(C107=C106,B106+B$1,B$3-0.5*B$1*(COUNTIF(C$11:C$1000,C107)-1))</f>
        <v>1.16842105263158</v>
      </c>
      <c r="C107" s="1" t="n">
        <v>2</v>
      </c>
      <c r="D107" s="1" t="n">
        <f aca="false">IF(E107=E106,D106+D$1,D$3-0.5*D$1*(COUNTIF(E$11:E$1000,E107)-1))</f>
        <v>1.84578313253012</v>
      </c>
      <c r="E107" s="1" t="n">
        <v>2</v>
      </c>
      <c r="F107" s="1" t="n">
        <f aca="false">IF(G107=G106,F106+F$1,F$3-0.5*F$1*(COUNTIF(G$11:G$1000,G107)-1))</f>
        <v>2.93125</v>
      </c>
      <c r="G107" s="1" t="n">
        <v>3</v>
      </c>
      <c r="H107" s="1" t="n">
        <f aca="false">IF(I107=I106,H106+H$1,H$3-0.5*H$1*(COUNTIF(I$11:I$1000,I107)-1))</f>
        <v>4.15151515151515</v>
      </c>
      <c r="I107" s="1" t="n">
        <v>2</v>
      </c>
      <c r="J107" s="1" t="n">
        <f aca="false">IF(K107=K106,J106+J$1,J$3-0.5*J$1*(COUNTIF(K$11:K$1000,K107)-1))</f>
        <v>5.36164383561647</v>
      </c>
      <c r="K107" s="1" t="n">
        <v>2</v>
      </c>
      <c r="L107" s="1" t="n">
        <f aca="false">IF(M107=M106,L106+L$1,L$3-0.5*L$1*(COUNTIF(M$11:M$1000,M107)-1))</f>
        <v>6.22631578947366</v>
      </c>
      <c r="M107" s="1" t="n">
        <v>2</v>
      </c>
      <c r="O107" s="1" t="n">
        <f aca="false">IF(P107=P106,O106+O$1,O$3-0.5*O$1*(COUNTIF(P$11:P$1000,P107)-1))</f>
        <v>1.16842105263158</v>
      </c>
      <c r="P107" s="1" t="n">
        <v>2</v>
      </c>
      <c r="Q107" s="1" t="n">
        <f aca="false">IF(R107=R106,Q106+Q$1,Q$3-0.5*Q$1*(COUNTIF(R$11:R$1000,R107)-1))</f>
        <v>1.90952380952381</v>
      </c>
      <c r="R107" s="1" t="n">
        <v>2</v>
      </c>
      <c r="S107" s="1" t="n">
        <f aca="false">IF(T107=T106,S106+S$1,S$3-0.5*S$1*(COUNTIF(T$11:T$1000,T107)-1))</f>
        <v>2.81818181818182</v>
      </c>
      <c r="T107" s="1" t="n">
        <v>4</v>
      </c>
      <c r="U107" s="1" t="n">
        <f aca="false">IF(V107=V106,U106+U$1,U$3-0.5*U$1*(COUNTIF(V$11:V$1000,V107)-1))</f>
        <v>4.14901960784314</v>
      </c>
      <c r="V107" s="1" t="n">
        <v>3</v>
      </c>
      <c r="W107" s="1" t="n">
        <f aca="false">IF(X107=X106,W106+W$1,W$3-0.5*W$1*(COUNTIF(X$11:X$1000,X107)-1))</f>
        <v>5.21538461538461</v>
      </c>
      <c r="X107" s="1" t="n">
        <v>4</v>
      </c>
      <c r="Y107" s="1" t="n">
        <f aca="false">IF(Z107=Z106,Y106+Y$1,Y$3-0.5*Y$1*(COUNTIF(Z$11:Z$1000,Z107)-1))</f>
        <v>6.18461538461538</v>
      </c>
      <c r="Z107" s="1" t="n">
        <v>4</v>
      </c>
      <c r="AB107" s="1" t="n">
        <v>97</v>
      </c>
      <c r="AC107" s="1" t="n">
        <f aca="false">IF(AD107=AD106,AC106+AC$1,AC$3-0.5*AC$1*(COUNTIF(AD$11:AD$1000,AD107)-1))</f>
        <v>0.64952380952381</v>
      </c>
      <c r="AD107" s="1" t="n">
        <v>2</v>
      </c>
      <c r="AE107" s="1" t="n">
        <f aca="false">IF(AF107=AF106,AE106+AE$1,AE$3-0.5*AE$1*(COUNTIF(AF$11:AF$1000,AF107)-1))</f>
        <v>1.83076923076923</v>
      </c>
      <c r="AF107" s="1" t="n">
        <v>3</v>
      </c>
      <c r="AG107" s="1" t="n">
        <f aca="false">IF(AH107=AH106,AG106+AG$1,AG$3-0.5*AG$1*(COUNTIF(AH$11:AH$1000,AH107)-1))</f>
        <v>3.0377358490566</v>
      </c>
      <c r="AH107" s="1" t="n">
        <v>3</v>
      </c>
      <c r="AI107" s="1" t="n">
        <f aca="false">IF(AJ107=AJ106,AI106+AI$1,AI$3-0.5*AI$1*(COUNTIF(AJ$11:AJ$1000,AJ107)-1))</f>
        <v>3.66857142857143</v>
      </c>
      <c r="AJ107" s="1" t="n">
        <v>6</v>
      </c>
      <c r="AK107" s="1" t="n">
        <f aca="false">IF(AL107=AL106,AK106+AK$1,AK$3-0.5*AK$1*(COUNTIF(AL$11:AL$1000,AL107)-1))</f>
        <v>4.89152542372881</v>
      </c>
      <c r="AL107" s="1" t="n">
        <v>4</v>
      </c>
      <c r="AN107" s="1" t="n">
        <f aca="false">IF(AO107=AO106,AN106+AN$1,AN$3-0.5*AN$1*(COUNTIF(AO$11:AO$1000,AO107)-1))</f>
        <v>0.742307692307692</v>
      </c>
      <c r="AO107" s="1" t="n">
        <v>2</v>
      </c>
      <c r="AP107" s="1" t="n">
        <f aca="false">IF(AQ107=AQ106,AP106+AP$1,AP$3-0.5*AP$1*(COUNTIF(AQ$11:AQ$1000,AQ107)-1))</f>
        <v>2.22127659574468</v>
      </c>
      <c r="AQ107" s="1" t="n">
        <v>3</v>
      </c>
      <c r="AR107" s="1" t="n">
        <f aca="false">IF(AS107=AS106,AR106+AR$1,AR$3-0.5*AR$1*(COUNTIF(AS$11:AS$1000,AS107)-1))</f>
        <v>3.02424242424243</v>
      </c>
      <c r="AS107" s="1" t="n">
        <v>5</v>
      </c>
      <c r="AT107" s="1" t="n">
        <f aca="false">IF(AU107=AU106,AT106+AT$1,AT$3-0.5*AT$1*(COUNTIF(AU$11:AU$1000,AU107)-1))</f>
        <v>3.96521739130435</v>
      </c>
      <c r="AU107" s="1" t="n">
        <v>9</v>
      </c>
      <c r="AV107" s="1" t="n">
        <f aca="false">IF(AW107=AW106,AV106+AV$1,AV$3-0.5*AV$1*(COUNTIF(AW$11:AW$1000,AW107)-1))</f>
        <v>4.97142857142857</v>
      </c>
      <c r="AW107" s="1" t="n">
        <v>9</v>
      </c>
      <c r="AY107" s="1" t="n">
        <v>97</v>
      </c>
    </row>
    <row r="108" customFormat="false" ht="16" hidden="false" customHeight="false" outlineLevel="0" collapsed="false">
      <c r="A108" s="1" t="n">
        <v>98</v>
      </c>
      <c r="B108" s="1" t="n">
        <f aca="false">IF(C108=C107,B107+B$1,B$3-0.5*B$1*(COUNTIF(C$11:C$1000,C108)-1))</f>
        <v>1.18245614035088</v>
      </c>
      <c r="C108" s="1" t="n">
        <v>2</v>
      </c>
      <c r="D108" s="1" t="n">
        <f aca="false">IF(E108=E107,D107+D$1,D$3-0.5*D$1*(COUNTIF(E$11:E$1000,E108)-1))</f>
        <v>1.85542168674699</v>
      </c>
      <c r="E108" s="1" t="n">
        <v>2</v>
      </c>
      <c r="F108" s="1" t="n">
        <f aca="false">IF(G108=G107,F107+F$1,F$3-0.5*F$1*(COUNTIF(G$11:G$1000,G108)-1))</f>
        <v>2.94375</v>
      </c>
      <c r="G108" s="1" t="n">
        <v>3</v>
      </c>
      <c r="H108" s="1" t="n">
        <f aca="false">IF(I108=I107,H107+H$1,H$3-0.5*H$1*(COUNTIF(I$11:I$1000,I108)-1))</f>
        <v>4.16363636363636</v>
      </c>
      <c r="I108" s="1" t="n">
        <v>2</v>
      </c>
      <c r="J108" s="1" t="n">
        <f aca="false">IF(K108=K107,J107+J$1,J$3-0.5*J$1*(COUNTIF(K$11:K$1000,K108)-1))</f>
        <v>5.37260273972606</v>
      </c>
      <c r="K108" s="1" t="n">
        <v>2</v>
      </c>
      <c r="L108" s="1" t="n">
        <f aca="false">IF(M108=M107,L107+L$1,L$3-0.5*L$1*(COUNTIF(M$11:M$1000,M108)-1))</f>
        <v>6.23684210526313</v>
      </c>
      <c r="M108" s="1" t="n">
        <v>2</v>
      </c>
      <c r="O108" s="1" t="n">
        <f aca="false">IF(P108=P107,O107+O$1,O$3-0.5*O$1*(COUNTIF(P$11:P$1000,P108)-1))</f>
        <v>1.18245614035088</v>
      </c>
      <c r="P108" s="1" t="n">
        <v>2</v>
      </c>
      <c r="Q108" s="1" t="n">
        <f aca="false">IF(R108=R107,Q107+Q$1,Q$3-0.5*Q$1*(COUNTIF(R$11:R$1000,R108)-1))</f>
        <v>1.91904761904762</v>
      </c>
      <c r="R108" s="1" t="n">
        <v>2</v>
      </c>
      <c r="S108" s="1" t="n">
        <f aca="false">IF(T108=T107,S107+S$1,S$3-0.5*S$1*(COUNTIF(T$11:T$1000,T108)-1))</f>
        <v>2.83272727272727</v>
      </c>
      <c r="T108" s="1" t="n">
        <v>4</v>
      </c>
      <c r="U108" s="1" t="n">
        <f aca="false">IF(V108=V107,U107+U$1,U$3-0.5*U$1*(COUNTIF(V$11:V$1000,V108)-1))</f>
        <v>4.16470588235294</v>
      </c>
      <c r="V108" s="1" t="n">
        <v>3</v>
      </c>
      <c r="W108" s="1" t="n">
        <f aca="false">IF(X108=X107,W107+W$1,W$3-0.5*W$1*(COUNTIF(X$11:X$1000,X108)-1))</f>
        <v>5.23589743589743</v>
      </c>
      <c r="X108" s="1" t="n">
        <v>4</v>
      </c>
      <c r="Y108" s="1" t="n">
        <f aca="false">IF(Z108=Z107,Y107+Y$1,Y$3-0.5*Y$1*(COUNTIF(Z$11:Z$1000,Z108)-1))</f>
        <v>6.2051282051282</v>
      </c>
      <c r="Z108" s="1" t="n">
        <v>4</v>
      </c>
      <c r="AB108" s="1" t="n">
        <v>98</v>
      </c>
      <c r="AC108" s="1" t="n">
        <f aca="false">IF(AD108=AD107,AC107+AC$1,AC$3-0.5*AC$1*(COUNTIF(AD$11:AD$1000,AD108)-1))</f>
        <v>0.657142857142857</v>
      </c>
      <c r="AD108" s="1" t="n">
        <v>2</v>
      </c>
      <c r="AE108" s="1" t="n">
        <f aca="false">IF(AF108=AF107,AE107+AE$1,AE$3-0.5*AE$1*(COUNTIF(AF$11:AF$1000,AF108)-1))</f>
        <v>1.84615384615385</v>
      </c>
      <c r="AF108" s="1" t="n">
        <v>3</v>
      </c>
      <c r="AG108" s="1" t="n">
        <f aca="false">IF(AH108=AH107,AG107+AG$1,AG$3-0.5*AG$1*(COUNTIF(AH$11:AH$1000,AH108)-1))</f>
        <v>3.05283018867925</v>
      </c>
      <c r="AH108" s="1" t="n">
        <v>3</v>
      </c>
      <c r="AI108" s="1" t="n">
        <f aca="false">IF(AJ108=AJ107,AI107+AI$1,AI$3-0.5*AI$1*(COUNTIF(AJ$11:AJ$1000,AJ108)-1))</f>
        <v>3.69142857142857</v>
      </c>
      <c r="AJ108" s="1" t="n">
        <v>6</v>
      </c>
      <c r="AK108" s="1" t="n">
        <f aca="false">IF(AL108=AL107,AK107+AK$1,AK$3-0.5*AK$1*(COUNTIF(AL$11:AL$1000,AL108)-1))</f>
        <v>4.90508474576271</v>
      </c>
      <c r="AL108" s="1" t="n">
        <v>4</v>
      </c>
      <c r="AN108" s="1" t="n">
        <f aca="false">IF(AO108=AO107,AN107+AN$1,AN$3-0.5*AN$1*(COUNTIF(AO$11:AO$1000,AO108)-1))</f>
        <v>0.749999999999999</v>
      </c>
      <c r="AO108" s="1" t="n">
        <v>2</v>
      </c>
      <c r="AP108" s="1" t="n">
        <f aca="false">IF(AQ108=AQ107,AP107+AP$1,AP$3-0.5*AP$1*(COUNTIF(AQ$11:AQ$1000,AQ108)-1))</f>
        <v>2.23829787234043</v>
      </c>
      <c r="AQ108" s="1" t="n">
        <v>3</v>
      </c>
      <c r="AR108" s="1" t="n">
        <f aca="false">IF(AS108=AS107,AR107+AR$1,AR$3-0.5*AR$1*(COUNTIF(AS$11:AS$1000,AS108)-1))</f>
        <v>3.04848484848485</v>
      </c>
      <c r="AS108" s="1" t="n">
        <v>5</v>
      </c>
      <c r="AT108" s="1" t="n">
        <f aca="false">IF(AU108=AU107,AT107+AT$1,AT$3-0.5*AT$1*(COUNTIF(AU$11:AU$1000,AU108)-1))</f>
        <v>4</v>
      </c>
      <c r="AU108" s="1" t="n">
        <v>9</v>
      </c>
      <c r="AV108" s="1" t="n">
        <f aca="false">IF(AW108=AW107,AV107+AV$1,AV$3-0.5*AV$1*(COUNTIF(AW$11:AW$1000,AW108)-1))</f>
        <v>5</v>
      </c>
      <c r="AW108" s="1" t="n">
        <v>9</v>
      </c>
      <c r="AY108" s="1" t="n">
        <v>98</v>
      </c>
    </row>
    <row r="109" customFormat="false" ht="16" hidden="false" customHeight="false" outlineLevel="0" collapsed="false">
      <c r="A109" s="1" t="n">
        <v>99</v>
      </c>
      <c r="B109" s="1" t="n">
        <f aca="false">IF(C109=C108,B108+B$1,B$3-0.5*B$1*(COUNTIF(C$11:C$1000,C109)-1))</f>
        <v>1.19649122807018</v>
      </c>
      <c r="C109" s="1" t="n">
        <v>2</v>
      </c>
      <c r="D109" s="1" t="n">
        <f aca="false">IF(E109=E108,D108+D$1,D$3-0.5*D$1*(COUNTIF(E$11:E$1000,E109)-1))</f>
        <v>1.86506024096386</v>
      </c>
      <c r="E109" s="1" t="n">
        <v>2</v>
      </c>
      <c r="F109" s="1" t="n">
        <f aca="false">IF(G109=G108,F108+F$1,F$3-0.5*F$1*(COUNTIF(G$11:G$1000,G109)-1))</f>
        <v>2.95625</v>
      </c>
      <c r="G109" s="1" t="n">
        <v>3</v>
      </c>
      <c r="H109" s="1" t="n">
        <f aca="false">IF(I109=I108,H108+H$1,H$3-0.5*H$1*(COUNTIF(I$11:I$1000,I109)-1))</f>
        <v>4.17575757575757</v>
      </c>
      <c r="I109" s="1" t="n">
        <v>2</v>
      </c>
      <c r="J109" s="1" t="n">
        <f aca="false">IF(K109=K108,J108+J$1,J$3-0.5*J$1*(COUNTIF(K$11:K$1000,K109)-1))</f>
        <v>5.38356164383564</v>
      </c>
      <c r="K109" s="1" t="n">
        <v>2</v>
      </c>
      <c r="L109" s="1" t="n">
        <f aca="false">IF(M109=M108,L108+L$1,L$3-0.5*L$1*(COUNTIF(M$11:M$1000,M109)-1))</f>
        <v>6.24736842105261</v>
      </c>
      <c r="M109" s="1" t="n">
        <v>2</v>
      </c>
      <c r="O109" s="1" t="n">
        <f aca="false">IF(P109=P108,O108+O$1,O$3-0.5*O$1*(COUNTIF(P$11:P$1000,P109)-1))</f>
        <v>1.19649122807018</v>
      </c>
      <c r="P109" s="1" t="n">
        <v>2</v>
      </c>
      <c r="Q109" s="1" t="n">
        <f aca="false">IF(R109=R108,Q108+Q$1,Q$3-0.5*Q$1*(COUNTIF(R$11:R$1000,R109)-1))</f>
        <v>1.92857142857143</v>
      </c>
      <c r="R109" s="1" t="n">
        <v>2</v>
      </c>
      <c r="S109" s="1" t="n">
        <f aca="false">IF(T109=T108,S108+S$1,S$3-0.5*S$1*(COUNTIF(T$11:T$1000,T109)-1))</f>
        <v>2.84727272727273</v>
      </c>
      <c r="T109" s="1" t="n">
        <v>4</v>
      </c>
      <c r="U109" s="1" t="n">
        <f aca="false">IF(V109=V108,U108+U$1,U$3-0.5*U$1*(COUNTIF(V$11:V$1000,V109)-1))</f>
        <v>4.18039215686274</v>
      </c>
      <c r="V109" s="1" t="n">
        <v>3</v>
      </c>
      <c r="W109" s="1" t="n">
        <f aca="false">IF(X109=X108,W108+W$1,W$3-0.5*W$1*(COUNTIF(X$11:X$1000,X109)-1))</f>
        <v>5.25641025641025</v>
      </c>
      <c r="X109" s="1" t="n">
        <v>4</v>
      </c>
      <c r="Y109" s="1" t="n">
        <f aca="false">IF(Z109=Z108,Y108+Y$1,Y$3-0.5*Y$1*(COUNTIF(Z$11:Z$1000,Z109)-1))</f>
        <v>6.22564102564102</v>
      </c>
      <c r="Z109" s="1" t="n">
        <v>4</v>
      </c>
      <c r="AB109" s="1" t="n">
        <v>99</v>
      </c>
      <c r="AC109" s="1" t="n">
        <f aca="false">IF(AD109=AD108,AC108+AC$1,AC$3-0.5*AC$1*(COUNTIF(AD$11:AD$1000,AD109)-1))</f>
        <v>0.664761904761905</v>
      </c>
      <c r="AD109" s="1" t="n">
        <v>2</v>
      </c>
      <c r="AE109" s="1" t="n">
        <f aca="false">IF(AF109=AF108,AE108+AE$1,AE$3-0.5*AE$1*(COUNTIF(AF$11:AF$1000,AF109)-1))</f>
        <v>1.86153846153846</v>
      </c>
      <c r="AF109" s="1" t="n">
        <v>3</v>
      </c>
      <c r="AG109" s="1" t="n">
        <f aca="false">IF(AH109=AH108,AG108+AG$1,AG$3-0.5*AG$1*(COUNTIF(AH$11:AH$1000,AH109)-1))</f>
        <v>3.06792452830189</v>
      </c>
      <c r="AH109" s="1" t="n">
        <v>3</v>
      </c>
      <c r="AI109" s="1" t="n">
        <f aca="false">IF(AJ109=AJ108,AI108+AI$1,AI$3-0.5*AI$1*(COUNTIF(AJ$11:AJ$1000,AJ109)-1))</f>
        <v>3.71428571428571</v>
      </c>
      <c r="AJ109" s="1" t="n">
        <v>6</v>
      </c>
      <c r="AK109" s="1" t="n">
        <f aca="false">IF(AL109=AL108,AK108+AK$1,AK$3-0.5*AK$1*(COUNTIF(AL$11:AL$1000,AL109)-1))</f>
        <v>4.91864406779661</v>
      </c>
      <c r="AL109" s="1" t="n">
        <v>4</v>
      </c>
      <c r="AN109" s="1" t="n">
        <f aca="false">IF(AO109=AO108,AN108+AN$1,AN$3-0.5*AN$1*(COUNTIF(AO$11:AO$1000,AO109)-1))</f>
        <v>0.757692307692307</v>
      </c>
      <c r="AO109" s="1" t="n">
        <v>2</v>
      </c>
      <c r="AP109" s="1" t="n">
        <f aca="false">IF(AQ109=AQ108,AP108+AP$1,AP$3-0.5*AP$1*(COUNTIF(AQ$11:AQ$1000,AQ109)-1))</f>
        <v>2.25531914893617</v>
      </c>
      <c r="AQ109" s="1" t="n">
        <v>3</v>
      </c>
      <c r="AR109" s="1" t="n">
        <f aca="false">IF(AS109=AS108,AR108+AR$1,AR$3-0.5*AR$1*(COUNTIF(AS$11:AS$1000,AS109)-1))</f>
        <v>3.07272727272727</v>
      </c>
      <c r="AS109" s="1" t="n">
        <v>5</v>
      </c>
      <c r="AT109" s="1" t="n">
        <f aca="false">IF(AU109=AU108,AT108+AT$1,AT$3-0.5*AT$1*(COUNTIF(AU$11:AU$1000,AU109)-1))</f>
        <v>4.03478260869565</v>
      </c>
      <c r="AU109" s="1" t="n">
        <v>9</v>
      </c>
      <c r="AV109" s="1" t="n">
        <f aca="false">IF(AW109=AW108,AV108+AV$1,AV$3-0.5*AV$1*(COUNTIF(AW$11:AW$1000,AW109)-1))</f>
        <v>5.02857142857143</v>
      </c>
      <c r="AW109" s="1" t="n">
        <v>9</v>
      </c>
      <c r="AY109" s="1" t="n">
        <v>99</v>
      </c>
    </row>
    <row r="110" customFormat="false" ht="16" hidden="false" customHeight="false" outlineLevel="0" collapsed="false">
      <c r="A110" s="1" t="n">
        <v>100</v>
      </c>
      <c r="B110" s="1" t="n">
        <f aca="false">IF(C110=C109,B109+B$1,B$3-0.5*B$1*(COUNTIF(C$11:C$1000,C110)-1))</f>
        <v>1.21052631578948</v>
      </c>
      <c r="C110" s="1" t="n">
        <v>2</v>
      </c>
      <c r="D110" s="1" t="n">
        <f aca="false">IF(E110=E109,D109+D$1,D$3-0.5*D$1*(COUNTIF(E$11:E$1000,E110)-1))</f>
        <v>1.87469879518073</v>
      </c>
      <c r="E110" s="1" t="n">
        <v>2</v>
      </c>
      <c r="F110" s="1" t="n">
        <f aca="false">IF(G110=G109,F109+F$1,F$3-0.5*F$1*(COUNTIF(G$11:G$1000,G110)-1))</f>
        <v>2.96875</v>
      </c>
      <c r="G110" s="1" t="n">
        <v>3</v>
      </c>
      <c r="H110" s="1" t="n">
        <f aca="false">IF(I110=I109,H109+H$1,H$3-0.5*H$1*(COUNTIF(I$11:I$1000,I110)-1))</f>
        <v>4.18787878787879</v>
      </c>
      <c r="I110" s="1" t="n">
        <v>2</v>
      </c>
      <c r="J110" s="1" t="n">
        <f aca="false">IF(K110=K109,J109+J$1,J$3-0.5*J$1*(COUNTIF(K$11:K$1000,K110)-1))</f>
        <v>5.39452054794523</v>
      </c>
      <c r="K110" s="1" t="n">
        <v>2</v>
      </c>
      <c r="L110" s="1" t="n">
        <f aca="false">IF(M110=M109,L109+L$1,L$3-0.5*L$1*(COUNTIF(M$11:M$1000,M110)-1))</f>
        <v>6.25789473684208</v>
      </c>
      <c r="M110" s="1" t="n">
        <v>2</v>
      </c>
      <c r="O110" s="1" t="n">
        <f aca="false">IF(P110=P109,O109+O$1,O$3-0.5*O$1*(COUNTIF(P$11:P$1000,P110)-1))</f>
        <v>1.21052631578948</v>
      </c>
      <c r="P110" s="1" t="n">
        <v>2</v>
      </c>
      <c r="Q110" s="1" t="n">
        <f aca="false">IF(R110=R109,Q109+Q$1,Q$3-0.5*Q$1*(COUNTIF(R$11:R$1000,R110)-1))</f>
        <v>1.93809523809524</v>
      </c>
      <c r="R110" s="1" t="n">
        <v>2</v>
      </c>
      <c r="S110" s="1" t="n">
        <f aca="false">IF(T110=T109,S109+S$1,S$3-0.5*S$1*(COUNTIF(T$11:T$1000,T110)-1))</f>
        <v>2.86181818181818</v>
      </c>
      <c r="T110" s="1" t="n">
        <v>4</v>
      </c>
      <c r="U110" s="1" t="n">
        <f aca="false">IF(V110=V109,U109+U$1,U$3-0.5*U$1*(COUNTIF(V$11:V$1000,V110)-1))</f>
        <v>3.75686274509804</v>
      </c>
      <c r="V110" s="1" t="n">
        <v>4</v>
      </c>
      <c r="W110" s="1" t="n">
        <f aca="false">IF(X110=X109,W109+W$1,W$3-0.5*W$1*(COUNTIF(X$11:X$1000,X110)-1))</f>
        <v>4.85641025641026</v>
      </c>
      <c r="X110" s="1" t="n">
        <v>5</v>
      </c>
      <c r="Y110" s="1" t="n">
        <f aca="false">IF(Z110=Z109,Y109+Y$1,Y$3-0.5*Y$1*(COUNTIF(Z$11:Z$1000,Z110)-1))</f>
        <v>6.24615384615384</v>
      </c>
      <c r="Z110" s="1" t="n">
        <v>4</v>
      </c>
      <c r="AB110" s="1" t="n">
        <v>100</v>
      </c>
      <c r="AC110" s="1" t="n">
        <f aca="false">IF(AD110=AD109,AC109+AC$1,AC$3-0.5*AC$1*(COUNTIF(AD$11:AD$1000,AD110)-1))</f>
        <v>0.672380952380953</v>
      </c>
      <c r="AD110" s="1" t="n">
        <v>2</v>
      </c>
      <c r="AE110" s="1" t="n">
        <f aca="false">IF(AF110=AF109,AE109+AE$1,AE$3-0.5*AE$1*(COUNTIF(AF$11:AF$1000,AF110)-1))</f>
        <v>1.87692307692308</v>
      </c>
      <c r="AF110" s="1" t="n">
        <v>3</v>
      </c>
      <c r="AG110" s="1" t="n">
        <f aca="false">IF(AH110=AH109,AG109+AG$1,AG$3-0.5*AG$1*(COUNTIF(AH$11:AH$1000,AH110)-1))</f>
        <v>3.08301886792453</v>
      </c>
      <c r="AH110" s="1" t="n">
        <v>3</v>
      </c>
      <c r="AI110" s="1" t="n">
        <f aca="false">IF(AJ110=AJ109,AI109+AI$1,AI$3-0.5*AI$1*(COUNTIF(AJ$11:AJ$1000,AJ110)-1))</f>
        <v>3.73714285714286</v>
      </c>
      <c r="AJ110" s="1" t="n">
        <v>6</v>
      </c>
      <c r="AK110" s="1" t="n">
        <f aca="false">IF(AL110=AL109,AK109+AK$1,AK$3-0.5*AK$1*(COUNTIF(AL$11:AL$1000,AL110)-1))</f>
        <v>4.9322033898305</v>
      </c>
      <c r="AL110" s="1" t="n">
        <v>4</v>
      </c>
      <c r="AN110" s="1" t="n">
        <f aca="false">IF(AO110=AO109,AN109+AN$1,AN$3-0.5*AN$1*(COUNTIF(AO$11:AO$1000,AO110)-1))</f>
        <v>0.765384615384615</v>
      </c>
      <c r="AO110" s="1" t="n">
        <v>2</v>
      </c>
      <c r="AP110" s="1" t="n">
        <f aca="false">IF(AQ110=AQ109,AP109+AP$1,AP$3-0.5*AP$1*(COUNTIF(AQ$11:AQ$1000,AQ110)-1))</f>
        <v>2.27234042553192</v>
      </c>
      <c r="AQ110" s="1" t="n">
        <v>3</v>
      </c>
      <c r="AR110" s="1" t="n">
        <f aca="false">IF(AS110=AS109,AR109+AR$1,AR$3-0.5*AR$1*(COUNTIF(AS$11:AS$1000,AS110)-1))</f>
        <v>3.0969696969697</v>
      </c>
      <c r="AS110" s="1" t="n">
        <v>5</v>
      </c>
      <c r="AT110" s="1" t="n">
        <f aca="false">IF(AU110=AU109,AT109+AT$1,AT$3-0.5*AT$1*(COUNTIF(AU$11:AU$1000,AU110)-1))</f>
        <v>4.0695652173913</v>
      </c>
      <c r="AU110" s="1" t="n">
        <v>9</v>
      </c>
      <c r="AV110" s="1" t="n">
        <f aca="false">IF(AW110=AW109,AV109+AV$1,AV$3-0.5*AV$1*(COUNTIF(AW$11:AW$1000,AW110)-1))</f>
        <v>5.05714285714286</v>
      </c>
      <c r="AW110" s="1" t="n">
        <v>9</v>
      </c>
      <c r="AY110" s="1" t="n">
        <v>100</v>
      </c>
    </row>
    <row r="111" customFormat="false" ht="16" hidden="false" customHeight="false" outlineLevel="0" collapsed="false">
      <c r="A111" s="1" t="n">
        <v>101</v>
      </c>
      <c r="B111" s="1" t="n">
        <f aca="false">IF(C111=C110,B110+B$1,B$3-0.5*B$1*(COUNTIF(C$11:C$1000,C111)-1))</f>
        <v>1.22456140350877</v>
      </c>
      <c r="C111" s="1" t="n">
        <v>2</v>
      </c>
      <c r="D111" s="1" t="n">
        <f aca="false">IF(E111=E110,D110+D$1,D$3-0.5*D$1*(COUNTIF(E$11:E$1000,E111)-1))</f>
        <v>1.88433734939759</v>
      </c>
      <c r="E111" s="1" t="n">
        <v>2</v>
      </c>
      <c r="F111" s="1" t="n">
        <f aca="false">IF(G111=G110,F110+F$1,F$3-0.5*F$1*(COUNTIF(G$11:G$1000,G111)-1))</f>
        <v>2.98125</v>
      </c>
      <c r="G111" s="1" t="n">
        <v>3</v>
      </c>
      <c r="H111" s="1" t="n">
        <f aca="false">IF(I111=I110,H110+H$1,H$3-0.5*H$1*(COUNTIF(I$11:I$1000,I111)-1))</f>
        <v>4.2</v>
      </c>
      <c r="I111" s="1" t="n">
        <v>2</v>
      </c>
      <c r="J111" s="1" t="n">
        <f aca="false">IF(K111=K110,J110+J$1,J$3-0.5*J$1*(COUNTIF(K$11:K$1000,K111)-1))</f>
        <v>4.92876712328767</v>
      </c>
      <c r="K111" s="1" t="n">
        <v>3</v>
      </c>
      <c r="L111" s="1" t="n">
        <f aca="false">IF(M111=M110,L110+L$1,L$3-0.5*L$1*(COUNTIF(M$11:M$1000,M111)-1))</f>
        <v>6.26842105263155</v>
      </c>
      <c r="M111" s="1" t="n">
        <v>2</v>
      </c>
      <c r="O111" s="1" t="n">
        <f aca="false">IF(P111=P110,O110+O$1,O$3-0.5*O$1*(COUNTIF(P$11:P$1000,P111)-1))</f>
        <v>1.22456140350877</v>
      </c>
      <c r="P111" s="1" t="n">
        <v>2</v>
      </c>
      <c r="Q111" s="1" t="n">
        <f aca="false">IF(R111=R110,Q110+Q$1,Q$3-0.5*Q$1*(COUNTIF(R$11:R$1000,R111)-1))</f>
        <v>1.94761904761905</v>
      </c>
      <c r="R111" s="1" t="n">
        <v>2</v>
      </c>
      <c r="S111" s="1" t="n">
        <f aca="false">IF(T111=T110,S110+S$1,S$3-0.5*S$1*(COUNTIF(T$11:T$1000,T111)-1))</f>
        <v>2.87636363636364</v>
      </c>
      <c r="T111" s="1" t="n">
        <v>4</v>
      </c>
      <c r="U111" s="1" t="n">
        <f aca="false">IF(V111=V110,U110+U$1,U$3-0.5*U$1*(COUNTIF(V$11:V$1000,V111)-1))</f>
        <v>3.77254901960784</v>
      </c>
      <c r="V111" s="1" t="n">
        <v>4</v>
      </c>
      <c r="W111" s="1" t="n">
        <f aca="false">IF(X111=X110,W110+W$1,W$3-0.5*W$1*(COUNTIF(X$11:X$1000,X111)-1))</f>
        <v>4.87692307692308</v>
      </c>
      <c r="X111" s="1" t="n">
        <v>5</v>
      </c>
      <c r="Y111" s="1" t="n">
        <f aca="false">IF(Z111=Z110,Y110+Y$1,Y$3-0.5*Y$1*(COUNTIF(Z$11:Z$1000,Z111)-1))</f>
        <v>6.26666666666666</v>
      </c>
      <c r="Z111" s="1" t="n">
        <v>4</v>
      </c>
      <c r="AB111" s="1" t="n">
        <v>101</v>
      </c>
      <c r="AC111" s="1" t="n">
        <f aca="false">IF(AD111=AD110,AC110+AC$1,AC$3-0.5*AC$1*(COUNTIF(AD$11:AD$1000,AD111)-1))</f>
        <v>0.68</v>
      </c>
      <c r="AD111" s="1" t="n">
        <v>2</v>
      </c>
      <c r="AE111" s="1" t="n">
        <f aca="false">IF(AF111=AF110,AE110+AE$1,AE$3-0.5*AE$1*(COUNTIF(AF$11:AF$1000,AF111)-1))</f>
        <v>1.89230769230769</v>
      </c>
      <c r="AF111" s="1" t="n">
        <v>3</v>
      </c>
      <c r="AG111" s="1" t="n">
        <f aca="false">IF(AH111=AH110,AG110+AG$1,AG$3-0.5*AG$1*(COUNTIF(AH$11:AH$1000,AH111)-1))</f>
        <v>3.09811320754717</v>
      </c>
      <c r="AH111" s="1" t="n">
        <v>3</v>
      </c>
      <c r="AI111" s="1" t="n">
        <f aca="false">IF(AJ111=AJ110,AI110+AI$1,AI$3-0.5*AI$1*(COUNTIF(AJ$11:AJ$1000,AJ111)-1))</f>
        <v>3.76</v>
      </c>
      <c r="AJ111" s="1" t="n">
        <v>6</v>
      </c>
      <c r="AK111" s="1" t="n">
        <f aca="false">IF(AL111=AL110,AK110+AK$1,AK$3-0.5*AK$1*(COUNTIF(AL$11:AL$1000,AL111)-1))</f>
        <v>4.9457627118644</v>
      </c>
      <c r="AL111" s="1" t="n">
        <v>4</v>
      </c>
      <c r="AN111" s="1" t="n">
        <f aca="false">IF(AO111=AO110,AN110+AN$1,AN$3-0.5*AN$1*(COUNTIF(AO$11:AO$1000,AO111)-1))</f>
        <v>0.773076923076922</v>
      </c>
      <c r="AO111" s="1" t="n">
        <v>2</v>
      </c>
      <c r="AP111" s="1" t="n">
        <f aca="false">IF(AQ111=AQ110,AP110+AP$1,AP$3-0.5*AP$1*(COUNTIF(AQ$11:AQ$1000,AQ111)-1))</f>
        <v>2.28936170212766</v>
      </c>
      <c r="AQ111" s="1" t="n">
        <v>3</v>
      </c>
      <c r="AR111" s="1" t="n">
        <f aca="false">IF(AS111=AS110,AR110+AR$1,AR$3-0.5*AR$1*(COUNTIF(AS$11:AS$1000,AS111)-1))</f>
        <v>3.12121212121212</v>
      </c>
      <c r="AS111" s="1" t="n">
        <v>5</v>
      </c>
      <c r="AT111" s="1" t="n">
        <f aca="false">IF(AU111=AU110,AT110+AT$1,AT$3-0.5*AT$1*(COUNTIF(AU$11:AU$1000,AU111)-1))</f>
        <v>4.10434782608696</v>
      </c>
      <c r="AU111" s="1" t="n">
        <v>9</v>
      </c>
      <c r="AV111" s="1" t="n">
        <f aca="false">IF(AW111=AW110,AV110+AV$1,AV$3-0.5*AV$1*(COUNTIF(AW$11:AW$1000,AW111)-1))</f>
        <v>4.61428571428571</v>
      </c>
      <c r="AW111" s="1" t="n">
        <v>10</v>
      </c>
      <c r="AY111" s="1" t="n">
        <v>101</v>
      </c>
    </row>
    <row r="112" customFormat="false" ht="16" hidden="false" customHeight="false" outlineLevel="0" collapsed="false">
      <c r="A112" s="1" t="n">
        <v>102</v>
      </c>
      <c r="B112" s="1" t="n">
        <f aca="false">IF(C112=C111,B111+B$1,B$3-0.5*B$1*(COUNTIF(C$11:C$1000,C112)-1))</f>
        <v>1.23859649122807</v>
      </c>
      <c r="C112" s="1" t="n">
        <v>2</v>
      </c>
      <c r="D112" s="1" t="n">
        <f aca="false">IF(E112=E111,D111+D$1,D$3-0.5*D$1*(COUNTIF(E$11:E$1000,E112)-1))</f>
        <v>1.89397590361446</v>
      </c>
      <c r="E112" s="1" t="n">
        <v>2</v>
      </c>
      <c r="F112" s="1" t="n">
        <f aca="false">IF(G112=G111,F111+F$1,F$3-0.5*F$1*(COUNTIF(G$11:G$1000,G112)-1))</f>
        <v>2.99375</v>
      </c>
      <c r="G112" s="1" t="n">
        <v>3</v>
      </c>
      <c r="H112" s="1" t="n">
        <f aca="false">IF(I112=I111,H111+H$1,H$3-0.5*H$1*(COUNTIF(I$11:I$1000,I112)-1))</f>
        <v>4.21212121212121</v>
      </c>
      <c r="I112" s="1" t="n">
        <v>2</v>
      </c>
      <c r="J112" s="1" t="n">
        <f aca="false">IF(K112=K111,J111+J$1,J$3-0.5*J$1*(COUNTIF(K$11:K$1000,K112)-1))</f>
        <v>4.93972602739726</v>
      </c>
      <c r="K112" s="1" t="n">
        <v>3</v>
      </c>
      <c r="L112" s="1" t="n">
        <f aca="false">IF(M112=M111,L111+L$1,L$3-0.5*L$1*(COUNTIF(M$11:M$1000,M112)-1))</f>
        <v>6.27894736842103</v>
      </c>
      <c r="M112" s="1" t="n">
        <v>2</v>
      </c>
      <c r="O112" s="1" t="n">
        <f aca="false">IF(P112=P111,O111+O$1,O$3-0.5*O$1*(COUNTIF(P$11:P$1000,P112)-1))</f>
        <v>1.23859649122807</v>
      </c>
      <c r="P112" s="1" t="n">
        <v>2</v>
      </c>
      <c r="Q112" s="1" t="n">
        <f aca="false">IF(R112=R111,Q111+Q$1,Q$3-0.5*Q$1*(COUNTIF(R$11:R$1000,R112)-1))</f>
        <v>1.95714285714286</v>
      </c>
      <c r="R112" s="1" t="n">
        <v>2</v>
      </c>
      <c r="S112" s="1" t="n">
        <f aca="false">IF(T112=T111,S111+S$1,S$3-0.5*S$1*(COUNTIF(T$11:T$1000,T112)-1))</f>
        <v>2.89090909090909</v>
      </c>
      <c r="T112" s="1" t="n">
        <v>4</v>
      </c>
      <c r="U112" s="1" t="n">
        <f aca="false">IF(V112=V111,U111+U$1,U$3-0.5*U$1*(COUNTIF(V$11:V$1000,V112)-1))</f>
        <v>3.78823529411765</v>
      </c>
      <c r="V112" s="1" t="n">
        <v>4</v>
      </c>
      <c r="W112" s="1" t="n">
        <f aca="false">IF(X112=X111,W111+W$1,W$3-0.5*W$1*(COUNTIF(X$11:X$1000,X112)-1))</f>
        <v>4.8974358974359</v>
      </c>
      <c r="X112" s="1" t="n">
        <v>5</v>
      </c>
      <c r="Y112" s="1" t="n">
        <f aca="false">IF(Z112=Z111,Y111+Y$1,Y$3-0.5*Y$1*(COUNTIF(Z$11:Z$1000,Z112)-1))</f>
        <v>6.28717948717948</v>
      </c>
      <c r="Z112" s="1" t="n">
        <v>4</v>
      </c>
      <c r="AB112" s="1" t="n">
        <v>102</v>
      </c>
      <c r="AC112" s="1" t="n">
        <f aca="false">IF(AD112=AD111,AC111+AC$1,AC$3-0.5*AC$1*(COUNTIF(AD$11:AD$1000,AD112)-1))</f>
        <v>0.687619047619048</v>
      </c>
      <c r="AD112" s="1" t="n">
        <v>2</v>
      </c>
      <c r="AE112" s="1" t="n">
        <f aca="false">IF(AF112=AF111,AE111+AE$1,AE$3-0.5*AE$1*(COUNTIF(AF$11:AF$1000,AF112)-1))</f>
        <v>1.90769230769231</v>
      </c>
      <c r="AF112" s="1" t="n">
        <v>3</v>
      </c>
      <c r="AG112" s="1" t="n">
        <f aca="false">IF(AH112=AH111,AG111+AG$1,AG$3-0.5*AG$1*(COUNTIF(AH$11:AH$1000,AH112)-1))</f>
        <v>3.11320754716981</v>
      </c>
      <c r="AH112" s="1" t="n">
        <v>3</v>
      </c>
      <c r="AI112" s="1" t="n">
        <f aca="false">IF(AJ112=AJ111,AI111+AI$1,AI$3-0.5*AI$1*(COUNTIF(AJ$11:AJ$1000,AJ112)-1))</f>
        <v>3.78285714285714</v>
      </c>
      <c r="AJ112" s="1" t="n">
        <v>6</v>
      </c>
      <c r="AK112" s="1" t="n">
        <f aca="false">IF(AL112=AL111,AK111+AK$1,AK$3-0.5*AK$1*(COUNTIF(AL$11:AL$1000,AL112)-1))</f>
        <v>4.9593220338983</v>
      </c>
      <c r="AL112" s="1" t="n">
        <v>4</v>
      </c>
      <c r="AN112" s="1" t="n">
        <f aca="false">IF(AO112=AO111,AN111+AN$1,AN$3-0.5*AN$1*(COUNTIF(AO$11:AO$1000,AO112)-1))</f>
        <v>0.78076923076923</v>
      </c>
      <c r="AO112" s="1" t="n">
        <v>2</v>
      </c>
      <c r="AP112" s="1" t="n">
        <f aca="false">IF(AQ112=AQ111,AP111+AP$1,AP$3-0.5*AP$1*(COUNTIF(AQ$11:AQ$1000,AQ112)-1))</f>
        <v>2.30638297872341</v>
      </c>
      <c r="AQ112" s="1" t="n">
        <v>3</v>
      </c>
      <c r="AR112" s="1" t="n">
        <f aca="false">IF(AS112=AS111,AR111+AR$1,AR$3-0.5*AR$1*(COUNTIF(AS$11:AS$1000,AS112)-1))</f>
        <v>3.14545454545455</v>
      </c>
      <c r="AS112" s="1" t="n">
        <v>5</v>
      </c>
      <c r="AT112" s="1" t="n">
        <f aca="false">IF(AU112=AU111,AT111+AT$1,AT$3-0.5*AT$1*(COUNTIF(AU$11:AU$1000,AU112)-1))</f>
        <v>3.73913043478261</v>
      </c>
      <c r="AU112" s="1" t="n">
        <v>10</v>
      </c>
      <c r="AV112" s="1" t="n">
        <f aca="false">IF(AW112=AW111,AV111+AV$1,AV$3-0.5*AV$1*(COUNTIF(AW$11:AW$1000,AW112)-1))</f>
        <v>4.64285714285714</v>
      </c>
      <c r="AW112" s="1" t="n">
        <v>10</v>
      </c>
      <c r="AY112" s="1" t="n">
        <v>102</v>
      </c>
    </row>
    <row r="113" customFormat="false" ht="16" hidden="false" customHeight="false" outlineLevel="0" collapsed="false">
      <c r="A113" s="1" t="n">
        <v>103</v>
      </c>
      <c r="B113" s="1" t="n">
        <f aca="false">IF(C113=C112,B112+B$1,B$3-0.5*B$1*(COUNTIF(C$11:C$1000,C113)-1))</f>
        <v>1.25263157894737</v>
      </c>
      <c r="C113" s="1" t="n">
        <v>2</v>
      </c>
      <c r="D113" s="1" t="n">
        <f aca="false">IF(E113=E112,D112+D$1,D$3-0.5*D$1*(COUNTIF(E$11:E$1000,E113)-1))</f>
        <v>1.90361445783133</v>
      </c>
      <c r="E113" s="1" t="n">
        <v>2</v>
      </c>
      <c r="F113" s="1" t="n">
        <f aca="false">IF(G113=G112,F112+F$1,F$3-0.5*F$1*(COUNTIF(G$11:G$1000,G113)-1))</f>
        <v>3.00625</v>
      </c>
      <c r="G113" s="1" t="n">
        <v>3</v>
      </c>
      <c r="H113" s="1" t="n">
        <f aca="false">IF(I113=I112,H112+H$1,H$3-0.5*H$1*(COUNTIF(I$11:I$1000,I113)-1))</f>
        <v>4.22424242424242</v>
      </c>
      <c r="I113" s="1" t="n">
        <v>2</v>
      </c>
      <c r="J113" s="1" t="n">
        <f aca="false">IF(K113=K112,J112+J$1,J$3-0.5*J$1*(COUNTIF(K$11:K$1000,K113)-1))</f>
        <v>4.95068493150685</v>
      </c>
      <c r="K113" s="1" t="n">
        <v>3</v>
      </c>
      <c r="L113" s="1" t="n">
        <f aca="false">IF(M113=M112,L112+L$1,L$3-0.5*L$1*(COUNTIF(M$11:M$1000,M113)-1))</f>
        <v>6.2894736842105</v>
      </c>
      <c r="M113" s="1" t="n">
        <v>2</v>
      </c>
      <c r="O113" s="1" t="n">
        <f aca="false">IF(P113=P112,O112+O$1,O$3-0.5*O$1*(COUNTIF(P$11:P$1000,P113)-1))</f>
        <v>1.25263157894737</v>
      </c>
      <c r="P113" s="1" t="n">
        <v>2</v>
      </c>
      <c r="Q113" s="1" t="n">
        <f aca="false">IF(R113=R112,Q112+Q$1,Q$3-0.5*Q$1*(COUNTIF(R$11:R$1000,R113)-1))</f>
        <v>1.96666666666667</v>
      </c>
      <c r="R113" s="1" t="n">
        <v>2</v>
      </c>
      <c r="S113" s="1" t="n">
        <f aca="false">IF(T113=T112,S112+S$1,S$3-0.5*S$1*(COUNTIF(T$11:T$1000,T113)-1))</f>
        <v>2.90545454545455</v>
      </c>
      <c r="T113" s="1" t="n">
        <v>4</v>
      </c>
      <c r="U113" s="1" t="n">
        <f aca="false">IF(V113=V112,U112+U$1,U$3-0.5*U$1*(COUNTIF(V$11:V$1000,V113)-1))</f>
        <v>3.80392156862745</v>
      </c>
      <c r="V113" s="1" t="n">
        <v>4</v>
      </c>
      <c r="W113" s="1" t="n">
        <f aca="false">IF(X113=X112,W112+W$1,W$3-0.5*W$1*(COUNTIF(X$11:X$1000,X113)-1))</f>
        <v>4.91794871794872</v>
      </c>
      <c r="X113" s="1" t="n">
        <v>5</v>
      </c>
      <c r="Y113" s="1" t="n">
        <f aca="false">IF(Z113=Z112,Y112+Y$1,Y$3-0.5*Y$1*(COUNTIF(Z$11:Z$1000,Z113)-1))</f>
        <v>6.30769230769231</v>
      </c>
      <c r="Z113" s="1" t="n">
        <v>4</v>
      </c>
      <c r="AB113" s="1" t="n">
        <v>103</v>
      </c>
      <c r="AC113" s="1" t="n">
        <f aca="false">IF(AD113=AD112,AC112+AC$1,AC$3-0.5*AC$1*(COUNTIF(AD$11:AD$1000,AD113)-1))</f>
        <v>0.695238095238095</v>
      </c>
      <c r="AD113" s="1" t="n">
        <v>2</v>
      </c>
      <c r="AE113" s="1" t="n">
        <f aca="false">IF(AF113=AF112,AE112+AE$1,AE$3-0.5*AE$1*(COUNTIF(AF$11:AF$1000,AF113)-1))</f>
        <v>1.92307692307692</v>
      </c>
      <c r="AF113" s="1" t="n">
        <v>3</v>
      </c>
      <c r="AG113" s="1" t="n">
        <f aca="false">IF(AH113=AH112,AG112+AG$1,AG$3-0.5*AG$1*(COUNTIF(AH$11:AH$1000,AH113)-1))</f>
        <v>3.12830188679245</v>
      </c>
      <c r="AH113" s="1" t="n">
        <v>3</v>
      </c>
      <c r="AI113" s="1" t="n">
        <f aca="false">IF(AJ113=AJ112,AI112+AI$1,AI$3-0.5*AI$1*(COUNTIF(AJ$11:AJ$1000,AJ113)-1))</f>
        <v>3.80571428571428</v>
      </c>
      <c r="AJ113" s="1" t="n">
        <v>6</v>
      </c>
      <c r="AK113" s="1" t="n">
        <f aca="false">IF(AL113=AL112,AK112+AK$1,AK$3-0.5*AK$1*(COUNTIF(AL$11:AL$1000,AL113)-1))</f>
        <v>4.9728813559322</v>
      </c>
      <c r="AL113" s="1" t="n">
        <v>4</v>
      </c>
      <c r="AN113" s="1" t="n">
        <f aca="false">IF(AO113=AO112,AN112+AN$1,AN$3-0.5*AN$1*(COUNTIF(AO$11:AO$1000,AO113)-1))</f>
        <v>0.788461538461538</v>
      </c>
      <c r="AO113" s="1" t="n">
        <v>2</v>
      </c>
      <c r="AP113" s="1" t="n">
        <f aca="false">IF(AQ113=AQ112,AP112+AP$1,AP$3-0.5*AP$1*(COUNTIF(AQ$11:AQ$1000,AQ113)-1))</f>
        <v>1.60851063829787</v>
      </c>
      <c r="AQ113" s="1" t="n">
        <v>4</v>
      </c>
      <c r="AR113" s="1" t="n">
        <f aca="false">IF(AS113=AS112,AR112+AR$1,AR$3-0.5*AR$1*(COUNTIF(AS$11:AS$1000,AS113)-1))</f>
        <v>3.16969696969697</v>
      </c>
      <c r="AS113" s="1" t="n">
        <v>5</v>
      </c>
      <c r="AT113" s="1" t="n">
        <f aca="false">IF(AU113=AU112,AT112+AT$1,AT$3-0.5*AT$1*(COUNTIF(AU$11:AU$1000,AU113)-1))</f>
        <v>3.77391304347826</v>
      </c>
      <c r="AU113" s="1" t="n">
        <v>10</v>
      </c>
      <c r="AV113" s="1" t="n">
        <f aca="false">IF(AW113=AW112,AV112+AV$1,AV$3-0.5*AV$1*(COUNTIF(AW$11:AW$1000,AW113)-1))</f>
        <v>4.67142857142857</v>
      </c>
      <c r="AW113" s="1" t="n">
        <v>10</v>
      </c>
      <c r="AY113" s="1" t="n">
        <v>103</v>
      </c>
    </row>
    <row r="114" customFormat="false" ht="16" hidden="false" customHeight="false" outlineLevel="0" collapsed="false">
      <c r="A114" s="1" t="n">
        <v>104</v>
      </c>
      <c r="B114" s="1" t="n">
        <f aca="false">IF(C114=C113,B113+B$1,B$3-0.5*B$1*(COUNTIF(C$11:C$1000,C114)-1))</f>
        <v>1.26666666666667</v>
      </c>
      <c r="C114" s="1" t="n">
        <v>2</v>
      </c>
      <c r="D114" s="1" t="n">
        <f aca="false">IF(E114=E113,D113+D$1,D$3-0.5*D$1*(COUNTIF(E$11:E$1000,E114)-1))</f>
        <v>1.9132530120482</v>
      </c>
      <c r="E114" s="1" t="n">
        <v>2</v>
      </c>
      <c r="F114" s="1" t="n">
        <f aca="false">IF(G114=G113,F113+F$1,F$3-0.5*F$1*(COUNTIF(G$11:G$1000,G114)-1))</f>
        <v>3.01875</v>
      </c>
      <c r="G114" s="1" t="n">
        <v>3</v>
      </c>
      <c r="H114" s="1" t="n">
        <f aca="false">IF(I114=I113,H113+H$1,H$3-0.5*H$1*(COUNTIF(I$11:I$1000,I114)-1))</f>
        <v>4.23636363636363</v>
      </c>
      <c r="I114" s="1" t="n">
        <v>2</v>
      </c>
      <c r="J114" s="1" t="n">
        <f aca="false">IF(K114=K113,J113+J$1,J$3-0.5*J$1*(COUNTIF(K$11:K$1000,K114)-1))</f>
        <v>4.96164383561644</v>
      </c>
      <c r="K114" s="1" t="n">
        <v>3</v>
      </c>
      <c r="L114" s="1" t="n">
        <f aca="false">IF(M114=M113,L113+L$1,L$3-0.5*L$1*(COUNTIF(M$11:M$1000,M114)-1))</f>
        <v>6.29999999999997</v>
      </c>
      <c r="M114" s="1" t="n">
        <v>2</v>
      </c>
      <c r="O114" s="1" t="n">
        <f aca="false">IF(P114=P113,O113+O$1,O$3-0.5*O$1*(COUNTIF(P$11:P$1000,P114)-1))</f>
        <v>1.26666666666667</v>
      </c>
      <c r="P114" s="1" t="n">
        <v>2</v>
      </c>
      <c r="Q114" s="1" t="n">
        <f aca="false">IF(R114=R113,Q113+Q$1,Q$3-0.5*Q$1*(COUNTIF(R$11:R$1000,R114)-1))</f>
        <v>1.97619047619047</v>
      </c>
      <c r="R114" s="1" t="n">
        <v>2</v>
      </c>
      <c r="S114" s="1" t="n">
        <f aca="false">IF(T114=T113,S113+S$1,S$3-0.5*S$1*(COUNTIF(T$11:T$1000,T114)-1))</f>
        <v>2.92</v>
      </c>
      <c r="T114" s="1" t="n">
        <v>4</v>
      </c>
      <c r="U114" s="1" t="n">
        <f aca="false">IF(V114=V113,U113+U$1,U$3-0.5*U$1*(COUNTIF(V$11:V$1000,V114)-1))</f>
        <v>3.81960784313725</v>
      </c>
      <c r="V114" s="1" t="n">
        <v>4</v>
      </c>
      <c r="W114" s="1" t="n">
        <f aca="false">IF(X114=X113,W113+W$1,W$3-0.5*W$1*(COUNTIF(X$11:X$1000,X114)-1))</f>
        <v>4.93846153846154</v>
      </c>
      <c r="X114" s="1" t="n">
        <v>5</v>
      </c>
      <c r="Y114" s="1" t="n">
        <f aca="false">IF(Z114=Z113,Y113+Y$1,Y$3-0.5*Y$1*(COUNTIF(Z$11:Z$1000,Z114)-1))</f>
        <v>6.32820512820513</v>
      </c>
      <c r="Z114" s="1" t="n">
        <v>4</v>
      </c>
      <c r="AB114" s="1" t="n">
        <v>104</v>
      </c>
      <c r="AC114" s="1" t="n">
        <f aca="false">IF(AD114=AD113,AC113+AC$1,AC$3-0.5*AC$1*(COUNTIF(AD$11:AD$1000,AD114)-1))</f>
        <v>0.702857142857143</v>
      </c>
      <c r="AD114" s="1" t="n">
        <v>2</v>
      </c>
      <c r="AE114" s="1" t="n">
        <f aca="false">IF(AF114=AF113,AE113+AE$1,AE$3-0.5*AE$1*(COUNTIF(AF$11:AF$1000,AF114)-1))</f>
        <v>1.93846153846154</v>
      </c>
      <c r="AF114" s="1" t="n">
        <v>3</v>
      </c>
      <c r="AG114" s="1" t="n">
        <f aca="false">IF(AH114=AH113,AG113+AG$1,AG$3-0.5*AG$1*(COUNTIF(AH$11:AH$1000,AH114)-1))</f>
        <v>3.14339622641509</v>
      </c>
      <c r="AH114" s="1" t="n">
        <v>3</v>
      </c>
      <c r="AI114" s="1" t="n">
        <f aca="false">IF(AJ114=AJ113,AI113+AI$1,AI$3-0.5*AI$1*(COUNTIF(AJ$11:AJ$1000,AJ114)-1))</f>
        <v>3.82857142857143</v>
      </c>
      <c r="AJ114" s="1" t="n">
        <v>6</v>
      </c>
      <c r="AK114" s="1" t="n">
        <f aca="false">IF(AL114=AL113,AK113+AK$1,AK$3-0.5*AK$1*(COUNTIF(AL$11:AL$1000,AL114)-1))</f>
        <v>4.9864406779661</v>
      </c>
      <c r="AL114" s="1" t="n">
        <v>4</v>
      </c>
      <c r="AN114" s="1" t="n">
        <f aca="false">IF(AO114=AO113,AN113+AN$1,AN$3-0.5*AN$1*(COUNTIF(AO$11:AO$1000,AO114)-1))</f>
        <v>0.796153846153845</v>
      </c>
      <c r="AO114" s="1" t="n">
        <v>2</v>
      </c>
      <c r="AP114" s="1" t="n">
        <f aca="false">IF(AQ114=AQ113,AP113+AP$1,AP$3-0.5*AP$1*(COUNTIF(AQ$11:AQ$1000,AQ114)-1))</f>
        <v>1.62553191489362</v>
      </c>
      <c r="AQ114" s="1" t="n">
        <v>4</v>
      </c>
      <c r="AR114" s="1" t="n">
        <f aca="false">IF(AS114=AS113,AR113+AR$1,AR$3-0.5*AR$1*(COUNTIF(AS$11:AS$1000,AS114)-1))</f>
        <v>3.1939393939394</v>
      </c>
      <c r="AS114" s="1" t="n">
        <v>5</v>
      </c>
      <c r="AT114" s="1" t="n">
        <f aca="false">IF(AU114=AU113,AT113+AT$1,AT$3-0.5*AT$1*(COUNTIF(AU$11:AU$1000,AU114)-1))</f>
        <v>3.80869565217391</v>
      </c>
      <c r="AU114" s="1" t="n">
        <v>10</v>
      </c>
      <c r="AV114" s="1" t="n">
        <f aca="false">IF(AW114=AW113,AV113+AV$1,AV$3-0.5*AV$1*(COUNTIF(AW$11:AW$1000,AW114)-1))</f>
        <v>4.7</v>
      </c>
      <c r="AW114" s="1" t="n">
        <v>10</v>
      </c>
      <c r="AY114" s="1" t="n">
        <v>104</v>
      </c>
    </row>
    <row r="115" customFormat="false" ht="16" hidden="false" customHeight="false" outlineLevel="0" collapsed="false">
      <c r="A115" s="1" t="n">
        <v>105</v>
      </c>
      <c r="B115" s="1" t="n">
        <f aca="false">IF(C115=C114,B114+B$1,B$3-0.5*B$1*(COUNTIF(C$11:C$1000,C115)-1))</f>
        <v>1.28070175438597</v>
      </c>
      <c r="C115" s="1" t="n">
        <v>2</v>
      </c>
      <c r="D115" s="1" t="n">
        <f aca="false">IF(E115=E114,D114+D$1,D$3-0.5*D$1*(COUNTIF(E$11:E$1000,E115)-1))</f>
        <v>1.92289156626506</v>
      </c>
      <c r="E115" s="1" t="n">
        <v>2</v>
      </c>
      <c r="F115" s="1" t="n">
        <f aca="false">IF(G115=G114,F114+F$1,F$3-0.5*F$1*(COUNTIF(G$11:G$1000,G115)-1))</f>
        <v>3.03125</v>
      </c>
      <c r="G115" s="1" t="n">
        <v>3</v>
      </c>
      <c r="H115" s="1" t="n">
        <f aca="false">IF(I115=I114,H114+H$1,H$3-0.5*H$1*(COUNTIF(I$11:I$1000,I115)-1))</f>
        <v>4.24848484848484</v>
      </c>
      <c r="I115" s="1" t="n">
        <v>2</v>
      </c>
      <c r="J115" s="1" t="n">
        <f aca="false">IF(K115=K114,J114+J$1,J$3-0.5*J$1*(COUNTIF(K$11:K$1000,K115)-1))</f>
        <v>4.97260273972603</v>
      </c>
      <c r="K115" s="1" t="n">
        <v>3</v>
      </c>
      <c r="L115" s="1" t="n">
        <f aca="false">IF(M115=M114,L114+L$1,L$3-0.5*L$1*(COUNTIF(M$11:M$1000,M115)-1))</f>
        <v>6.31052631578945</v>
      </c>
      <c r="M115" s="1" t="n">
        <v>2</v>
      </c>
      <c r="O115" s="1" t="n">
        <f aca="false">IF(P115=P114,O114+O$1,O$3-0.5*O$1*(COUNTIF(P$11:P$1000,P115)-1))</f>
        <v>1.28070175438597</v>
      </c>
      <c r="P115" s="1" t="n">
        <v>2</v>
      </c>
      <c r="Q115" s="1" t="n">
        <f aca="false">IF(R115=R114,Q114+Q$1,Q$3-0.5*Q$1*(COUNTIF(R$11:R$1000,R115)-1))</f>
        <v>1.98571428571428</v>
      </c>
      <c r="R115" s="1" t="n">
        <v>2</v>
      </c>
      <c r="S115" s="1" t="n">
        <f aca="false">IF(T115=T114,S114+S$1,S$3-0.5*S$1*(COUNTIF(T$11:T$1000,T115)-1))</f>
        <v>2.93454545454546</v>
      </c>
      <c r="T115" s="1" t="n">
        <v>4</v>
      </c>
      <c r="U115" s="1" t="n">
        <f aca="false">IF(V115=V114,U114+U$1,U$3-0.5*U$1*(COUNTIF(V$11:V$1000,V115)-1))</f>
        <v>3.83529411764706</v>
      </c>
      <c r="V115" s="1" t="n">
        <v>4</v>
      </c>
      <c r="W115" s="1" t="n">
        <f aca="false">IF(X115=X114,W114+W$1,W$3-0.5*W$1*(COUNTIF(X$11:X$1000,X115)-1))</f>
        <v>4.95897435897436</v>
      </c>
      <c r="X115" s="1" t="n">
        <v>5</v>
      </c>
      <c r="Y115" s="1" t="n">
        <f aca="false">IF(Z115=Z114,Y114+Y$1,Y$3-0.5*Y$1*(COUNTIF(Z$11:Z$1000,Z115)-1))</f>
        <v>6.34871794871795</v>
      </c>
      <c r="Z115" s="1" t="n">
        <v>4</v>
      </c>
      <c r="AB115" s="1" t="n">
        <v>105</v>
      </c>
      <c r="AC115" s="1" t="n">
        <f aca="false">IF(AD115=AD114,AC114+AC$1,AC$3-0.5*AC$1*(COUNTIF(AD$11:AD$1000,AD115)-1))</f>
        <v>0.710476190476191</v>
      </c>
      <c r="AD115" s="1" t="n">
        <v>2</v>
      </c>
      <c r="AE115" s="1" t="n">
        <f aca="false">IF(AF115=AF114,AE114+AE$1,AE$3-0.5*AE$1*(COUNTIF(AF$11:AF$1000,AF115)-1))</f>
        <v>1.95384615384615</v>
      </c>
      <c r="AF115" s="1" t="n">
        <v>3</v>
      </c>
      <c r="AG115" s="1" t="n">
        <f aca="false">IF(AH115=AH114,AG114+AG$1,AG$3-0.5*AG$1*(COUNTIF(AH$11:AH$1000,AH115)-1))</f>
        <v>3.15849056603774</v>
      </c>
      <c r="AH115" s="1" t="n">
        <v>3</v>
      </c>
      <c r="AI115" s="1" t="n">
        <f aca="false">IF(AJ115=AJ114,AI114+AI$1,AI$3-0.5*AI$1*(COUNTIF(AJ$11:AJ$1000,AJ115)-1))</f>
        <v>3.85142857142857</v>
      </c>
      <c r="AJ115" s="1" t="n">
        <v>6</v>
      </c>
      <c r="AK115" s="1" t="n">
        <f aca="false">IF(AL115=AL114,AK114+AK$1,AK$3-0.5*AK$1*(COUNTIF(AL$11:AL$1000,AL115)-1))</f>
        <v>5</v>
      </c>
      <c r="AL115" s="1" t="n">
        <v>4</v>
      </c>
      <c r="AN115" s="1" t="n">
        <f aca="false">IF(AO115=AO114,AN114+AN$1,AN$3-0.5*AN$1*(COUNTIF(AO$11:AO$1000,AO115)-1))</f>
        <v>0.803846153846153</v>
      </c>
      <c r="AO115" s="1" t="n">
        <v>2</v>
      </c>
      <c r="AP115" s="1" t="n">
        <f aca="false">IF(AQ115=AQ114,AP114+AP$1,AP$3-0.5*AP$1*(COUNTIF(AQ$11:AQ$1000,AQ115)-1))</f>
        <v>1.64255319148936</v>
      </c>
      <c r="AQ115" s="1" t="n">
        <v>4</v>
      </c>
      <c r="AR115" s="1" t="n">
        <f aca="false">IF(AS115=AS114,AR114+AR$1,AR$3-0.5*AR$1*(COUNTIF(AS$11:AS$1000,AS115)-1))</f>
        <v>3.21818181818182</v>
      </c>
      <c r="AS115" s="1" t="n">
        <v>5</v>
      </c>
      <c r="AT115" s="1" t="n">
        <f aca="false">IF(AU115=AU114,AT114+AT$1,AT$3-0.5*AT$1*(COUNTIF(AU$11:AU$1000,AU115)-1))</f>
        <v>3.84347826086956</v>
      </c>
      <c r="AU115" s="1" t="n">
        <v>10</v>
      </c>
      <c r="AV115" s="1" t="n">
        <f aca="false">IF(AW115=AW114,AV114+AV$1,AV$3-0.5*AV$1*(COUNTIF(AW$11:AW$1000,AW115)-1))</f>
        <v>4.72857142857143</v>
      </c>
      <c r="AW115" s="1" t="n">
        <v>10</v>
      </c>
      <c r="AY115" s="1" t="n">
        <v>105</v>
      </c>
    </row>
    <row r="116" customFormat="false" ht="16" hidden="false" customHeight="false" outlineLevel="0" collapsed="false">
      <c r="A116" s="1" t="n">
        <v>106</v>
      </c>
      <c r="B116" s="1" t="n">
        <f aca="false">IF(C116=C115,B115+B$1,B$3-0.5*B$1*(COUNTIF(C$11:C$1000,C116)-1))</f>
        <v>1.29473684210527</v>
      </c>
      <c r="C116" s="1" t="n">
        <v>2</v>
      </c>
      <c r="D116" s="1" t="n">
        <f aca="false">IF(E116=E115,D115+D$1,D$3-0.5*D$1*(COUNTIF(E$11:E$1000,E116)-1))</f>
        <v>1.93253012048193</v>
      </c>
      <c r="E116" s="1" t="n">
        <v>2</v>
      </c>
      <c r="F116" s="1" t="n">
        <f aca="false">IF(G116=G115,F115+F$1,F$3-0.5*F$1*(COUNTIF(G$11:G$1000,G116)-1))</f>
        <v>3.04375</v>
      </c>
      <c r="G116" s="1" t="n">
        <v>3</v>
      </c>
      <c r="H116" s="1" t="n">
        <f aca="false">IF(I116=I115,H115+H$1,H$3-0.5*H$1*(COUNTIF(I$11:I$1000,I116)-1))</f>
        <v>4.26060606060606</v>
      </c>
      <c r="I116" s="1" t="n">
        <v>2</v>
      </c>
      <c r="J116" s="1" t="n">
        <f aca="false">IF(K116=K115,J115+J$1,J$3-0.5*J$1*(COUNTIF(K$11:K$1000,K116)-1))</f>
        <v>4.98356164383562</v>
      </c>
      <c r="K116" s="1" t="n">
        <v>3</v>
      </c>
      <c r="L116" s="1" t="n">
        <f aca="false">IF(M116=M115,L115+L$1,L$3-0.5*L$1*(COUNTIF(M$11:M$1000,M116)-1))</f>
        <v>6.32105263157892</v>
      </c>
      <c r="M116" s="1" t="n">
        <v>2</v>
      </c>
      <c r="O116" s="1" t="n">
        <f aca="false">IF(P116=P115,O115+O$1,O$3-0.5*O$1*(COUNTIF(P$11:P$1000,P116)-1))</f>
        <v>1.29473684210527</v>
      </c>
      <c r="P116" s="1" t="n">
        <v>2</v>
      </c>
      <c r="Q116" s="1" t="n">
        <f aca="false">IF(R116=R115,Q115+Q$1,Q$3-0.5*Q$1*(COUNTIF(R$11:R$1000,R116)-1))</f>
        <v>1.99523809523809</v>
      </c>
      <c r="R116" s="1" t="n">
        <v>2</v>
      </c>
      <c r="S116" s="1" t="n">
        <f aca="false">IF(T116=T115,S115+S$1,S$3-0.5*S$1*(COUNTIF(T$11:T$1000,T116)-1))</f>
        <v>2.94909090909091</v>
      </c>
      <c r="T116" s="1" t="n">
        <v>4</v>
      </c>
      <c r="U116" s="1" t="n">
        <f aca="false">IF(V116=V115,U115+U$1,U$3-0.5*U$1*(COUNTIF(V$11:V$1000,V116)-1))</f>
        <v>3.85098039215686</v>
      </c>
      <c r="V116" s="1" t="n">
        <v>4</v>
      </c>
      <c r="W116" s="1" t="n">
        <f aca="false">IF(X116=X115,W115+W$1,W$3-0.5*W$1*(COUNTIF(X$11:X$1000,X116)-1))</f>
        <v>4.97948717948718</v>
      </c>
      <c r="X116" s="1" t="n">
        <v>5</v>
      </c>
      <c r="Y116" s="1" t="n">
        <f aca="false">IF(Z116=Z115,Y115+Y$1,Y$3-0.5*Y$1*(COUNTIF(Z$11:Z$1000,Z116)-1))</f>
        <v>6.36923076923077</v>
      </c>
      <c r="Z116" s="1" t="n">
        <v>4</v>
      </c>
      <c r="AB116" s="1" t="n">
        <v>106</v>
      </c>
      <c r="AC116" s="1" t="n">
        <f aca="false">IF(AD116=AD115,AC115+AC$1,AC$3-0.5*AC$1*(COUNTIF(AD$11:AD$1000,AD116)-1))</f>
        <v>0.718095238095238</v>
      </c>
      <c r="AD116" s="1" t="n">
        <v>2</v>
      </c>
      <c r="AE116" s="1" t="n">
        <f aca="false">IF(AF116=AF115,AE115+AE$1,AE$3-0.5*AE$1*(COUNTIF(AF$11:AF$1000,AF116)-1))</f>
        <v>1.96923076923077</v>
      </c>
      <c r="AF116" s="1" t="n">
        <v>3</v>
      </c>
      <c r="AG116" s="1" t="n">
        <f aca="false">IF(AH116=AH115,AG115+AG$1,AG$3-0.5*AG$1*(COUNTIF(AH$11:AH$1000,AH116)-1))</f>
        <v>3.17358490566038</v>
      </c>
      <c r="AH116" s="1" t="n">
        <v>3</v>
      </c>
      <c r="AI116" s="1" t="n">
        <f aca="false">IF(AJ116=AJ115,AI115+AI$1,AI$3-0.5*AI$1*(COUNTIF(AJ$11:AJ$1000,AJ116)-1))</f>
        <v>3.87428571428571</v>
      </c>
      <c r="AJ116" s="1" t="n">
        <v>6</v>
      </c>
      <c r="AK116" s="1" t="n">
        <f aca="false">IF(AL116=AL115,AK115+AK$1,AK$3-0.5*AK$1*(COUNTIF(AL$11:AL$1000,AL116)-1))</f>
        <v>5.01355932203389</v>
      </c>
      <c r="AL116" s="1" t="n">
        <v>4</v>
      </c>
      <c r="AN116" s="1" t="n">
        <f aca="false">IF(AO116=AO115,AN115+AN$1,AN$3-0.5*AN$1*(COUNTIF(AO$11:AO$1000,AO116)-1))</f>
        <v>0.811538461538461</v>
      </c>
      <c r="AO116" s="1" t="n">
        <v>2</v>
      </c>
      <c r="AP116" s="1" t="n">
        <f aca="false">IF(AQ116=AQ115,AP115+AP$1,AP$3-0.5*AP$1*(COUNTIF(AQ$11:AQ$1000,AQ116)-1))</f>
        <v>1.65957446808511</v>
      </c>
      <c r="AQ116" s="1" t="n">
        <v>4</v>
      </c>
      <c r="AR116" s="1" t="n">
        <f aca="false">IF(AS116=AS115,AR115+AR$1,AR$3-0.5*AR$1*(COUNTIF(AS$11:AS$1000,AS116)-1))</f>
        <v>3.24242424242425</v>
      </c>
      <c r="AS116" s="1" t="n">
        <v>5</v>
      </c>
      <c r="AT116" s="1" t="n">
        <f aca="false">IF(AU116=AU115,AT115+AT$1,AT$3-0.5*AT$1*(COUNTIF(AU$11:AU$1000,AU116)-1))</f>
        <v>3.87826086956522</v>
      </c>
      <c r="AU116" s="1" t="n">
        <v>10</v>
      </c>
      <c r="AV116" s="1" t="n">
        <f aca="false">IF(AW116=AW115,AV115+AV$1,AV$3-0.5*AV$1*(COUNTIF(AW$11:AW$1000,AW116)-1))</f>
        <v>4.75714285714286</v>
      </c>
      <c r="AW116" s="1" t="n">
        <v>10</v>
      </c>
      <c r="AY116" s="1" t="n">
        <v>106</v>
      </c>
    </row>
    <row r="117" customFormat="false" ht="16" hidden="false" customHeight="false" outlineLevel="0" collapsed="false">
      <c r="A117" s="1" t="n">
        <v>107</v>
      </c>
      <c r="B117" s="1" t="n">
        <f aca="false">IF(C117=C116,B116+B$1,B$3-0.5*B$1*(COUNTIF(C$11:C$1000,C117)-1))</f>
        <v>1.30877192982456</v>
      </c>
      <c r="C117" s="1" t="n">
        <v>2</v>
      </c>
      <c r="D117" s="1" t="n">
        <f aca="false">IF(E117=E116,D116+D$1,D$3-0.5*D$1*(COUNTIF(E$11:E$1000,E117)-1))</f>
        <v>1.9421686746988</v>
      </c>
      <c r="E117" s="1" t="n">
        <v>2</v>
      </c>
      <c r="F117" s="1" t="n">
        <f aca="false">IF(G117=G116,F116+F$1,F$3-0.5*F$1*(COUNTIF(G$11:G$1000,G117)-1))</f>
        <v>3.05625</v>
      </c>
      <c r="G117" s="1" t="n">
        <v>3</v>
      </c>
      <c r="H117" s="1" t="n">
        <f aca="false">IF(I117=I116,H116+H$1,H$3-0.5*H$1*(COUNTIF(I$11:I$1000,I117)-1))</f>
        <v>4.27272727272727</v>
      </c>
      <c r="I117" s="1" t="n">
        <v>2</v>
      </c>
      <c r="J117" s="1" t="n">
        <f aca="false">IF(K117=K116,J116+J$1,J$3-0.5*J$1*(COUNTIF(K$11:K$1000,K117)-1))</f>
        <v>4.99452054794521</v>
      </c>
      <c r="K117" s="1" t="n">
        <v>3</v>
      </c>
      <c r="L117" s="1" t="n">
        <f aca="false">IF(M117=M116,L116+L$1,L$3-0.5*L$1*(COUNTIF(M$11:M$1000,M117)-1))</f>
        <v>6.33157894736839</v>
      </c>
      <c r="M117" s="1" t="n">
        <v>2</v>
      </c>
      <c r="O117" s="1" t="n">
        <f aca="false">IF(P117=P116,O116+O$1,O$3-0.5*O$1*(COUNTIF(P$11:P$1000,P117)-1))</f>
        <v>1.30877192982456</v>
      </c>
      <c r="P117" s="1" t="n">
        <v>2</v>
      </c>
      <c r="Q117" s="1" t="n">
        <f aca="false">IF(R117=R116,Q116+Q$1,Q$3-0.5*Q$1*(COUNTIF(R$11:R$1000,R117)-1))</f>
        <v>2.0047619047619</v>
      </c>
      <c r="R117" s="1" t="n">
        <v>2</v>
      </c>
      <c r="S117" s="1" t="n">
        <f aca="false">IF(T117=T116,S116+S$1,S$3-0.5*S$1*(COUNTIF(T$11:T$1000,T117)-1))</f>
        <v>2.96363636363636</v>
      </c>
      <c r="T117" s="1" t="n">
        <v>4</v>
      </c>
      <c r="U117" s="1" t="n">
        <f aca="false">IF(V117=V116,U116+U$1,U$3-0.5*U$1*(COUNTIF(V$11:V$1000,V117)-1))</f>
        <v>3.86666666666667</v>
      </c>
      <c r="V117" s="1" t="n">
        <v>4</v>
      </c>
      <c r="W117" s="1" t="n">
        <f aca="false">IF(X117=X116,W116+W$1,W$3-0.5*W$1*(COUNTIF(X$11:X$1000,X117)-1))</f>
        <v>5</v>
      </c>
      <c r="X117" s="1" t="n">
        <v>5</v>
      </c>
      <c r="Y117" s="1" t="n">
        <f aca="false">IF(Z117=Z116,Y116+Y$1,Y$3-0.5*Y$1*(COUNTIF(Z$11:Z$1000,Z117)-1))</f>
        <v>6.38974358974359</v>
      </c>
      <c r="Z117" s="1" t="n">
        <v>4</v>
      </c>
      <c r="AB117" s="1" t="n">
        <v>107</v>
      </c>
      <c r="AC117" s="1" t="n">
        <f aca="false">IF(AD117=AD116,AC116+AC$1,AC$3-0.5*AC$1*(COUNTIF(AD$11:AD$1000,AD117)-1))</f>
        <v>0.725714285714286</v>
      </c>
      <c r="AD117" s="1" t="n">
        <v>2</v>
      </c>
      <c r="AE117" s="1" t="n">
        <f aca="false">IF(AF117=AF116,AE116+AE$1,AE$3-0.5*AE$1*(COUNTIF(AF$11:AF$1000,AF117)-1))</f>
        <v>1.98461538461538</v>
      </c>
      <c r="AF117" s="1" t="n">
        <v>3</v>
      </c>
      <c r="AG117" s="1" t="n">
        <f aca="false">IF(AH117=AH116,AG116+AG$1,AG$3-0.5*AG$1*(COUNTIF(AH$11:AH$1000,AH117)-1))</f>
        <v>3.18867924528302</v>
      </c>
      <c r="AH117" s="1" t="n">
        <v>3</v>
      </c>
      <c r="AI117" s="1" t="n">
        <f aca="false">IF(AJ117=AJ116,AI116+AI$1,AI$3-0.5*AI$1*(COUNTIF(AJ$11:AJ$1000,AJ117)-1))</f>
        <v>3.89714285714286</v>
      </c>
      <c r="AJ117" s="1" t="n">
        <v>6</v>
      </c>
      <c r="AK117" s="1" t="n">
        <f aca="false">IF(AL117=AL116,AK116+AK$1,AK$3-0.5*AK$1*(COUNTIF(AL$11:AL$1000,AL117)-1))</f>
        <v>5.02711864406779</v>
      </c>
      <c r="AL117" s="1" t="n">
        <v>4</v>
      </c>
      <c r="AN117" s="1" t="n">
        <f aca="false">IF(AO117=AO116,AN116+AN$1,AN$3-0.5*AN$1*(COUNTIF(AO$11:AO$1000,AO117)-1))</f>
        <v>0.819230769230768</v>
      </c>
      <c r="AO117" s="1" t="n">
        <v>2</v>
      </c>
      <c r="AP117" s="1" t="n">
        <f aca="false">IF(AQ117=AQ116,AP116+AP$1,AP$3-0.5*AP$1*(COUNTIF(AQ$11:AQ$1000,AQ117)-1))</f>
        <v>1.67659574468085</v>
      </c>
      <c r="AQ117" s="1" t="n">
        <v>4</v>
      </c>
      <c r="AR117" s="1" t="n">
        <f aca="false">IF(AS117=AS116,AR116+AR$1,AR$3-0.5*AR$1*(COUNTIF(AS$11:AS$1000,AS117)-1))</f>
        <v>3.26666666666667</v>
      </c>
      <c r="AS117" s="1" t="n">
        <v>5</v>
      </c>
      <c r="AT117" s="1" t="n">
        <f aca="false">IF(AU117=AU116,AT116+AT$1,AT$3-0.5*AT$1*(COUNTIF(AU$11:AU$1000,AU117)-1))</f>
        <v>3.91304347826087</v>
      </c>
      <c r="AU117" s="1" t="n">
        <v>10</v>
      </c>
      <c r="AV117" s="1" t="n">
        <f aca="false">IF(AW117=AW116,AV116+AV$1,AV$3-0.5*AV$1*(COUNTIF(AW$11:AW$1000,AW117)-1))</f>
        <v>4.78571428571429</v>
      </c>
      <c r="AW117" s="1" t="n">
        <v>10</v>
      </c>
      <c r="AY117" s="1" t="n">
        <v>107</v>
      </c>
    </row>
    <row r="118" customFormat="false" ht="16" hidden="false" customHeight="false" outlineLevel="0" collapsed="false">
      <c r="A118" s="1" t="n">
        <v>108</v>
      </c>
      <c r="B118" s="1" t="n">
        <f aca="false">IF(C118=C117,B117+B$1,B$3-0.5*B$1*(COUNTIF(C$11:C$1000,C118)-1))</f>
        <v>1.32280701754386</v>
      </c>
      <c r="C118" s="1" t="n">
        <v>2</v>
      </c>
      <c r="D118" s="1" t="n">
        <f aca="false">IF(E118=E117,D117+D$1,D$3-0.5*D$1*(COUNTIF(E$11:E$1000,E118)-1))</f>
        <v>1.95180722891567</v>
      </c>
      <c r="E118" s="1" t="n">
        <v>2</v>
      </c>
      <c r="F118" s="1" t="n">
        <f aca="false">IF(G118=G117,F117+F$1,F$3-0.5*F$1*(COUNTIF(G$11:G$1000,G118)-1))</f>
        <v>3.06875</v>
      </c>
      <c r="G118" s="1" t="n">
        <v>3</v>
      </c>
      <c r="H118" s="1" t="n">
        <f aca="false">IF(I118=I117,H117+H$1,H$3-0.5*H$1*(COUNTIF(I$11:I$1000,I118)-1))</f>
        <v>4.28484848484848</v>
      </c>
      <c r="I118" s="1" t="n">
        <v>2</v>
      </c>
      <c r="J118" s="1" t="n">
        <f aca="false">IF(K118=K117,J117+J$1,J$3-0.5*J$1*(COUNTIF(K$11:K$1000,K118)-1))</f>
        <v>5.0054794520548</v>
      </c>
      <c r="K118" s="1" t="n">
        <v>3</v>
      </c>
      <c r="L118" s="1" t="n">
        <f aca="false">IF(M118=M117,L117+L$1,L$3-0.5*L$1*(COUNTIF(M$11:M$1000,M118)-1))</f>
        <v>6.34210526315787</v>
      </c>
      <c r="M118" s="1" t="n">
        <v>2</v>
      </c>
      <c r="O118" s="1" t="n">
        <f aca="false">IF(P118=P117,O117+O$1,O$3-0.5*O$1*(COUNTIF(P$11:P$1000,P118)-1))</f>
        <v>1.32280701754386</v>
      </c>
      <c r="P118" s="1" t="n">
        <v>2</v>
      </c>
      <c r="Q118" s="1" t="n">
        <f aca="false">IF(R118=R117,Q117+Q$1,Q$3-0.5*Q$1*(COUNTIF(R$11:R$1000,R118)-1))</f>
        <v>2.01428571428571</v>
      </c>
      <c r="R118" s="1" t="n">
        <v>2</v>
      </c>
      <c r="S118" s="1" t="n">
        <f aca="false">IF(T118=T117,S117+S$1,S$3-0.5*S$1*(COUNTIF(T$11:T$1000,T118)-1))</f>
        <v>2.97818181818182</v>
      </c>
      <c r="T118" s="1" t="n">
        <v>4</v>
      </c>
      <c r="U118" s="1" t="n">
        <f aca="false">IF(V118=V117,U117+U$1,U$3-0.5*U$1*(COUNTIF(V$11:V$1000,V118)-1))</f>
        <v>3.88235294117647</v>
      </c>
      <c r="V118" s="1" t="n">
        <v>4</v>
      </c>
      <c r="W118" s="1" t="n">
        <f aca="false">IF(X118=X117,W117+W$1,W$3-0.5*W$1*(COUNTIF(X$11:X$1000,X118)-1))</f>
        <v>5.02051282051282</v>
      </c>
      <c r="X118" s="1" t="n">
        <v>5</v>
      </c>
      <c r="Y118" s="1" t="n">
        <f aca="false">IF(Z118=Z117,Y117+Y$1,Y$3-0.5*Y$1*(COUNTIF(Z$11:Z$1000,Z118)-1))</f>
        <v>5.83589743589744</v>
      </c>
      <c r="Z118" s="1" t="n">
        <v>5</v>
      </c>
      <c r="AB118" s="1" t="n">
        <v>108</v>
      </c>
      <c r="AC118" s="1" t="n">
        <f aca="false">IF(AD118=AD117,AC117+AC$1,AC$3-0.5*AC$1*(COUNTIF(AD$11:AD$1000,AD118)-1))</f>
        <v>0.733333333333334</v>
      </c>
      <c r="AD118" s="1" t="n">
        <v>2</v>
      </c>
      <c r="AE118" s="1" t="n">
        <f aca="false">IF(AF118=AF117,AE117+AE$1,AE$3-0.5*AE$1*(COUNTIF(AF$11:AF$1000,AF118)-1))</f>
        <v>2</v>
      </c>
      <c r="AF118" s="1" t="n">
        <v>3</v>
      </c>
      <c r="AG118" s="1" t="n">
        <f aca="false">IF(AH118=AH117,AG117+AG$1,AG$3-0.5*AG$1*(COUNTIF(AH$11:AH$1000,AH118)-1))</f>
        <v>3.20377358490566</v>
      </c>
      <c r="AH118" s="1" t="n">
        <v>3</v>
      </c>
      <c r="AI118" s="1" t="n">
        <f aca="false">IF(AJ118=AJ117,AI117+AI$1,AI$3-0.5*AI$1*(COUNTIF(AJ$11:AJ$1000,AJ118)-1))</f>
        <v>3.92</v>
      </c>
      <c r="AJ118" s="1" t="n">
        <v>6</v>
      </c>
      <c r="AK118" s="1" t="n">
        <f aca="false">IF(AL118=AL117,AK117+AK$1,AK$3-0.5*AK$1*(COUNTIF(AL$11:AL$1000,AL118)-1))</f>
        <v>5.04067796610169</v>
      </c>
      <c r="AL118" s="1" t="n">
        <v>4</v>
      </c>
      <c r="AN118" s="1" t="n">
        <f aca="false">IF(AO118=AO117,AN117+AN$1,AN$3-0.5*AN$1*(COUNTIF(AO$11:AO$1000,AO118)-1))</f>
        <v>0.826923076923076</v>
      </c>
      <c r="AO118" s="1" t="n">
        <v>2</v>
      </c>
      <c r="AP118" s="1" t="n">
        <f aca="false">IF(AQ118=AQ117,AP117+AP$1,AP$3-0.5*AP$1*(COUNTIF(AQ$11:AQ$1000,AQ118)-1))</f>
        <v>1.6936170212766</v>
      </c>
      <c r="AQ118" s="1" t="n">
        <v>4</v>
      </c>
      <c r="AR118" s="1" t="n">
        <f aca="false">IF(AS118=AS117,AR117+AR$1,AR$3-0.5*AR$1*(COUNTIF(AS$11:AS$1000,AS118)-1))</f>
        <v>2.79393939393939</v>
      </c>
      <c r="AS118" s="1" t="n">
        <v>6</v>
      </c>
      <c r="AT118" s="1" t="n">
        <f aca="false">IF(AU118=AU117,AT117+AT$1,AT$3-0.5*AT$1*(COUNTIF(AU$11:AU$1000,AU118)-1))</f>
        <v>3.94782608695652</v>
      </c>
      <c r="AU118" s="1" t="n">
        <v>10</v>
      </c>
      <c r="AV118" s="1" t="n">
        <f aca="false">IF(AW118=AW117,AV117+AV$1,AV$3-0.5*AV$1*(COUNTIF(AW$11:AW$1000,AW118)-1))</f>
        <v>4.81428571428571</v>
      </c>
      <c r="AW118" s="1" t="n">
        <v>10</v>
      </c>
      <c r="AY118" s="1" t="n">
        <v>108</v>
      </c>
    </row>
    <row r="119" customFormat="false" ht="16" hidden="false" customHeight="false" outlineLevel="0" collapsed="false">
      <c r="A119" s="1" t="n">
        <v>109</v>
      </c>
      <c r="B119" s="1" t="n">
        <f aca="false">IF(C119=C118,B118+B$1,B$3-0.5*B$1*(COUNTIF(C$11:C$1000,C119)-1))</f>
        <v>1.33684210526316</v>
      </c>
      <c r="C119" s="1" t="n">
        <v>2</v>
      </c>
      <c r="D119" s="1" t="n">
        <f aca="false">IF(E119=E118,D118+D$1,D$3-0.5*D$1*(COUNTIF(E$11:E$1000,E119)-1))</f>
        <v>1.96144578313253</v>
      </c>
      <c r="E119" s="1" t="n">
        <v>2</v>
      </c>
      <c r="F119" s="1" t="n">
        <f aca="false">IF(G119=G118,F118+F$1,F$3-0.5*F$1*(COUNTIF(G$11:G$1000,G119)-1))</f>
        <v>2.85</v>
      </c>
      <c r="G119" s="1" t="n">
        <v>4</v>
      </c>
      <c r="H119" s="1" t="n">
        <f aca="false">IF(I119=I118,H118+H$1,H$3-0.5*H$1*(COUNTIF(I$11:I$1000,I119)-1))</f>
        <v>4.29696969696969</v>
      </c>
      <c r="I119" s="1" t="n">
        <v>2</v>
      </c>
      <c r="J119" s="1" t="n">
        <f aca="false">IF(K119=K118,J118+J$1,J$3-0.5*J$1*(COUNTIF(K$11:K$1000,K119)-1))</f>
        <v>5.01643835616439</v>
      </c>
      <c r="K119" s="1" t="n">
        <v>3</v>
      </c>
      <c r="L119" s="1" t="n">
        <f aca="false">IF(M119=M118,L118+L$1,L$3-0.5*L$1*(COUNTIF(M$11:M$1000,M119)-1))</f>
        <v>6.35263157894734</v>
      </c>
      <c r="M119" s="1" t="n">
        <v>2</v>
      </c>
      <c r="O119" s="1" t="n">
        <f aca="false">IF(P119=P118,O118+O$1,O$3-0.5*O$1*(COUNTIF(P$11:P$1000,P119)-1))</f>
        <v>1.33684210526316</v>
      </c>
      <c r="P119" s="1" t="n">
        <v>2</v>
      </c>
      <c r="Q119" s="1" t="n">
        <f aca="false">IF(R119=R118,Q118+Q$1,Q$3-0.5*Q$1*(COUNTIF(R$11:R$1000,R119)-1))</f>
        <v>2.02380952380952</v>
      </c>
      <c r="R119" s="1" t="n">
        <v>2</v>
      </c>
      <c r="S119" s="1" t="n">
        <f aca="false">IF(T119=T118,S118+S$1,S$3-0.5*S$1*(COUNTIF(T$11:T$1000,T119)-1))</f>
        <v>2.99272727272727</v>
      </c>
      <c r="T119" s="1" t="n">
        <v>4</v>
      </c>
      <c r="U119" s="1" t="n">
        <f aca="false">IF(V119=V118,U118+U$1,U$3-0.5*U$1*(COUNTIF(V$11:V$1000,V119)-1))</f>
        <v>3.89803921568627</v>
      </c>
      <c r="V119" s="1" t="n">
        <v>4</v>
      </c>
      <c r="W119" s="1" t="n">
        <f aca="false">IF(X119=X118,W118+W$1,W$3-0.5*W$1*(COUNTIF(X$11:X$1000,X119)-1))</f>
        <v>5.04102564102564</v>
      </c>
      <c r="X119" s="1" t="n">
        <v>5</v>
      </c>
      <c r="Y119" s="1" t="n">
        <f aca="false">IF(Z119=Z118,Y118+Y$1,Y$3-0.5*Y$1*(COUNTIF(Z$11:Z$1000,Z119)-1))</f>
        <v>5.85641025641026</v>
      </c>
      <c r="Z119" s="1" t="n">
        <v>5</v>
      </c>
      <c r="AB119" s="1" t="n">
        <v>109</v>
      </c>
      <c r="AC119" s="1" t="n">
        <f aca="false">IF(AD119=AD118,AC118+AC$1,AC$3-0.5*AC$1*(COUNTIF(AD$11:AD$1000,AD119)-1))</f>
        <v>0.740952380952381</v>
      </c>
      <c r="AD119" s="1" t="n">
        <v>2</v>
      </c>
      <c r="AE119" s="1" t="n">
        <f aca="false">IF(AF119=AF118,AE118+AE$1,AE$3-0.5*AE$1*(COUNTIF(AF$11:AF$1000,AF119)-1))</f>
        <v>2.01538461538461</v>
      </c>
      <c r="AF119" s="1" t="n">
        <v>3</v>
      </c>
      <c r="AG119" s="1" t="n">
        <f aca="false">IF(AH119=AH118,AG118+AG$1,AG$3-0.5*AG$1*(COUNTIF(AH$11:AH$1000,AH119)-1))</f>
        <v>3.2188679245283</v>
      </c>
      <c r="AH119" s="1" t="n">
        <v>3</v>
      </c>
      <c r="AI119" s="1" t="n">
        <f aca="false">IF(AJ119=AJ118,AI118+AI$1,AI$3-0.5*AI$1*(COUNTIF(AJ$11:AJ$1000,AJ119)-1))</f>
        <v>3.94285714285714</v>
      </c>
      <c r="AJ119" s="1" t="n">
        <v>6</v>
      </c>
      <c r="AK119" s="1" t="n">
        <f aca="false">IF(AL119=AL118,AK118+AK$1,AK$3-0.5*AK$1*(COUNTIF(AL$11:AL$1000,AL119)-1))</f>
        <v>5.05423728813559</v>
      </c>
      <c r="AL119" s="1" t="n">
        <v>4</v>
      </c>
      <c r="AN119" s="1" t="n">
        <f aca="false">IF(AO119=AO118,AN118+AN$1,AN$3-0.5*AN$1*(COUNTIF(AO$11:AO$1000,AO119)-1))</f>
        <v>0.834615384615384</v>
      </c>
      <c r="AO119" s="1" t="n">
        <v>2</v>
      </c>
      <c r="AP119" s="1" t="n">
        <f aca="false">IF(AQ119=AQ118,AP118+AP$1,AP$3-0.5*AP$1*(COUNTIF(AQ$11:AQ$1000,AQ119)-1))</f>
        <v>1.71063829787234</v>
      </c>
      <c r="AQ119" s="1" t="n">
        <v>4</v>
      </c>
      <c r="AR119" s="1" t="n">
        <f aca="false">IF(AS119=AS118,AR118+AR$1,AR$3-0.5*AR$1*(COUNTIF(AS$11:AS$1000,AS119)-1))</f>
        <v>2.81818181818182</v>
      </c>
      <c r="AS119" s="1" t="n">
        <v>6</v>
      </c>
      <c r="AT119" s="1" t="n">
        <f aca="false">IF(AU119=AU118,AT118+AT$1,AT$3-0.5*AT$1*(COUNTIF(AU$11:AU$1000,AU119)-1))</f>
        <v>3.98260869565217</v>
      </c>
      <c r="AU119" s="1" t="n">
        <v>10</v>
      </c>
      <c r="AV119" s="1" t="n">
        <f aca="false">IF(AW119=AW118,AV118+AV$1,AV$3-0.5*AV$1*(COUNTIF(AW$11:AW$1000,AW119)-1))</f>
        <v>4.84285714285714</v>
      </c>
      <c r="AW119" s="1" t="n">
        <v>10</v>
      </c>
      <c r="AY119" s="1" t="n">
        <v>109</v>
      </c>
    </row>
    <row r="120" customFormat="false" ht="16" hidden="false" customHeight="false" outlineLevel="0" collapsed="false">
      <c r="A120" s="1" t="n">
        <v>110</v>
      </c>
      <c r="B120" s="1" t="n">
        <f aca="false">IF(C120=C119,B119+B$1,B$3-0.5*B$1*(COUNTIF(C$11:C$1000,C120)-1))</f>
        <v>1.35087719298246</v>
      </c>
      <c r="C120" s="1" t="n">
        <v>2</v>
      </c>
      <c r="D120" s="1" t="n">
        <f aca="false">IF(E120=E119,D119+D$1,D$3-0.5*D$1*(COUNTIF(E$11:E$1000,E120)-1))</f>
        <v>1.9710843373494</v>
      </c>
      <c r="E120" s="1" t="n">
        <v>2</v>
      </c>
      <c r="F120" s="1" t="n">
        <f aca="false">IF(G120=G119,F119+F$1,F$3-0.5*F$1*(COUNTIF(G$11:G$1000,G120)-1))</f>
        <v>2.8625</v>
      </c>
      <c r="G120" s="1" t="n">
        <v>4</v>
      </c>
      <c r="H120" s="1" t="n">
        <f aca="false">IF(I120=I119,H119+H$1,H$3-0.5*H$1*(COUNTIF(I$11:I$1000,I120)-1))</f>
        <v>4.3090909090909</v>
      </c>
      <c r="I120" s="1" t="n">
        <v>2</v>
      </c>
      <c r="J120" s="1" t="n">
        <f aca="false">IF(K120=K119,J119+J$1,J$3-0.5*J$1*(COUNTIF(K$11:K$1000,K120)-1))</f>
        <v>5.02739726027398</v>
      </c>
      <c r="K120" s="1" t="n">
        <v>3</v>
      </c>
      <c r="L120" s="1" t="n">
        <f aca="false">IF(M120=M119,L119+L$1,L$3-0.5*L$1*(COUNTIF(M$11:M$1000,M120)-1))</f>
        <v>6.36315789473681</v>
      </c>
      <c r="M120" s="1" t="n">
        <v>2</v>
      </c>
      <c r="O120" s="1" t="n">
        <f aca="false">IF(P120=P119,O119+O$1,O$3-0.5*O$1*(COUNTIF(P$11:P$1000,P120)-1))</f>
        <v>1.35087719298246</v>
      </c>
      <c r="P120" s="1" t="n">
        <v>2</v>
      </c>
      <c r="Q120" s="1" t="n">
        <f aca="false">IF(R120=R119,Q119+Q$1,Q$3-0.5*Q$1*(COUNTIF(R$11:R$1000,R120)-1))</f>
        <v>2.03333333333333</v>
      </c>
      <c r="R120" s="1" t="n">
        <v>2</v>
      </c>
      <c r="S120" s="1" t="n">
        <f aca="false">IF(T120=T119,S119+S$1,S$3-0.5*S$1*(COUNTIF(T$11:T$1000,T120)-1))</f>
        <v>3.00727272727273</v>
      </c>
      <c r="T120" s="1" t="n">
        <v>4</v>
      </c>
      <c r="U120" s="1" t="n">
        <f aca="false">IF(V120=V119,U119+U$1,U$3-0.5*U$1*(COUNTIF(V$11:V$1000,V120)-1))</f>
        <v>3.91372549019608</v>
      </c>
      <c r="V120" s="1" t="n">
        <v>4</v>
      </c>
      <c r="W120" s="1" t="n">
        <f aca="false">IF(X120=X119,W119+W$1,W$3-0.5*W$1*(COUNTIF(X$11:X$1000,X120)-1))</f>
        <v>5.06153846153846</v>
      </c>
      <c r="X120" s="1" t="n">
        <v>5</v>
      </c>
      <c r="Y120" s="1" t="n">
        <f aca="false">IF(Z120=Z119,Y119+Y$1,Y$3-0.5*Y$1*(COUNTIF(Z$11:Z$1000,Z120)-1))</f>
        <v>5.87692307692308</v>
      </c>
      <c r="Z120" s="1" t="n">
        <v>5</v>
      </c>
      <c r="AB120" s="1" t="n">
        <v>110</v>
      </c>
      <c r="AC120" s="1" t="n">
        <f aca="false">IF(AD120=AD119,AC119+AC$1,AC$3-0.5*AC$1*(COUNTIF(AD$11:AD$1000,AD120)-1))</f>
        <v>0.748571428571429</v>
      </c>
      <c r="AD120" s="1" t="n">
        <v>2</v>
      </c>
      <c r="AE120" s="1" t="n">
        <f aca="false">IF(AF120=AF119,AE119+AE$1,AE$3-0.5*AE$1*(COUNTIF(AF$11:AF$1000,AF120)-1))</f>
        <v>2.03076923076923</v>
      </c>
      <c r="AF120" s="1" t="n">
        <v>3</v>
      </c>
      <c r="AG120" s="1" t="n">
        <f aca="false">IF(AH120=AH119,AG119+AG$1,AG$3-0.5*AG$1*(COUNTIF(AH$11:AH$1000,AH120)-1))</f>
        <v>3.23396226415094</v>
      </c>
      <c r="AH120" s="1" t="n">
        <v>3</v>
      </c>
      <c r="AI120" s="1" t="n">
        <f aca="false">IF(AJ120=AJ119,AI119+AI$1,AI$3-0.5*AI$1*(COUNTIF(AJ$11:AJ$1000,AJ120)-1))</f>
        <v>3.96571428571428</v>
      </c>
      <c r="AJ120" s="1" t="n">
        <v>6</v>
      </c>
      <c r="AK120" s="1" t="n">
        <f aca="false">IF(AL120=AL119,AK119+AK$1,AK$3-0.5*AK$1*(COUNTIF(AL$11:AL$1000,AL120)-1))</f>
        <v>5.06779661016949</v>
      </c>
      <c r="AL120" s="1" t="n">
        <v>4</v>
      </c>
      <c r="AN120" s="1" t="n">
        <f aca="false">IF(AO120=AO119,AN119+AN$1,AN$3-0.5*AN$1*(COUNTIF(AO$11:AO$1000,AO120)-1))</f>
        <v>0.842307692307691</v>
      </c>
      <c r="AO120" s="1" t="n">
        <v>2</v>
      </c>
      <c r="AP120" s="1" t="n">
        <f aca="false">IF(AQ120=AQ119,AP119+AP$1,AP$3-0.5*AP$1*(COUNTIF(AQ$11:AQ$1000,AQ120)-1))</f>
        <v>1.72765957446809</v>
      </c>
      <c r="AQ120" s="1" t="n">
        <v>4</v>
      </c>
      <c r="AR120" s="1" t="n">
        <f aca="false">IF(AS120=AS119,AR119+AR$1,AR$3-0.5*AR$1*(COUNTIF(AS$11:AS$1000,AS120)-1))</f>
        <v>2.84242424242424</v>
      </c>
      <c r="AS120" s="1" t="n">
        <v>6</v>
      </c>
      <c r="AT120" s="1" t="n">
        <f aca="false">IF(AU120=AU119,AT119+AT$1,AT$3-0.5*AT$1*(COUNTIF(AU$11:AU$1000,AU120)-1))</f>
        <v>4.01739130434783</v>
      </c>
      <c r="AU120" s="1" t="n">
        <v>10</v>
      </c>
      <c r="AV120" s="1" t="n">
        <f aca="false">IF(AW120=AW119,AV119+AV$1,AV$3-0.5*AV$1*(COUNTIF(AW$11:AW$1000,AW120)-1))</f>
        <v>4.87142857142857</v>
      </c>
      <c r="AW120" s="1" t="n">
        <v>10</v>
      </c>
      <c r="AY120" s="1" t="n">
        <v>110</v>
      </c>
    </row>
    <row r="121" customFormat="false" ht="16" hidden="false" customHeight="false" outlineLevel="0" collapsed="false">
      <c r="A121" s="1" t="n">
        <v>111</v>
      </c>
      <c r="B121" s="1" t="n">
        <f aca="false">IF(C121=C120,B120+B$1,B$3-0.5*B$1*(COUNTIF(C$11:C$1000,C121)-1))</f>
        <v>1.36491228070176</v>
      </c>
      <c r="C121" s="1" t="n">
        <v>2</v>
      </c>
      <c r="D121" s="1" t="n">
        <f aca="false">IF(E121=E120,D120+D$1,D$3-0.5*D$1*(COUNTIF(E$11:E$1000,E121)-1))</f>
        <v>1.98072289156627</v>
      </c>
      <c r="E121" s="1" t="n">
        <v>2</v>
      </c>
      <c r="F121" s="1" t="n">
        <f aca="false">IF(G121=G120,F120+F$1,F$3-0.5*F$1*(COUNTIF(G$11:G$1000,G121)-1))</f>
        <v>2.875</v>
      </c>
      <c r="G121" s="1" t="n">
        <v>4</v>
      </c>
      <c r="H121" s="1" t="n">
        <f aca="false">IF(I121=I120,H120+H$1,H$3-0.5*H$1*(COUNTIF(I$11:I$1000,I121)-1))</f>
        <v>4.32121212121211</v>
      </c>
      <c r="I121" s="1" t="n">
        <v>2</v>
      </c>
      <c r="J121" s="1" t="n">
        <f aca="false">IF(K121=K120,J120+J$1,J$3-0.5*J$1*(COUNTIF(K$11:K$1000,K121)-1))</f>
        <v>5.03835616438357</v>
      </c>
      <c r="K121" s="1" t="n">
        <v>3</v>
      </c>
      <c r="L121" s="1" t="n">
        <f aca="false">IF(M121=M120,L120+L$1,L$3-0.5*L$1*(COUNTIF(M$11:M$1000,M121)-1))</f>
        <v>6.37368421052629</v>
      </c>
      <c r="M121" s="1" t="n">
        <v>2</v>
      </c>
      <c r="O121" s="1" t="n">
        <f aca="false">IF(P121=P120,O120+O$1,O$3-0.5*O$1*(COUNTIF(P$11:P$1000,P121)-1))</f>
        <v>1.36491228070176</v>
      </c>
      <c r="P121" s="1" t="n">
        <v>2</v>
      </c>
      <c r="Q121" s="1" t="n">
        <f aca="false">IF(R121=R120,Q120+Q$1,Q$3-0.5*Q$1*(COUNTIF(R$11:R$1000,R121)-1))</f>
        <v>2.04285714285714</v>
      </c>
      <c r="R121" s="1" t="n">
        <v>2</v>
      </c>
      <c r="S121" s="1" t="n">
        <f aca="false">IF(T121=T120,S120+S$1,S$3-0.5*S$1*(COUNTIF(T$11:T$1000,T121)-1))</f>
        <v>3.02181818181818</v>
      </c>
      <c r="T121" s="1" t="n">
        <v>4</v>
      </c>
      <c r="U121" s="1" t="n">
        <f aca="false">IF(V121=V120,U120+U$1,U$3-0.5*U$1*(COUNTIF(V$11:V$1000,V121)-1))</f>
        <v>3.92941176470588</v>
      </c>
      <c r="V121" s="1" t="n">
        <v>4</v>
      </c>
      <c r="W121" s="1" t="n">
        <f aca="false">IF(X121=X120,W120+W$1,W$3-0.5*W$1*(COUNTIF(X$11:X$1000,X121)-1))</f>
        <v>5.08205128205128</v>
      </c>
      <c r="X121" s="1" t="n">
        <v>5</v>
      </c>
      <c r="Y121" s="1" t="n">
        <f aca="false">IF(Z121=Z120,Y120+Y$1,Y$3-0.5*Y$1*(COUNTIF(Z$11:Z$1000,Z121)-1))</f>
        <v>5.8974358974359</v>
      </c>
      <c r="Z121" s="1" t="n">
        <v>5</v>
      </c>
      <c r="AB121" s="1" t="n">
        <v>111</v>
      </c>
      <c r="AC121" s="1" t="n">
        <f aca="false">IF(AD121=AD120,AC120+AC$1,AC$3-0.5*AC$1*(COUNTIF(AD$11:AD$1000,AD121)-1))</f>
        <v>0.756190476190477</v>
      </c>
      <c r="AD121" s="1" t="n">
        <v>2</v>
      </c>
      <c r="AE121" s="1" t="n">
        <f aca="false">IF(AF121=AF120,AE120+AE$1,AE$3-0.5*AE$1*(COUNTIF(AF$11:AF$1000,AF121)-1))</f>
        <v>2.04615384615384</v>
      </c>
      <c r="AF121" s="1" t="n">
        <v>3</v>
      </c>
      <c r="AG121" s="1" t="n">
        <f aca="false">IF(AH121=AH120,AG120+AG$1,AG$3-0.5*AG$1*(COUNTIF(AH$11:AH$1000,AH121)-1))</f>
        <v>3.24905660377358</v>
      </c>
      <c r="AH121" s="1" t="n">
        <v>3</v>
      </c>
      <c r="AI121" s="1" t="n">
        <f aca="false">IF(AJ121=AJ120,AI120+AI$1,AI$3-0.5*AI$1*(COUNTIF(AJ$11:AJ$1000,AJ121)-1))</f>
        <v>3.98857142857143</v>
      </c>
      <c r="AJ121" s="1" t="n">
        <v>6</v>
      </c>
      <c r="AK121" s="1" t="n">
        <f aca="false">IF(AL121=AL120,AK120+AK$1,AK$3-0.5*AK$1*(COUNTIF(AL$11:AL$1000,AL121)-1))</f>
        <v>5.08135593220338</v>
      </c>
      <c r="AL121" s="1" t="n">
        <v>4</v>
      </c>
      <c r="AN121" s="1" t="n">
        <f aca="false">IF(AO121=AO120,AN120+AN$1,AN$3-0.5*AN$1*(COUNTIF(AO$11:AO$1000,AO121)-1))</f>
        <v>0.849999999999999</v>
      </c>
      <c r="AO121" s="1" t="n">
        <v>2</v>
      </c>
      <c r="AP121" s="1" t="n">
        <f aca="false">IF(AQ121=AQ120,AP120+AP$1,AP$3-0.5*AP$1*(COUNTIF(AQ$11:AQ$1000,AQ121)-1))</f>
        <v>1.74468085106383</v>
      </c>
      <c r="AQ121" s="1" t="n">
        <v>4</v>
      </c>
      <c r="AR121" s="1" t="n">
        <f aca="false">IF(AS121=AS120,AR120+AR$1,AR$3-0.5*AR$1*(COUNTIF(AS$11:AS$1000,AS121)-1))</f>
        <v>2.86666666666667</v>
      </c>
      <c r="AS121" s="1" t="n">
        <v>6</v>
      </c>
      <c r="AT121" s="1" t="n">
        <f aca="false">IF(AU121=AU120,AT120+AT$1,AT$3-0.5*AT$1*(COUNTIF(AU$11:AU$1000,AU121)-1))</f>
        <v>4.05217391304348</v>
      </c>
      <c r="AU121" s="1" t="n">
        <v>10</v>
      </c>
      <c r="AV121" s="1" t="n">
        <f aca="false">IF(AW121=AW120,AV120+AV$1,AV$3-0.5*AV$1*(COUNTIF(AW$11:AW$1000,AW121)-1))</f>
        <v>4.9</v>
      </c>
      <c r="AW121" s="1" t="n">
        <v>10</v>
      </c>
      <c r="AY121" s="1" t="n">
        <v>111</v>
      </c>
    </row>
    <row r="122" customFormat="false" ht="16" hidden="false" customHeight="false" outlineLevel="0" collapsed="false">
      <c r="A122" s="1" t="n">
        <v>112</v>
      </c>
      <c r="B122" s="1" t="n">
        <f aca="false">IF(C122=C121,B121+B$1,B$3-0.5*B$1*(COUNTIF(C$11:C$1000,C122)-1))</f>
        <v>1.37894736842106</v>
      </c>
      <c r="C122" s="1" t="n">
        <v>2</v>
      </c>
      <c r="D122" s="1" t="n">
        <f aca="false">IF(E122=E121,D121+D$1,D$3-0.5*D$1*(COUNTIF(E$11:E$1000,E122)-1))</f>
        <v>1.99036144578314</v>
      </c>
      <c r="E122" s="1" t="n">
        <v>2</v>
      </c>
      <c r="F122" s="1" t="n">
        <f aca="false">IF(G122=G121,F121+F$1,F$3-0.5*F$1*(COUNTIF(G$11:G$1000,G122)-1))</f>
        <v>2.8875</v>
      </c>
      <c r="G122" s="1" t="n">
        <v>4</v>
      </c>
      <c r="H122" s="1" t="n">
        <f aca="false">IF(I122=I121,H121+H$1,H$3-0.5*H$1*(COUNTIF(I$11:I$1000,I122)-1))</f>
        <v>4.33333333333333</v>
      </c>
      <c r="I122" s="1" t="n">
        <v>2</v>
      </c>
      <c r="J122" s="1" t="n">
        <f aca="false">IF(K122=K121,J121+J$1,J$3-0.5*J$1*(COUNTIF(K$11:K$1000,K122)-1))</f>
        <v>5.04931506849316</v>
      </c>
      <c r="K122" s="1" t="n">
        <v>3</v>
      </c>
      <c r="L122" s="1" t="n">
        <f aca="false">IF(M122=M121,L121+L$1,L$3-0.5*L$1*(COUNTIF(M$11:M$1000,M122)-1))</f>
        <v>6.38421052631576</v>
      </c>
      <c r="M122" s="1" t="n">
        <v>2</v>
      </c>
      <c r="O122" s="1" t="n">
        <f aca="false">IF(P122=P121,O121+O$1,O$3-0.5*O$1*(COUNTIF(P$11:P$1000,P122)-1))</f>
        <v>1.37894736842106</v>
      </c>
      <c r="P122" s="1" t="n">
        <v>2</v>
      </c>
      <c r="Q122" s="1" t="n">
        <f aca="false">IF(R122=R121,Q121+Q$1,Q$3-0.5*Q$1*(COUNTIF(R$11:R$1000,R122)-1))</f>
        <v>2.05238095238095</v>
      </c>
      <c r="R122" s="1" t="n">
        <v>2</v>
      </c>
      <c r="S122" s="1" t="n">
        <f aca="false">IF(T122=T121,S121+S$1,S$3-0.5*S$1*(COUNTIF(T$11:T$1000,T122)-1))</f>
        <v>3.03636363636364</v>
      </c>
      <c r="T122" s="1" t="n">
        <v>4</v>
      </c>
      <c r="U122" s="1" t="n">
        <f aca="false">IF(V122=V121,U121+U$1,U$3-0.5*U$1*(COUNTIF(V$11:V$1000,V122)-1))</f>
        <v>3.94509803921569</v>
      </c>
      <c r="V122" s="1" t="n">
        <v>4</v>
      </c>
      <c r="W122" s="1" t="n">
        <f aca="false">IF(X122=X121,W121+W$1,W$3-0.5*W$1*(COUNTIF(X$11:X$1000,X122)-1))</f>
        <v>5.1025641025641</v>
      </c>
      <c r="X122" s="1" t="n">
        <v>5</v>
      </c>
      <c r="Y122" s="1" t="n">
        <f aca="false">IF(Z122=Z121,Y121+Y$1,Y$3-0.5*Y$1*(COUNTIF(Z$11:Z$1000,Z122)-1))</f>
        <v>5.91794871794872</v>
      </c>
      <c r="Z122" s="1" t="n">
        <v>5</v>
      </c>
      <c r="AB122" s="1" t="n">
        <v>112</v>
      </c>
      <c r="AC122" s="1" t="n">
        <f aca="false">IF(AD122=AD121,AC121+AC$1,AC$3-0.5*AC$1*(COUNTIF(AD$11:AD$1000,AD122)-1))</f>
        <v>0.763809523809524</v>
      </c>
      <c r="AD122" s="1" t="n">
        <v>2</v>
      </c>
      <c r="AE122" s="1" t="n">
        <f aca="false">IF(AF122=AF121,AE121+AE$1,AE$3-0.5*AE$1*(COUNTIF(AF$11:AF$1000,AF122)-1))</f>
        <v>2.06153846153846</v>
      </c>
      <c r="AF122" s="1" t="n">
        <v>3</v>
      </c>
      <c r="AG122" s="1" t="n">
        <f aca="false">IF(AH122=AH121,AG121+AG$1,AG$3-0.5*AG$1*(COUNTIF(AH$11:AH$1000,AH122)-1))</f>
        <v>2.72075471698113</v>
      </c>
      <c r="AH122" s="1" t="n">
        <v>4</v>
      </c>
      <c r="AI122" s="1" t="n">
        <f aca="false">IF(AJ122=AJ121,AI121+AI$1,AI$3-0.5*AI$1*(COUNTIF(AJ$11:AJ$1000,AJ122)-1))</f>
        <v>4.01142857142857</v>
      </c>
      <c r="AJ122" s="1" t="n">
        <v>6</v>
      </c>
      <c r="AK122" s="1" t="n">
        <f aca="false">IF(AL122=AL121,AK121+AK$1,AK$3-0.5*AK$1*(COUNTIF(AL$11:AL$1000,AL122)-1))</f>
        <v>5.09491525423728</v>
      </c>
      <c r="AL122" s="1" t="n">
        <v>4</v>
      </c>
      <c r="AN122" s="1" t="n">
        <f aca="false">IF(AO122=AO121,AN121+AN$1,AN$3-0.5*AN$1*(COUNTIF(AO$11:AO$1000,AO122)-1))</f>
        <v>0.857692307692307</v>
      </c>
      <c r="AO122" s="1" t="n">
        <v>2</v>
      </c>
      <c r="AP122" s="1" t="n">
        <f aca="false">IF(AQ122=AQ121,AP121+AP$1,AP$3-0.5*AP$1*(COUNTIF(AQ$11:AQ$1000,AQ122)-1))</f>
        <v>1.76170212765957</v>
      </c>
      <c r="AQ122" s="1" t="n">
        <v>4</v>
      </c>
      <c r="AR122" s="1" t="n">
        <f aca="false">IF(AS122=AS121,AR121+AR$1,AR$3-0.5*AR$1*(COUNTIF(AS$11:AS$1000,AS122)-1))</f>
        <v>2.89090909090909</v>
      </c>
      <c r="AS122" s="1" t="n">
        <v>6</v>
      </c>
      <c r="AT122" s="1" t="n">
        <f aca="false">IF(AU122=AU121,AT121+AT$1,AT$3-0.5*AT$1*(COUNTIF(AU$11:AU$1000,AU122)-1))</f>
        <v>4.08695652173913</v>
      </c>
      <c r="AU122" s="1" t="n">
        <v>10</v>
      </c>
      <c r="AV122" s="1" t="n">
        <f aca="false">IF(AW122=AW121,AV121+AV$1,AV$3-0.5*AV$1*(COUNTIF(AW$11:AW$1000,AW122)-1))</f>
        <v>4.92857142857143</v>
      </c>
      <c r="AW122" s="1" t="n">
        <v>10</v>
      </c>
      <c r="AY122" s="1" t="n">
        <v>112</v>
      </c>
    </row>
    <row r="123" customFormat="false" ht="16" hidden="false" customHeight="false" outlineLevel="0" collapsed="false">
      <c r="A123" s="1" t="n">
        <v>113</v>
      </c>
      <c r="B123" s="1" t="n">
        <f aca="false">IF(C123=C122,B122+B$1,B$3-0.5*B$1*(COUNTIF(C$11:C$1000,C123)-1))</f>
        <v>1.39298245614035</v>
      </c>
      <c r="C123" s="1" t="n">
        <v>2</v>
      </c>
      <c r="D123" s="1" t="n">
        <f aca="false">IF(E123=E122,D122+D$1,D$3-0.5*D$1*(COUNTIF(E$11:E$1000,E123)-1))</f>
        <v>2</v>
      </c>
      <c r="E123" s="1" t="n">
        <v>2</v>
      </c>
      <c r="F123" s="1" t="n">
        <f aca="false">IF(G123=G122,F122+F$1,F$3-0.5*F$1*(COUNTIF(G$11:G$1000,G123)-1))</f>
        <v>2.9</v>
      </c>
      <c r="G123" s="1" t="n">
        <v>4</v>
      </c>
      <c r="H123" s="1" t="n">
        <f aca="false">IF(I123=I122,H122+H$1,H$3-0.5*H$1*(COUNTIF(I$11:I$1000,I123)-1))</f>
        <v>4.34545454545454</v>
      </c>
      <c r="I123" s="1" t="n">
        <v>2</v>
      </c>
      <c r="J123" s="1" t="n">
        <f aca="false">IF(K123=K122,J122+J$1,J$3-0.5*J$1*(COUNTIF(K$11:K$1000,K123)-1))</f>
        <v>5.06027397260274</v>
      </c>
      <c r="K123" s="1" t="n">
        <v>3</v>
      </c>
      <c r="L123" s="1" t="n">
        <f aca="false">IF(M123=M122,L122+L$1,L$3-0.5*L$1*(COUNTIF(M$11:M$1000,M123)-1))</f>
        <v>6.39473684210523</v>
      </c>
      <c r="M123" s="1" t="n">
        <v>2</v>
      </c>
      <c r="O123" s="1" t="n">
        <f aca="false">IF(P123=P122,O122+O$1,O$3-0.5*O$1*(COUNTIF(P$11:P$1000,P123)-1))</f>
        <v>1.39298245614035</v>
      </c>
      <c r="P123" s="1" t="n">
        <v>2</v>
      </c>
      <c r="Q123" s="1" t="n">
        <f aca="false">IF(R123=R122,Q122+Q$1,Q$3-0.5*Q$1*(COUNTIF(R$11:R$1000,R123)-1))</f>
        <v>2.06190476190476</v>
      </c>
      <c r="R123" s="1" t="n">
        <v>2</v>
      </c>
      <c r="S123" s="1" t="n">
        <f aca="false">IF(T123=T122,S122+S$1,S$3-0.5*S$1*(COUNTIF(T$11:T$1000,T123)-1))</f>
        <v>3.05090909090909</v>
      </c>
      <c r="T123" s="1" t="n">
        <v>4</v>
      </c>
      <c r="U123" s="1" t="n">
        <f aca="false">IF(V123=V122,U122+U$1,U$3-0.5*U$1*(COUNTIF(V$11:V$1000,V123)-1))</f>
        <v>3.96078431372549</v>
      </c>
      <c r="V123" s="1" t="n">
        <v>4</v>
      </c>
      <c r="W123" s="1" t="n">
        <f aca="false">IF(X123=X122,W122+W$1,W$3-0.5*W$1*(COUNTIF(X$11:X$1000,X123)-1))</f>
        <v>5.12307692307692</v>
      </c>
      <c r="X123" s="1" t="n">
        <v>5</v>
      </c>
      <c r="Y123" s="1" t="n">
        <f aca="false">IF(Z123=Z122,Y122+Y$1,Y$3-0.5*Y$1*(COUNTIF(Z$11:Z$1000,Z123)-1))</f>
        <v>5.93846153846154</v>
      </c>
      <c r="Z123" s="1" t="n">
        <v>5</v>
      </c>
      <c r="AB123" s="1" t="n">
        <v>113</v>
      </c>
      <c r="AC123" s="1" t="n">
        <f aca="false">IF(AD123=AD122,AC122+AC$1,AC$3-0.5*AC$1*(COUNTIF(AD$11:AD$1000,AD123)-1))</f>
        <v>0.771428571428572</v>
      </c>
      <c r="AD123" s="1" t="n">
        <v>2</v>
      </c>
      <c r="AE123" s="1" t="n">
        <f aca="false">IF(AF123=AF122,AE122+AE$1,AE$3-0.5*AE$1*(COUNTIF(AF$11:AF$1000,AF123)-1))</f>
        <v>2.07692307692308</v>
      </c>
      <c r="AF123" s="1" t="n">
        <v>3</v>
      </c>
      <c r="AG123" s="1" t="n">
        <f aca="false">IF(AH123=AH122,AG122+AG$1,AG$3-0.5*AG$1*(COUNTIF(AH$11:AH$1000,AH123)-1))</f>
        <v>2.73584905660377</v>
      </c>
      <c r="AH123" s="1" t="n">
        <v>4</v>
      </c>
      <c r="AI123" s="1" t="n">
        <f aca="false">IF(AJ123=AJ122,AI122+AI$1,AI$3-0.5*AI$1*(COUNTIF(AJ$11:AJ$1000,AJ123)-1))</f>
        <v>4.03428571428571</v>
      </c>
      <c r="AJ123" s="1" t="n">
        <v>6</v>
      </c>
      <c r="AK123" s="1" t="n">
        <f aca="false">IF(AL123=AL122,AK122+AK$1,AK$3-0.5*AK$1*(COUNTIF(AL$11:AL$1000,AL123)-1))</f>
        <v>5.10847457627118</v>
      </c>
      <c r="AL123" s="1" t="n">
        <v>4</v>
      </c>
      <c r="AN123" s="1" t="n">
        <f aca="false">IF(AO123=AO122,AN122+AN$1,AN$3-0.5*AN$1*(COUNTIF(AO$11:AO$1000,AO123)-1))</f>
        <v>0.865384615384614</v>
      </c>
      <c r="AO123" s="1" t="n">
        <v>2</v>
      </c>
      <c r="AP123" s="1" t="n">
        <f aca="false">IF(AQ123=AQ122,AP122+AP$1,AP$3-0.5*AP$1*(COUNTIF(AQ$11:AQ$1000,AQ123)-1))</f>
        <v>1.77872340425532</v>
      </c>
      <c r="AQ123" s="1" t="n">
        <v>4</v>
      </c>
      <c r="AR123" s="1" t="n">
        <f aca="false">IF(AS123=AS122,AR122+AR$1,AR$3-0.5*AR$1*(COUNTIF(AS$11:AS$1000,AS123)-1))</f>
        <v>2.91515151515152</v>
      </c>
      <c r="AS123" s="1" t="n">
        <v>6</v>
      </c>
      <c r="AT123" s="1" t="n">
        <f aca="false">IF(AU123=AU122,AT122+AT$1,AT$3-0.5*AT$1*(COUNTIF(AU$11:AU$1000,AU123)-1))</f>
        <v>4.12173913043478</v>
      </c>
      <c r="AU123" s="1" t="n">
        <v>10</v>
      </c>
      <c r="AV123" s="1" t="n">
        <f aca="false">IF(AW123=AW122,AV122+AV$1,AV$3-0.5*AV$1*(COUNTIF(AW$11:AW$1000,AW123)-1))</f>
        <v>4.95714285714286</v>
      </c>
      <c r="AW123" s="1" t="n">
        <v>10</v>
      </c>
      <c r="AY123" s="1" t="n">
        <v>113</v>
      </c>
    </row>
    <row r="124" customFormat="false" ht="16" hidden="false" customHeight="false" outlineLevel="0" collapsed="false">
      <c r="A124" s="1" t="n">
        <v>114</v>
      </c>
      <c r="B124" s="1" t="n">
        <f aca="false">IF(C124=C123,B123+B$1,B$3-0.5*B$1*(COUNTIF(C$11:C$1000,C124)-1))</f>
        <v>1</v>
      </c>
      <c r="C124" s="1" t="n">
        <v>3</v>
      </c>
      <c r="D124" s="1" t="n">
        <f aca="false">IF(E124=E123,D123+D$1,D$3-0.5*D$1*(COUNTIF(E$11:E$1000,E124)-1))</f>
        <v>2.00963855421687</v>
      </c>
      <c r="E124" s="1" t="n">
        <v>2</v>
      </c>
      <c r="F124" s="1" t="n">
        <f aca="false">IF(G124=G123,F123+F$1,F$3-0.5*F$1*(COUNTIF(G$11:G$1000,G124)-1))</f>
        <v>2.9125</v>
      </c>
      <c r="G124" s="1" t="n">
        <v>4</v>
      </c>
      <c r="H124" s="1" t="n">
        <f aca="false">IF(I124=I123,H123+H$1,H$3-0.5*H$1*(COUNTIF(I$11:I$1000,I124)-1))</f>
        <v>4.35757575757575</v>
      </c>
      <c r="I124" s="1" t="n">
        <v>2</v>
      </c>
      <c r="J124" s="1" t="n">
        <f aca="false">IF(K124=K123,J123+J$1,J$3-0.5*J$1*(COUNTIF(K$11:K$1000,K124)-1))</f>
        <v>5.07123287671233</v>
      </c>
      <c r="K124" s="1" t="n">
        <v>3</v>
      </c>
      <c r="L124" s="1" t="n">
        <f aca="false">IF(M124=M123,L123+L$1,L$3-0.5*L$1*(COUNTIF(M$11:M$1000,M124)-1))</f>
        <v>5.87368421052632</v>
      </c>
      <c r="M124" s="1" t="n">
        <v>3</v>
      </c>
      <c r="O124" s="1" t="n">
        <f aca="false">IF(P124=P123,O123+O$1,O$3-0.5*O$1*(COUNTIF(P$11:P$1000,P124)-1))</f>
        <v>1</v>
      </c>
      <c r="P124" s="1" t="n">
        <v>3</v>
      </c>
      <c r="Q124" s="1" t="n">
        <f aca="false">IF(R124=R123,Q123+Q$1,Q$3-0.5*Q$1*(COUNTIF(R$11:R$1000,R124)-1))</f>
        <v>2.07142857142857</v>
      </c>
      <c r="R124" s="1" t="n">
        <v>2</v>
      </c>
      <c r="S124" s="1" t="n">
        <f aca="false">IF(T124=T123,S123+S$1,S$3-0.5*S$1*(COUNTIF(T$11:T$1000,T124)-1))</f>
        <v>3.06545454545455</v>
      </c>
      <c r="T124" s="1" t="n">
        <v>4</v>
      </c>
      <c r="U124" s="1" t="n">
        <f aca="false">IF(V124=V123,U123+U$1,U$3-0.5*U$1*(COUNTIF(V$11:V$1000,V124)-1))</f>
        <v>3.97647058823529</v>
      </c>
      <c r="V124" s="1" t="n">
        <v>4</v>
      </c>
      <c r="W124" s="1" t="n">
        <f aca="false">IF(X124=X123,W123+W$1,W$3-0.5*W$1*(COUNTIF(X$11:X$1000,X124)-1))</f>
        <v>5.14358974358974</v>
      </c>
      <c r="X124" s="1" t="n">
        <v>5</v>
      </c>
      <c r="Y124" s="1" t="n">
        <f aca="false">IF(Z124=Z123,Y123+Y$1,Y$3-0.5*Y$1*(COUNTIF(Z$11:Z$1000,Z124)-1))</f>
        <v>5.95897435897436</v>
      </c>
      <c r="Z124" s="1" t="n">
        <v>5</v>
      </c>
      <c r="AB124" s="1" t="n">
        <v>114</v>
      </c>
      <c r="AC124" s="1" t="n">
        <f aca="false">IF(AD124=AD123,AC123+AC$1,AC$3-0.5*AC$1*(COUNTIF(AD$11:AD$1000,AD124)-1))</f>
        <v>0.779047619047619</v>
      </c>
      <c r="AD124" s="1" t="n">
        <v>2</v>
      </c>
      <c r="AE124" s="1" t="n">
        <f aca="false">IF(AF124=AF123,AE123+AE$1,AE$3-0.5*AE$1*(COUNTIF(AF$11:AF$1000,AF124)-1))</f>
        <v>2.09230769230769</v>
      </c>
      <c r="AF124" s="1" t="n">
        <v>3</v>
      </c>
      <c r="AG124" s="1" t="n">
        <f aca="false">IF(AH124=AH123,AG123+AG$1,AG$3-0.5*AG$1*(COUNTIF(AH$11:AH$1000,AH124)-1))</f>
        <v>2.75094339622642</v>
      </c>
      <c r="AH124" s="1" t="n">
        <v>4</v>
      </c>
      <c r="AI124" s="1" t="n">
        <f aca="false">IF(AJ124=AJ123,AI123+AI$1,AI$3-0.5*AI$1*(COUNTIF(AJ$11:AJ$1000,AJ124)-1))</f>
        <v>4.05714285714286</v>
      </c>
      <c r="AJ124" s="1" t="n">
        <v>6</v>
      </c>
      <c r="AK124" s="1" t="n">
        <f aca="false">IF(AL124=AL123,AK123+AK$1,AK$3-0.5*AK$1*(COUNTIF(AL$11:AL$1000,AL124)-1))</f>
        <v>5.12203389830508</v>
      </c>
      <c r="AL124" s="1" t="n">
        <v>4</v>
      </c>
      <c r="AN124" s="1" t="n">
        <f aca="false">IF(AO124=AO123,AN123+AN$1,AN$3-0.5*AN$1*(COUNTIF(AO$11:AO$1000,AO124)-1))</f>
        <v>0.873076923076922</v>
      </c>
      <c r="AO124" s="1" t="n">
        <v>2</v>
      </c>
      <c r="AP124" s="1" t="n">
        <f aca="false">IF(AQ124=AQ123,AP123+AP$1,AP$3-0.5*AP$1*(COUNTIF(AQ$11:AQ$1000,AQ124)-1))</f>
        <v>1.79574468085106</v>
      </c>
      <c r="AQ124" s="1" t="n">
        <v>4</v>
      </c>
      <c r="AR124" s="1" t="n">
        <f aca="false">IF(AS124=AS123,AR123+AR$1,AR$3-0.5*AR$1*(COUNTIF(AS$11:AS$1000,AS124)-1))</f>
        <v>2.93939393939394</v>
      </c>
      <c r="AS124" s="1" t="n">
        <v>6</v>
      </c>
      <c r="AT124" s="1" t="n">
        <f aca="false">IF(AU124=AU123,AT123+AT$1,AT$3-0.5*AT$1*(COUNTIF(AU$11:AU$1000,AU124)-1))</f>
        <v>4.15652173913043</v>
      </c>
      <c r="AU124" s="1" t="n">
        <v>10</v>
      </c>
      <c r="AV124" s="1" t="n">
        <f aca="false">IF(AW124=AW123,AV123+AV$1,AV$3-0.5*AV$1*(COUNTIF(AW$11:AW$1000,AW124)-1))</f>
        <v>4.98571428571428</v>
      </c>
      <c r="AW124" s="1" t="n">
        <v>10</v>
      </c>
      <c r="AY124" s="1" t="n">
        <v>114</v>
      </c>
    </row>
    <row r="125" customFormat="false" ht="16" hidden="false" customHeight="false" outlineLevel="0" collapsed="false">
      <c r="A125" s="1" t="n">
        <v>115</v>
      </c>
      <c r="B125" s="1" t="n">
        <f aca="false">IF(C125=C124,B124+B$1,B$3-0.5*B$1*(COUNTIF(C$11:C$1000,C125)-1))</f>
        <v>1</v>
      </c>
      <c r="C125" s="1" t="n">
        <v>4</v>
      </c>
      <c r="D125" s="1" t="n">
        <f aca="false">IF(E125=E124,D124+D$1,D$3-0.5*D$1*(COUNTIF(E$11:E$1000,E125)-1))</f>
        <v>2.01927710843374</v>
      </c>
      <c r="E125" s="1" t="n">
        <v>2</v>
      </c>
      <c r="F125" s="1" t="n">
        <f aca="false">IF(G125=G124,F124+F$1,F$3-0.5*F$1*(COUNTIF(G$11:G$1000,G125)-1))</f>
        <v>2.925</v>
      </c>
      <c r="G125" s="1" t="n">
        <v>4</v>
      </c>
      <c r="H125" s="1" t="n">
        <f aca="false">IF(I125=I124,H124+H$1,H$3-0.5*H$1*(COUNTIF(I$11:I$1000,I125)-1))</f>
        <v>4.36969696969696</v>
      </c>
      <c r="I125" s="1" t="n">
        <v>2</v>
      </c>
      <c r="J125" s="1" t="n">
        <f aca="false">IF(K125=K124,J124+J$1,J$3-0.5*J$1*(COUNTIF(K$11:K$1000,K125)-1))</f>
        <v>4.88493150684932</v>
      </c>
      <c r="K125" s="1" t="n">
        <v>4</v>
      </c>
      <c r="L125" s="1" t="n">
        <f aca="false">IF(M125=M124,L124+L$1,L$3-0.5*L$1*(COUNTIF(M$11:M$1000,M125)-1))</f>
        <v>5.88421052631579</v>
      </c>
      <c r="M125" s="1" t="n">
        <v>3</v>
      </c>
      <c r="O125" s="1" t="n">
        <f aca="false">IF(P125=P124,O124+O$1,O$3-0.5*O$1*(COUNTIF(P$11:P$1000,P125)-1))</f>
        <v>1</v>
      </c>
      <c r="P125" s="1" t="n">
        <v>4</v>
      </c>
      <c r="Q125" s="1" t="n">
        <f aca="false">IF(R125=R124,Q124+Q$1,Q$3-0.5*Q$1*(COUNTIF(R$11:R$1000,R125)-1))</f>
        <v>2.08095238095238</v>
      </c>
      <c r="R125" s="1" t="n">
        <v>2</v>
      </c>
      <c r="S125" s="1" t="n">
        <f aca="false">IF(T125=T124,S124+S$1,S$3-0.5*S$1*(COUNTIF(T$11:T$1000,T125)-1))</f>
        <v>3.08</v>
      </c>
      <c r="T125" s="1" t="n">
        <v>4</v>
      </c>
      <c r="U125" s="1" t="n">
        <f aca="false">IF(V125=V124,U124+U$1,U$3-0.5*U$1*(COUNTIF(V$11:V$1000,V125)-1))</f>
        <v>3.9921568627451</v>
      </c>
      <c r="V125" s="1" t="n">
        <v>4</v>
      </c>
      <c r="W125" s="1" t="n">
        <f aca="false">IF(X125=X124,W124+W$1,W$3-0.5*W$1*(COUNTIF(X$11:X$1000,X125)-1))</f>
        <v>4.83589743589744</v>
      </c>
      <c r="X125" s="1" t="n">
        <v>6</v>
      </c>
      <c r="Y125" s="1" t="n">
        <f aca="false">IF(Z125=Z124,Y124+Y$1,Y$3-0.5*Y$1*(COUNTIF(Z$11:Z$1000,Z125)-1))</f>
        <v>5.97948717948718</v>
      </c>
      <c r="Z125" s="1" t="n">
        <v>5</v>
      </c>
      <c r="AB125" s="1" t="n">
        <v>115</v>
      </c>
      <c r="AC125" s="1" t="n">
        <f aca="false">IF(AD125=AD124,AC124+AC$1,AC$3-0.5*AC$1*(COUNTIF(AD$11:AD$1000,AD125)-1))</f>
        <v>0.786666666666667</v>
      </c>
      <c r="AD125" s="1" t="n">
        <v>2</v>
      </c>
      <c r="AE125" s="1" t="n">
        <f aca="false">IF(AF125=AF124,AE124+AE$1,AE$3-0.5*AE$1*(COUNTIF(AF$11:AF$1000,AF125)-1))</f>
        <v>2.10769230769231</v>
      </c>
      <c r="AF125" s="1" t="n">
        <v>3</v>
      </c>
      <c r="AG125" s="1" t="n">
        <f aca="false">IF(AH125=AH124,AG124+AG$1,AG$3-0.5*AG$1*(COUNTIF(AH$11:AH$1000,AH125)-1))</f>
        <v>2.76603773584906</v>
      </c>
      <c r="AH125" s="1" t="n">
        <v>4</v>
      </c>
      <c r="AI125" s="1" t="n">
        <f aca="false">IF(AJ125=AJ124,AI124+AI$1,AI$3-0.5*AI$1*(COUNTIF(AJ$11:AJ$1000,AJ125)-1))</f>
        <v>4.08</v>
      </c>
      <c r="AJ125" s="1" t="n">
        <v>6</v>
      </c>
      <c r="AK125" s="1" t="n">
        <f aca="false">IF(AL125=AL124,AK124+AK$1,AK$3-0.5*AK$1*(COUNTIF(AL$11:AL$1000,AL125)-1))</f>
        <v>5.13559322033898</v>
      </c>
      <c r="AL125" s="1" t="n">
        <v>4</v>
      </c>
      <c r="AN125" s="1" t="n">
        <f aca="false">IF(AO125=AO124,AN124+AN$1,AN$3-0.5*AN$1*(COUNTIF(AO$11:AO$1000,AO125)-1))</f>
        <v>0.88076923076923</v>
      </c>
      <c r="AO125" s="1" t="n">
        <v>2</v>
      </c>
      <c r="AP125" s="1" t="n">
        <f aca="false">IF(AQ125=AQ124,AP124+AP$1,AP$3-0.5*AP$1*(COUNTIF(AQ$11:AQ$1000,AQ125)-1))</f>
        <v>1.81276595744681</v>
      </c>
      <c r="AQ125" s="1" t="n">
        <v>4</v>
      </c>
      <c r="AR125" s="1" t="n">
        <f aca="false">IF(AS125=AS124,AR124+AR$1,AR$3-0.5*AR$1*(COUNTIF(AS$11:AS$1000,AS125)-1))</f>
        <v>2.96363636363636</v>
      </c>
      <c r="AS125" s="1" t="n">
        <v>6</v>
      </c>
      <c r="AT125" s="1" t="n">
        <f aca="false">IF(AU125=AU124,AT124+AT$1,AT$3-0.5*AT$1*(COUNTIF(AU$11:AU$1000,AU125)-1))</f>
        <v>4.19130434782609</v>
      </c>
      <c r="AU125" s="1" t="n">
        <v>10</v>
      </c>
      <c r="AV125" s="1" t="n">
        <f aca="false">IF(AW125=AW124,AV124+AV$1,AV$3-0.5*AV$1*(COUNTIF(AW$11:AW$1000,AW125)-1))</f>
        <v>5.01428571428571</v>
      </c>
      <c r="AW125" s="1" t="n">
        <v>10</v>
      </c>
      <c r="AY125" s="1" t="n">
        <v>115</v>
      </c>
    </row>
    <row r="126" customFormat="false" ht="16" hidden="false" customHeight="false" outlineLevel="0" collapsed="false">
      <c r="A126" s="1" t="n">
        <v>116</v>
      </c>
      <c r="B126" s="1" t="n">
        <v>-1</v>
      </c>
      <c r="C126" s="1" t="n">
        <v>-1</v>
      </c>
      <c r="D126" s="1" t="n">
        <f aca="false">IF(E126=E125,D125+D$1,D$3-0.5*D$1*(COUNTIF(E$11:E$1000,E126)-1))</f>
        <v>2.0289156626506</v>
      </c>
      <c r="E126" s="1" t="n">
        <v>2</v>
      </c>
      <c r="F126" s="1" t="n">
        <f aca="false">IF(G126=G125,F125+F$1,F$3-0.5*F$1*(COUNTIF(G$11:G$1000,G126)-1))</f>
        <v>2.9375</v>
      </c>
      <c r="G126" s="1" t="n">
        <v>4</v>
      </c>
      <c r="H126" s="1" t="n">
        <f aca="false">IF(I126=I125,H125+H$1,H$3-0.5*H$1*(COUNTIF(I$11:I$1000,I126)-1))</f>
        <v>4.38181818181817</v>
      </c>
      <c r="I126" s="1" t="n">
        <v>2</v>
      </c>
      <c r="J126" s="1" t="n">
        <f aca="false">IF(K126=K125,J125+J$1,J$3-0.5*J$1*(COUNTIF(K$11:K$1000,K126)-1))</f>
        <v>4.89589041095891</v>
      </c>
      <c r="K126" s="1" t="n">
        <v>4</v>
      </c>
      <c r="L126" s="1" t="n">
        <f aca="false">IF(M126=M125,L125+L$1,L$3-0.5*L$1*(COUNTIF(M$11:M$1000,M126)-1))</f>
        <v>5.89473684210526</v>
      </c>
      <c r="M126" s="1" t="n">
        <v>3</v>
      </c>
      <c r="O126" s="1" t="n">
        <v>-1</v>
      </c>
      <c r="P126" s="1" t="n">
        <v>-1</v>
      </c>
      <c r="Q126" s="1" t="n">
        <f aca="false">IF(R126=R125,Q125+Q$1,Q$3-0.5*Q$1*(COUNTIF(R$11:R$1000,R126)-1))</f>
        <v>2.09047619047619</v>
      </c>
      <c r="R126" s="1" t="n">
        <v>2</v>
      </c>
      <c r="S126" s="1" t="n">
        <f aca="false">IF(T126=T125,S125+S$1,S$3-0.5*S$1*(COUNTIF(T$11:T$1000,T126)-1))</f>
        <v>3.09454545454546</v>
      </c>
      <c r="T126" s="1" t="n">
        <v>4</v>
      </c>
      <c r="U126" s="1" t="n">
        <f aca="false">IF(V126=V125,U125+U$1,U$3-0.5*U$1*(COUNTIF(V$11:V$1000,V126)-1))</f>
        <v>4.0078431372549</v>
      </c>
      <c r="V126" s="1" t="n">
        <v>4</v>
      </c>
      <c r="W126" s="1" t="n">
        <f aca="false">IF(X126=X125,W125+W$1,W$3-0.5*W$1*(COUNTIF(X$11:X$1000,X126)-1))</f>
        <v>4.85641025641026</v>
      </c>
      <c r="X126" s="1" t="n">
        <v>6</v>
      </c>
      <c r="Y126" s="1" t="n">
        <f aca="false">IF(Z126=Z125,Y125+Y$1,Y$3-0.5*Y$1*(COUNTIF(Z$11:Z$1000,Z126)-1))</f>
        <v>6</v>
      </c>
      <c r="Z126" s="1" t="n">
        <v>5</v>
      </c>
      <c r="AB126" s="1" t="n">
        <v>116</v>
      </c>
      <c r="AC126" s="1" t="n">
        <f aca="false">IF(AD126=AD125,AC125+AC$1,AC$3-0.5*AC$1*(COUNTIF(AD$11:AD$1000,AD126)-1))</f>
        <v>0.794285714285715</v>
      </c>
      <c r="AD126" s="1" t="n">
        <v>2</v>
      </c>
      <c r="AE126" s="1" t="n">
        <f aca="false">IF(AF126=AF125,AE125+AE$1,AE$3-0.5*AE$1*(COUNTIF(AF$11:AF$1000,AF126)-1))</f>
        <v>2.12307692307692</v>
      </c>
      <c r="AF126" s="1" t="n">
        <v>3</v>
      </c>
      <c r="AG126" s="1" t="n">
        <f aca="false">IF(AH126=AH125,AG125+AG$1,AG$3-0.5*AG$1*(COUNTIF(AH$11:AH$1000,AH126)-1))</f>
        <v>2.7811320754717</v>
      </c>
      <c r="AH126" s="1" t="n">
        <v>4</v>
      </c>
      <c r="AI126" s="1" t="n">
        <f aca="false">IF(AJ126=AJ125,AI125+AI$1,AI$3-0.5*AI$1*(COUNTIF(AJ$11:AJ$1000,AJ126)-1))</f>
        <v>4.10285714285714</v>
      </c>
      <c r="AJ126" s="1" t="n">
        <v>6</v>
      </c>
      <c r="AK126" s="1" t="n">
        <f aca="false">IF(AL126=AL125,AK125+AK$1,AK$3-0.5*AK$1*(COUNTIF(AL$11:AL$1000,AL126)-1))</f>
        <v>5.14915254237287</v>
      </c>
      <c r="AL126" s="1" t="n">
        <v>4</v>
      </c>
      <c r="AN126" s="1" t="n">
        <f aca="false">IF(AO126=AO125,AN125+AN$1,AN$3-0.5*AN$1*(COUNTIF(AO$11:AO$1000,AO126)-1))</f>
        <v>0.888461538461537</v>
      </c>
      <c r="AO126" s="1" t="n">
        <v>2</v>
      </c>
      <c r="AP126" s="1" t="n">
        <f aca="false">IF(AQ126=AQ125,AP125+AP$1,AP$3-0.5*AP$1*(COUNTIF(AQ$11:AQ$1000,AQ126)-1))</f>
        <v>1.82978723404255</v>
      </c>
      <c r="AQ126" s="1" t="n">
        <v>4</v>
      </c>
      <c r="AR126" s="1" t="n">
        <f aca="false">IF(AS126=AS125,AR125+AR$1,AR$3-0.5*AR$1*(COUNTIF(AS$11:AS$1000,AS126)-1))</f>
        <v>2.98787878787879</v>
      </c>
      <c r="AS126" s="1" t="n">
        <v>6</v>
      </c>
      <c r="AT126" s="1" t="n">
        <f aca="false">IF(AU126=AU125,AT125+AT$1,AT$3-0.5*AT$1*(COUNTIF(AU$11:AU$1000,AU126)-1))</f>
        <v>4.22608695652174</v>
      </c>
      <c r="AU126" s="1" t="n">
        <v>10</v>
      </c>
      <c r="AV126" s="1" t="n">
        <f aca="false">IF(AW126=AW125,AV125+AV$1,AV$3-0.5*AV$1*(COUNTIF(AW$11:AW$1000,AW126)-1))</f>
        <v>5.04285714285714</v>
      </c>
      <c r="AW126" s="1" t="n">
        <v>10</v>
      </c>
      <c r="AY126" s="1" t="n">
        <v>116</v>
      </c>
    </row>
    <row r="127" customFormat="false" ht="16" hidden="false" customHeight="false" outlineLevel="0" collapsed="false">
      <c r="A127" s="1" t="n">
        <v>117</v>
      </c>
      <c r="B127" s="1" t="n">
        <v>-1</v>
      </c>
      <c r="C127" s="1" t="n">
        <v>-1</v>
      </c>
      <c r="D127" s="1" t="n">
        <f aca="false">IF(E127=E126,D126+D$1,D$3-0.5*D$1*(COUNTIF(E$11:E$1000,E127)-1))</f>
        <v>2.03855421686747</v>
      </c>
      <c r="E127" s="1" t="n">
        <v>2</v>
      </c>
      <c r="F127" s="1" t="n">
        <f aca="false">IF(G127=G126,F126+F$1,F$3-0.5*F$1*(COUNTIF(G$11:G$1000,G127)-1))</f>
        <v>2.95</v>
      </c>
      <c r="G127" s="1" t="n">
        <v>4</v>
      </c>
      <c r="H127" s="1" t="n">
        <f aca="false">IF(I127=I126,H126+H$1,H$3-0.5*H$1*(COUNTIF(I$11:I$1000,I127)-1))</f>
        <v>4.39393939393939</v>
      </c>
      <c r="I127" s="1" t="n">
        <v>2</v>
      </c>
      <c r="J127" s="1" t="n">
        <f aca="false">IF(K127=K126,J126+J$1,J$3-0.5*J$1*(COUNTIF(K$11:K$1000,K127)-1))</f>
        <v>4.90684931506849</v>
      </c>
      <c r="K127" s="1" t="n">
        <v>4</v>
      </c>
      <c r="L127" s="1" t="n">
        <f aca="false">IF(M127=M126,L126+L$1,L$3-0.5*L$1*(COUNTIF(M$11:M$1000,M127)-1))</f>
        <v>5.90526315789474</v>
      </c>
      <c r="M127" s="1" t="n">
        <v>3</v>
      </c>
      <c r="O127" s="1" t="n">
        <v>-1</v>
      </c>
      <c r="P127" s="1" t="n">
        <v>-1</v>
      </c>
      <c r="Q127" s="1" t="n">
        <f aca="false">IF(R127=R126,Q126+Q$1,Q$3-0.5*Q$1*(COUNTIF(R$11:R$1000,R127)-1))</f>
        <v>2.1</v>
      </c>
      <c r="R127" s="1" t="n">
        <v>2</v>
      </c>
      <c r="S127" s="1" t="n">
        <f aca="false">IF(T127=T126,S126+S$1,S$3-0.5*S$1*(COUNTIF(T$11:T$1000,T127)-1))</f>
        <v>3.10909090909091</v>
      </c>
      <c r="T127" s="1" t="n">
        <v>4</v>
      </c>
      <c r="U127" s="1" t="n">
        <f aca="false">IF(V127=V126,U126+U$1,U$3-0.5*U$1*(COUNTIF(V$11:V$1000,V127)-1))</f>
        <v>4.02352941176471</v>
      </c>
      <c r="V127" s="1" t="n">
        <v>4</v>
      </c>
      <c r="W127" s="1" t="n">
        <f aca="false">IF(X127=X126,W126+W$1,W$3-0.5*W$1*(COUNTIF(X$11:X$1000,X127)-1))</f>
        <v>4.87692307692308</v>
      </c>
      <c r="X127" s="1" t="n">
        <v>6</v>
      </c>
      <c r="Y127" s="1" t="n">
        <f aca="false">IF(Z127=Z126,Y126+Y$1,Y$3-0.5*Y$1*(COUNTIF(Z$11:Z$1000,Z127)-1))</f>
        <v>6.02051282051282</v>
      </c>
      <c r="Z127" s="1" t="n">
        <v>5</v>
      </c>
      <c r="AB127" s="1" t="n">
        <v>117</v>
      </c>
      <c r="AC127" s="1" t="n">
        <f aca="false">IF(AD127=AD126,AC126+AC$1,AC$3-0.5*AC$1*(COUNTIF(AD$11:AD$1000,AD127)-1))</f>
        <v>0.801904761904762</v>
      </c>
      <c r="AD127" s="1" t="n">
        <v>2</v>
      </c>
      <c r="AE127" s="1" t="n">
        <f aca="false">IF(AF127=AF126,AE126+AE$1,AE$3-0.5*AE$1*(COUNTIF(AF$11:AF$1000,AF127)-1))</f>
        <v>2.13846153846154</v>
      </c>
      <c r="AF127" s="1" t="n">
        <v>3</v>
      </c>
      <c r="AG127" s="1" t="n">
        <f aca="false">IF(AH127=AH126,AG126+AG$1,AG$3-0.5*AG$1*(COUNTIF(AH$11:AH$1000,AH127)-1))</f>
        <v>2.79622641509434</v>
      </c>
      <c r="AH127" s="1" t="n">
        <v>4</v>
      </c>
      <c r="AI127" s="1" t="n">
        <f aca="false">IF(AJ127=AJ126,AI126+AI$1,AI$3-0.5*AI$1*(COUNTIF(AJ$11:AJ$1000,AJ127)-1))</f>
        <v>4.12571428571428</v>
      </c>
      <c r="AJ127" s="1" t="n">
        <v>6</v>
      </c>
      <c r="AK127" s="1" t="n">
        <f aca="false">IF(AL127=AL126,AK126+AK$1,AK$3-0.5*AK$1*(COUNTIF(AL$11:AL$1000,AL127)-1))</f>
        <v>5.16271186440677</v>
      </c>
      <c r="AL127" s="1" t="n">
        <v>4</v>
      </c>
      <c r="AN127" s="1" t="n">
        <f aca="false">IF(AO127=AO126,AN126+AN$1,AN$3-0.5*AN$1*(COUNTIF(AO$11:AO$1000,AO127)-1))</f>
        <v>0.896153846153845</v>
      </c>
      <c r="AO127" s="1" t="n">
        <v>2</v>
      </c>
      <c r="AP127" s="1" t="n">
        <f aca="false">IF(AQ127=AQ126,AP126+AP$1,AP$3-0.5*AP$1*(COUNTIF(AQ$11:AQ$1000,AQ127)-1))</f>
        <v>1.8468085106383</v>
      </c>
      <c r="AQ127" s="1" t="n">
        <v>4</v>
      </c>
      <c r="AR127" s="1" t="n">
        <f aca="false">IF(AS127=AS126,AR126+AR$1,AR$3-0.5*AR$1*(COUNTIF(AS$11:AS$1000,AS127)-1))</f>
        <v>3.01212121212121</v>
      </c>
      <c r="AS127" s="1" t="n">
        <v>6</v>
      </c>
      <c r="AT127" s="1" t="n">
        <f aca="false">IF(AU127=AU126,AT126+AT$1,AT$3-0.5*AT$1*(COUNTIF(AU$11:AU$1000,AU127)-1))</f>
        <v>4.26086956521739</v>
      </c>
      <c r="AU127" s="1" t="n">
        <v>10</v>
      </c>
      <c r="AV127" s="1" t="n">
        <f aca="false">IF(AW127=AW126,AV126+AV$1,AV$3-0.5*AV$1*(COUNTIF(AW$11:AW$1000,AW127)-1))</f>
        <v>5.07142857142857</v>
      </c>
      <c r="AW127" s="1" t="n">
        <v>10</v>
      </c>
      <c r="AY127" s="1" t="n">
        <v>117</v>
      </c>
    </row>
    <row r="128" customFormat="false" ht="16" hidden="false" customHeight="false" outlineLevel="0" collapsed="false">
      <c r="A128" s="1" t="n">
        <v>118</v>
      </c>
      <c r="B128" s="1" t="n">
        <v>-1</v>
      </c>
      <c r="C128" s="1" t="n">
        <v>-1</v>
      </c>
      <c r="D128" s="1" t="n">
        <f aca="false">IF(E128=E127,D127+D$1,D$3-0.5*D$1*(COUNTIF(E$11:E$1000,E128)-1))</f>
        <v>2.04819277108434</v>
      </c>
      <c r="E128" s="1" t="n">
        <v>2</v>
      </c>
      <c r="F128" s="1" t="n">
        <f aca="false">IF(G128=G127,F127+F$1,F$3-0.5*F$1*(COUNTIF(G$11:G$1000,G128)-1))</f>
        <v>2.9625</v>
      </c>
      <c r="G128" s="1" t="n">
        <v>4</v>
      </c>
      <c r="H128" s="1" t="n">
        <f aca="false">IF(I128=I127,H127+H$1,H$3-0.5*H$1*(COUNTIF(I$11:I$1000,I128)-1))</f>
        <v>3.91515151515151</v>
      </c>
      <c r="I128" s="1" t="n">
        <v>3</v>
      </c>
      <c r="J128" s="1" t="n">
        <f aca="false">IF(K128=K127,J127+J$1,J$3-0.5*J$1*(COUNTIF(K$11:K$1000,K128)-1))</f>
        <v>4.91780821917808</v>
      </c>
      <c r="K128" s="1" t="n">
        <v>4</v>
      </c>
      <c r="L128" s="1" t="n">
        <f aca="false">IF(M128=M127,L127+L$1,L$3-0.5*L$1*(COUNTIF(M$11:M$1000,M128)-1))</f>
        <v>5.91578947368421</v>
      </c>
      <c r="M128" s="1" t="n">
        <v>3</v>
      </c>
      <c r="O128" s="1" t="n">
        <v>-1</v>
      </c>
      <c r="P128" s="1" t="n">
        <v>-1</v>
      </c>
      <c r="Q128" s="1" t="n">
        <f aca="false">IF(R128=R127,Q127+Q$1,Q$3-0.5*Q$1*(COUNTIF(R$11:R$1000,R128)-1))</f>
        <v>2.10952380952381</v>
      </c>
      <c r="R128" s="1" t="n">
        <v>2</v>
      </c>
      <c r="S128" s="1" t="n">
        <f aca="false">IF(T128=T127,S127+S$1,S$3-0.5*S$1*(COUNTIF(T$11:T$1000,T128)-1))</f>
        <v>3.12363636363637</v>
      </c>
      <c r="T128" s="1" t="n">
        <v>4</v>
      </c>
      <c r="U128" s="1" t="n">
        <f aca="false">IF(V128=V127,U127+U$1,U$3-0.5*U$1*(COUNTIF(V$11:V$1000,V128)-1))</f>
        <v>4.03921568627451</v>
      </c>
      <c r="V128" s="1" t="n">
        <v>4</v>
      </c>
      <c r="W128" s="1" t="n">
        <f aca="false">IF(X128=X127,W127+W$1,W$3-0.5*W$1*(COUNTIF(X$11:X$1000,X128)-1))</f>
        <v>4.8974358974359</v>
      </c>
      <c r="X128" s="1" t="n">
        <v>6</v>
      </c>
      <c r="Y128" s="1" t="n">
        <f aca="false">IF(Z128=Z127,Y127+Y$1,Y$3-0.5*Y$1*(COUNTIF(Z$11:Z$1000,Z128)-1))</f>
        <v>6.04102564102564</v>
      </c>
      <c r="Z128" s="1" t="n">
        <v>5</v>
      </c>
      <c r="AB128" s="1" t="n">
        <v>118</v>
      </c>
      <c r="AC128" s="1" t="n">
        <f aca="false">IF(AD128=AD127,AC127+AC$1,AC$3-0.5*AC$1*(COUNTIF(AD$11:AD$1000,AD128)-1))</f>
        <v>0.80952380952381</v>
      </c>
      <c r="AD128" s="1" t="n">
        <v>2</v>
      </c>
      <c r="AE128" s="1" t="n">
        <f aca="false">IF(AF128=AF127,AE127+AE$1,AE$3-0.5*AE$1*(COUNTIF(AF$11:AF$1000,AF128)-1))</f>
        <v>2.15384615384615</v>
      </c>
      <c r="AF128" s="1" t="n">
        <v>3</v>
      </c>
      <c r="AG128" s="1" t="n">
        <f aca="false">IF(AH128=AH127,AG127+AG$1,AG$3-0.5*AG$1*(COUNTIF(AH$11:AH$1000,AH128)-1))</f>
        <v>2.81132075471698</v>
      </c>
      <c r="AH128" s="1" t="n">
        <v>4</v>
      </c>
      <c r="AI128" s="1" t="n">
        <f aca="false">IF(AJ128=AJ127,AI127+AI$1,AI$3-0.5*AI$1*(COUNTIF(AJ$11:AJ$1000,AJ128)-1))</f>
        <v>4.14857142857143</v>
      </c>
      <c r="AJ128" s="1" t="n">
        <v>6</v>
      </c>
      <c r="AK128" s="1" t="n">
        <f aca="false">IF(AL128=AL127,AK127+AK$1,AK$3-0.5*AK$1*(COUNTIF(AL$11:AL$1000,AL128)-1))</f>
        <v>5.17627118644067</v>
      </c>
      <c r="AL128" s="1" t="n">
        <v>4</v>
      </c>
      <c r="AN128" s="1" t="n">
        <f aca="false">IF(AO128=AO127,AN127+AN$1,AN$3-0.5*AN$1*(COUNTIF(AO$11:AO$1000,AO128)-1))</f>
        <v>0.903846153846153</v>
      </c>
      <c r="AO128" s="1" t="n">
        <v>2</v>
      </c>
      <c r="AP128" s="1" t="n">
        <f aca="false">IF(AQ128=AQ127,AP127+AP$1,AP$3-0.5*AP$1*(COUNTIF(AQ$11:AQ$1000,AQ128)-1))</f>
        <v>1.86382978723404</v>
      </c>
      <c r="AQ128" s="1" t="n">
        <v>4</v>
      </c>
      <c r="AR128" s="1" t="n">
        <f aca="false">IF(AS128=AS127,AR127+AR$1,AR$3-0.5*AR$1*(COUNTIF(AS$11:AS$1000,AS128)-1))</f>
        <v>3.03636363636364</v>
      </c>
      <c r="AS128" s="1" t="n">
        <v>6</v>
      </c>
      <c r="AT128" s="1" t="n">
        <f aca="false">IF(AU128=AU127,AT127+AT$1,AT$3-0.5*AT$1*(COUNTIF(AU$11:AU$1000,AU128)-1))</f>
        <v>4</v>
      </c>
      <c r="AU128" s="1" t="n">
        <v>11</v>
      </c>
      <c r="AV128" s="1" t="n">
        <f aca="false">IF(AW128=AW127,AV127+AV$1,AV$3-0.5*AV$1*(COUNTIF(AW$11:AW$1000,AW128)-1))</f>
        <v>5.1</v>
      </c>
      <c r="AW128" s="1" t="n">
        <v>10</v>
      </c>
      <c r="AY128" s="1" t="n">
        <v>118</v>
      </c>
    </row>
    <row r="129" customFormat="false" ht="16" hidden="false" customHeight="false" outlineLevel="0" collapsed="false">
      <c r="A129" s="1" t="n">
        <v>119</v>
      </c>
      <c r="B129" s="1" t="n">
        <v>-1</v>
      </c>
      <c r="C129" s="1" t="n">
        <v>-1</v>
      </c>
      <c r="D129" s="1" t="n">
        <f aca="false">IF(E129=E128,D128+D$1,D$3-0.5*D$1*(COUNTIF(E$11:E$1000,E129)-1))</f>
        <v>2.05783132530121</v>
      </c>
      <c r="E129" s="1" t="n">
        <v>2</v>
      </c>
      <c r="F129" s="1" t="n">
        <f aca="false">IF(G129=G128,F128+F$1,F$3-0.5*F$1*(COUNTIF(G$11:G$1000,G129)-1))</f>
        <v>2.975</v>
      </c>
      <c r="G129" s="1" t="n">
        <v>4</v>
      </c>
      <c r="H129" s="1" t="n">
        <f aca="false">IF(I129=I128,H128+H$1,H$3-0.5*H$1*(COUNTIF(I$11:I$1000,I129)-1))</f>
        <v>3.92727272727273</v>
      </c>
      <c r="I129" s="1" t="n">
        <v>3</v>
      </c>
      <c r="J129" s="1" t="n">
        <f aca="false">IF(K129=K128,J128+J$1,J$3-0.5*J$1*(COUNTIF(K$11:K$1000,K129)-1))</f>
        <v>4.92876712328767</v>
      </c>
      <c r="K129" s="1" t="n">
        <v>4</v>
      </c>
      <c r="L129" s="1" t="n">
        <f aca="false">IF(M129=M128,L128+L$1,L$3-0.5*L$1*(COUNTIF(M$11:M$1000,M129)-1))</f>
        <v>5.92631578947368</v>
      </c>
      <c r="M129" s="1" t="n">
        <v>3</v>
      </c>
      <c r="O129" s="1" t="n">
        <v>-1</v>
      </c>
      <c r="P129" s="1" t="n">
        <v>-1</v>
      </c>
      <c r="Q129" s="1" t="n">
        <f aca="false">IF(R129=R128,Q128+Q$1,Q$3-0.5*Q$1*(COUNTIF(R$11:R$1000,R129)-1))</f>
        <v>2.11904761904762</v>
      </c>
      <c r="R129" s="1" t="n">
        <v>2</v>
      </c>
      <c r="S129" s="1" t="n">
        <f aca="false">IF(T129=T128,S128+S$1,S$3-0.5*S$1*(COUNTIF(T$11:T$1000,T129)-1))</f>
        <v>3.13818181818182</v>
      </c>
      <c r="T129" s="1" t="n">
        <v>4</v>
      </c>
      <c r="U129" s="1" t="n">
        <f aca="false">IF(V129=V128,U128+U$1,U$3-0.5*U$1*(COUNTIF(V$11:V$1000,V129)-1))</f>
        <v>4.05490196078431</v>
      </c>
      <c r="V129" s="1" t="n">
        <v>4</v>
      </c>
      <c r="W129" s="1" t="n">
        <f aca="false">IF(X129=X128,W128+W$1,W$3-0.5*W$1*(COUNTIF(X$11:X$1000,X129)-1))</f>
        <v>4.91794871794872</v>
      </c>
      <c r="X129" s="1" t="n">
        <v>6</v>
      </c>
      <c r="Y129" s="1" t="n">
        <f aca="false">IF(Z129=Z128,Y128+Y$1,Y$3-0.5*Y$1*(COUNTIF(Z$11:Z$1000,Z129)-1))</f>
        <v>6.06153846153846</v>
      </c>
      <c r="Z129" s="1" t="n">
        <v>5</v>
      </c>
      <c r="AB129" s="1" t="n">
        <v>119</v>
      </c>
      <c r="AC129" s="1" t="n">
        <f aca="false">IF(AD129=AD128,AC128+AC$1,AC$3-0.5*AC$1*(COUNTIF(AD$11:AD$1000,AD129)-1))</f>
        <v>0.817142857142858</v>
      </c>
      <c r="AD129" s="1" t="n">
        <v>2</v>
      </c>
      <c r="AE129" s="1" t="n">
        <f aca="false">IF(AF129=AF128,AE128+AE$1,AE$3-0.5*AE$1*(COUNTIF(AF$11:AF$1000,AF129)-1))</f>
        <v>2.16923076923077</v>
      </c>
      <c r="AF129" s="1" t="n">
        <v>3</v>
      </c>
      <c r="AG129" s="1" t="n">
        <f aca="false">IF(AH129=AH128,AG128+AG$1,AG$3-0.5*AG$1*(COUNTIF(AH$11:AH$1000,AH129)-1))</f>
        <v>2.82641509433962</v>
      </c>
      <c r="AH129" s="1" t="n">
        <v>4</v>
      </c>
      <c r="AI129" s="1" t="n">
        <f aca="false">IF(AJ129=AJ128,AI128+AI$1,AI$3-0.5*AI$1*(COUNTIF(AJ$11:AJ$1000,AJ129)-1))</f>
        <v>4.17142857142857</v>
      </c>
      <c r="AJ129" s="1" t="n">
        <v>6</v>
      </c>
      <c r="AK129" s="1" t="n">
        <f aca="false">IF(AL129=AL128,AK128+AK$1,AK$3-0.5*AK$1*(COUNTIF(AL$11:AL$1000,AL129)-1))</f>
        <v>5.18983050847457</v>
      </c>
      <c r="AL129" s="1" t="n">
        <v>4</v>
      </c>
      <c r="AN129" s="1" t="n">
        <f aca="false">IF(AO129=AO128,AN128+AN$1,AN$3-0.5*AN$1*(COUNTIF(AO$11:AO$1000,AO129)-1))</f>
        <v>0.91153846153846</v>
      </c>
      <c r="AO129" s="1" t="n">
        <v>2</v>
      </c>
      <c r="AP129" s="1" t="n">
        <f aca="false">IF(AQ129=AQ128,AP128+AP$1,AP$3-0.5*AP$1*(COUNTIF(AQ$11:AQ$1000,AQ129)-1))</f>
        <v>1.88085106382979</v>
      </c>
      <c r="AQ129" s="1" t="n">
        <v>4</v>
      </c>
      <c r="AR129" s="1" t="n">
        <f aca="false">IF(AS129=AS128,AR128+AR$1,AR$3-0.5*AR$1*(COUNTIF(AS$11:AS$1000,AS129)-1))</f>
        <v>3.06060606060606</v>
      </c>
      <c r="AS129" s="1" t="n">
        <v>6</v>
      </c>
      <c r="AT129" s="1" t="n">
        <f aca="false">IF(AU129=AU128,AT128+AT$1,AT$3-0.5*AT$1*(COUNTIF(AU$11:AU$1000,AU129)-1))</f>
        <v>3.87826086956522</v>
      </c>
      <c r="AU129" s="1" t="n">
        <v>12</v>
      </c>
      <c r="AV129" s="1" t="n">
        <f aca="false">IF(AW129=AW128,AV128+AV$1,AV$3-0.5*AV$1*(COUNTIF(AW$11:AW$1000,AW129)-1))</f>
        <v>5.12857142857143</v>
      </c>
      <c r="AW129" s="1" t="n">
        <v>10</v>
      </c>
      <c r="AY129" s="1" t="n">
        <v>119</v>
      </c>
    </row>
    <row r="130" customFormat="false" ht="16" hidden="false" customHeight="false" outlineLevel="0" collapsed="false">
      <c r="A130" s="1" t="n">
        <v>120</v>
      </c>
      <c r="B130" s="1" t="n">
        <v>-1</v>
      </c>
      <c r="C130" s="1" t="n">
        <v>-1</v>
      </c>
      <c r="D130" s="1" t="n">
        <f aca="false">IF(E130=E129,D129+D$1,D$3-0.5*D$1*(COUNTIF(E$11:E$1000,E130)-1))</f>
        <v>2.06746987951807</v>
      </c>
      <c r="E130" s="1" t="n">
        <v>2</v>
      </c>
      <c r="F130" s="1" t="n">
        <f aca="false">IF(G130=G129,F129+F$1,F$3-0.5*F$1*(COUNTIF(G$11:G$1000,G130)-1))</f>
        <v>2.9875</v>
      </c>
      <c r="G130" s="1" t="n">
        <v>4</v>
      </c>
      <c r="H130" s="1" t="n">
        <f aca="false">IF(I130=I129,H129+H$1,H$3-0.5*H$1*(COUNTIF(I$11:I$1000,I130)-1))</f>
        <v>3.93939393939394</v>
      </c>
      <c r="I130" s="1" t="n">
        <v>3</v>
      </c>
      <c r="J130" s="1" t="n">
        <f aca="false">IF(K130=K129,J129+J$1,J$3-0.5*J$1*(COUNTIF(K$11:K$1000,K130)-1))</f>
        <v>4.93972602739726</v>
      </c>
      <c r="K130" s="1" t="n">
        <v>4</v>
      </c>
      <c r="L130" s="1" t="n">
        <f aca="false">IF(M130=M129,L129+L$1,L$3-0.5*L$1*(COUNTIF(M$11:M$1000,M130)-1))</f>
        <v>5.93684210526316</v>
      </c>
      <c r="M130" s="1" t="n">
        <v>3</v>
      </c>
      <c r="O130" s="1" t="n">
        <v>-1</v>
      </c>
      <c r="P130" s="1" t="n">
        <v>-1</v>
      </c>
      <c r="Q130" s="1" t="n">
        <f aca="false">IF(R130=R129,Q129+Q$1,Q$3-0.5*Q$1*(COUNTIF(R$11:R$1000,R130)-1))</f>
        <v>2.12857142857143</v>
      </c>
      <c r="R130" s="1" t="n">
        <v>2</v>
      </c>
      <c r="S130" s="1" t="n">
        <f aca="false">IF(T130=T129,S129+S$1,S$3-0.5*S$1*(COUNTIF(T$11:T$1000,T130)-1))</f>
        <v>3.15272727272727</v>
      </c>
      <c r="T130" s="1" t="n">
        <v>4</v>
      </c>
      <c r="U130" s="1" t="n">
        <f aca="false">IF(V130=V129,U129+U$1,U$3-0.5*U$1*(COUNTIF(V$11:V$1000,V130)-1))</f>
        <v>4.07058823529412</v>
      </c>
      <c r="V130" s="1" t="n">
        <v>4</v>
      </c>
      <c r="W130" s="1" t="n">
        <f aca="false">IF(X130=X129,W129+W$1,W$3-0.5*W$1*(COUNTIF(X$11:X$1000,X130)-1))</f>
        <v>4.93846153846154</v>
      </c>
      <c r="X130" s="1" t="n">
        <v>6</v>
      </c>
      <c r="Y130" s="1" t="n">
        <f aca="false">IF(Z130=Z129,Y129+Y$1,Y$3-0.5*Y$1*(COUNTIF(Z$11:Z$1000,Z130)-1))</f>
        <v>6.08205128205128</v>
      </c>
      <c r="Z130" s="1" t="n">
        <v>5</v>
      </c>
      <c r="AB130" s="1" t="n">
        <v>120</v>
      </c>
      <c r="AC130" s="1" t="n">
        <f aca="false">IF(AD130=AD129,AC129+AC$1,AC$3-0.5*AC$1*(COUNTIF(AD$11:AD$1000,AD130)-1))</f>
        <v>0.824761904761905</v>
      </c>
      <c r="AD130" s="1" t="n">
        <v>2</v>
      </c>
      <c r="AE130" s="1" t="n">
        <f aca="false">IF(AF130=AF129,AE129+AE$1,AE$3-0.5*AE$1*(COUNTIF(AF$11:AF$1000,AF130)-1))</f>
        <v>2.18461538461538</v>
      </c>
      <c r="AF130" s="1" t="n">
        <v>3</v>
      </c>
      <c r="AG130" s="1" t="n">
        <f aca="false">IF(AH130=AH129,AG129+AG$1,AG$3-0.5*AG$1*(COUNTIF(AH$11:AH$1000,AH130)-1))</f>
        <v>2.84150943396226</v>
      </c>
      <c r="AH130" s="1" t="n">
        <v>4</v>
      </c>
      <c r="AI130" s="1" t="n">
        <f aca="false">IF(AJ130=AJ129,AI129+AI$1,AI$3-0.5*AI$1*(COUNTIF(AJ$11:AJ$1000,AJ130)-1))</f>
        <v>4.19428571428571</v>
      </c>
      <c r="AJ130" s="1" t="n">
        <v>6</v>
      </c>
      <c r="AK130" s="1" t="n">
        <f aca="false">IF(AL130=AL129,AK129+AK$1,AK$3-0.5*AK$1*(COUNTIF(AL$11:AL$1000,AL130)-1))</f>
        <v>5.20338983050847</v>
      </c>
      <c r="AL130" s="1" t="n">
        <v>4</v>
      </c>
      <c r="AN130" s="1" t="n">
        <f aca="false">IF(AO130=AO129,AN129+AN$1,AN$3-0.5*AN$1*(COUNTIF(AO$11:AO$1000,AO130)-1))</f>
        <v>0.919230769230768</v>
      </c>
      <c r="AO130" s="1" t="n">
        <v>2</v>
      </c>
      <c r="AP130" s="1" t="n">
        <f aca="false">IF(AQ130=AQ129,AP129+AP$1,AP$3-0.5*AP$1*(COUNTIF(AQ$11:AQ$1000,AQ130)-1))</f>
        <v>1.89787234042553</v>
      </c>
      <c r="AQ130" s="1" t="n">
        <v>4</v>
      </c>
      <c r="AR130" s="1" t="n">
        <f aca="false">IF(AS130=AS129,AR129+AR$1,AR$3-0.5*AR$1*(COUNTIF(AS$11:AS$1000,AS130)-1))</f>
        <v>3.08484848484849</v>
      </c>
      <c r="AS130" s="1" t="n">
        <v>6</v>
      </c>
      <c r="AT130" s="1" t="n">
        <f aca="false">IF(AU130=AU129,AT129+AT$1,AT$3-0.5*AT$1*(COUNTIF(AU$11:AU$1000,AU130)-1))</f>
        <v>3.91304347826087</v>
      </c>
      <c r="AU130" s="1" t="n">
        <v>12</v>
      </c>
      <c r="AV130" s="1" t="n">
        <f aca="false">IF(AW130=AW129,AV129+AV$1,AV$3-0.5*AV$1*(COUNTIF(AW$11:AW$1000,AW130)-1))</f>
        <v>5.15714285714286</v>
      </c>
      <c r="AW130" s="1" t="n">
        <v>10</v>
      </c>
      <c r="AY130" s="1" t="n">
        <v>120</v>
      </c>
    </row>
    <row r="131" customFormat="false" ht="16" hidden="false" customHeight="false" outlineLevel="0" collapsed="false">
      <c r="A131" s="1" t="n">
        <v>121</v>
      </c>
      <c r="B131" s="1" t="n">
        <v>-1</v>
      </c>
      <c r="C131" s="1" t="n">
        <v>-1</v>
      </c>
      <c r="D131" s="1" t="n">
        <f aca="false">IF(E131=E130,D130+D$1,D$3-0.5*D$1*(COUNTIF(E$11:E$1000,E131)-1))</f>
        <v>2.07710843373494</v>
      </c>
      <c r="E131" s="1" t="n">
        <v>2</v>
      </c>
      <c r="F131" s="1" t="n">
        <f aca="false">IF(G131=G130,F130+F$1,F$3-0.5*F$1*(COUNTIF(G$11:G$1000,G131)-1))</f>
        <v>3</v>
      </c>
      <c r="G131" s="1" t="n">
        <v>4</v>
      </c>
      <c r="H131" s="1" t="n">
        <f aca="false">IF(I131=I130,H130+H$1,H$3-0.5*H$1*(COUNTIF(I$11:I$1000,I131)-1))</f>
        <v>3.95151515151515</v>
      </c>
      <c r="I131" s="1" t="n">
        <v>3</v>
      </c>
      <c r="J131" s="1" t="n">
        <f aca="false">IF(K131=K130,J130+J$1,J$3-0.5*J$1*(COUNTIF(K$11:K$1000,K131)-1))</f>
        <v>4.95068493150685</v>
      </c>
      <c r="K131" s="1" t="n">
        <v>4</v>
      </c>
      <c r="L131" s="1" t="n">
        <f aca="false">IF(M131=M130,L130+L$1,L$3-0.5*L$1*(COUNTIF(M$11:M$1000,M131)-1))</f>
        <v>5.94736842105263</v>
      </c>
      <c r="M131" s="1" t="n">
        <v>3</v>
      </c>
      <c r="O131" s="1" t="n">
        <v>-1</v>
      </c>
      <c r="P131" s="1" t="n">
        <v>-1</v>
      </c>
      <c r="Q131" s="1" t="n">
        <f aca="false">IF(R131=R130,Q130+Q$1,Q$3-0.5*Q$1*(COUNTIF(R$11:R$1000,R131)-1))</f>
        <v>2.13809523809524</v>
      </c>
      <c r="R131" s="1" t="n">
        <v>2</v>
      </c>
      <c r="S131" s="1" t="n">
        <f aca="false">IF(T131=T130,S130+S$1,S$3-0.5*S$1*(COUNTIF(T$11:T$1000,T131)-1))</f>
        <v>3.16727272727273</v>
      </c>
      <c r="T131" s="1" t="n">
        <v>4</v>
      </c>
      <c r="U131" s="1" t="n">
        <f aca="false">IF(V131=V130,U130+U$1,U$3-0.5*U$1*(COUNTIF(V$11:V$1000,V131)-1))</f>
        <v>4.08627450980392</v>
      </c>
      <c r="V131" s="1" t="n">
        <v>4</v>
      </c>
      <c r="W131" s="1" t="n">
        <f aca="false">IF(X131=X130,W130+W$1,W$3-0.5*W$1*(COUNTIF(X$11:X$1000,X131)-1))</f>
        <v>4.95897435897436</v>
      </c>
      <c r="X131" s="1" t="n">
        <v>6</v>
      </c>
      <c r="Y131" s="1" t="n">
        <f aca="false">IF(Z131=Z130,Y130+Y$1,Y$3-0.5*Y$1*(COUNTIF(Z$11:Z$1000,Z131)-1))</f>
        <v>6.1025641025641</v>
      </c>
      <c r="Z131" s="1" t="n">
        <v>5</v>
      </c>
      <c r="AB131" s="1" t="n">
        <v>121</v>
      </c>
      <c r="AC131" s="1" t="n">
        <f aca="false">IF(AD131=AD130,AC130+AC$1,AC$3-0.5*AC$1*(COUNTIF(AD$11:AD$1000,AD131)-1))</f>
        <v>0.832380952380953</v>
      </c>
      <c r="AD131" s="1" t="n">
        <v>2</v>
      </c>
      <c r="AE131" s="1" t="n">
        <f aca="false">IF(AF131=AF130,AE130+AE$1,AE$3-0.5*AE$1*(COUNTIF(AF$11:AF$1000,AF131)-1))</f>
        <v>2.2</v>
      </c>
      <c r="AF131" s="1" t="n">
        <v>3</v>
      </c>
      <c r="AG131" s="1" t="n">
        <f aca="false">IF(AH131=AH130,AG130+AG$1,AG$3-0.5*AG$1*(COUNTIF(AH$11:AH$1000,AH131)-1))</f>
        <v>2.85660377358491</v>
      </c>
      <c r="AH131" s="1" t="n">
        <v>4</v>
      </c>
      <c r="AI131" s="1" t="n">
        <f aca="false">IF(AJ131=AJ130,AI130+AI$1,AI$3-0.5*AI$1*(COUNTIF(AJ$11:AJ$1000,AJ131)-1))</f>
        <v>4.21714285714286</v>
      </c>
      <c r="AJ131" s="1" t="n">
        <v>6</v>
      </c>
      <c r="AK131" s="1" t="n">
        <f aca="false">IF(AL131=AL130,AK130+AK$1,AK$3-0.5*AK$1*(COUNTIF(AL$11:AL$1000,AL131)-1))</f>
        <v>5.21694915254236</v>
      </c>
      <c r="AL131" s="1" t="n">
        <v>4</v>
      </c>
      <c r="AN131" s="1" t="n">
        <f aca="false">IF(AO131=AO130,AN130+AN$1,AN$3-0.5*AN$1*(COUNTIF(AO$11:AO$1000,AO131)-1))</f>
        <v>0.926923076923076</v>
      </c>
      <c r="AO131" s="1" t="n">
        <v>2</v>
      </c>
      <c r="AP131" s="1" t="n">
        <f aca="false">IF(AQ131=AQ130,AP130+AP$1,AP$3-0.5*AP$1*(COUNTIF(AQ$11:AQ$1000,AQ131)-1))</f>
        <v>1.91489361702128</v>
      </c>
      <c r="AQ131" s="1" t="n">
        <v>4</v>
      </c>
      <c r="AR131" s="1" t="n">
        <f aca="false">IF(AS131=AS130,AR130+AR$1,AR$3-0.5*AR$1*(COUNTIF(AS$11:AS$1000,AS131)-1))</f>
        <v>3.10909090909091</v>
      </c>
      <c r="AS131" s="1" t="n">
        <v>6</v>
      </c>
      <c r="AT131" s="1" t="n">
        <f aca="false">IF(AU131=AU130,AT130+AT$1,AT$3-0.5*AT$1*(COUNTIF(AU$11:AU$1000,AU131)-1))</f>
        <v>3.94782608695652</v>
      </c>
      <c r="AU131" s="1" t="n">
        <v>12</v>
      </c>
      <c r="AV131" s="1" t="n">
        <f aca="false">IF(AW131=AW130,AV130+AV$1,AV$3-0.5*AV$1*(COUNTIF(AW$11:AW$1000,AW131)-1))</f>
        <v>5.18571428571428</v>
      </c>
      <c r="AW131" s="1" t="n">
        <v>10</v>
      </c>
      <c r="AY131" s="1" t="n">
        <v>121</v>
      </c>
    </row>
    <row r="132" customFormat="false" ht="16" hidden="false" customHeight="false" outlineLevel="0" collapsed="false">
      <c r="A132" s="1" t="n">
        <v>122</v>
      </c>
      <c r="B132" s="1" t="n">
        <v>-1</v>
      </c>
      <c r="C132" s="1" t="n">
        <v>-1</v>
      </c>
      <c r="D132" s="1" t="n">
        <f aca="false">IF(E132=E131,D131+D$1,D$3-0.5*D$1*(COUNTIF(E$11:E$1000,E132)-1))</f>
        <v>2.08674698795181</v>
      </c>
      <c r="E132" s="1" t="n">
        <v>2</v>
      </c>
      <c r="F132" s="1" t="n">
        <f aca="false">IF(G132=G131,F131+F$1,F$3-0.5*F$1*(COUNTIF(G$11:G$1000,G132)-1))</f>
        <v>3.0125</v>
      </c>
      <c r="G132" s="1" t="n">
        <v>4</v>
      </c>
      <c r="H132" s="1" t="n">
        <f aca="false">IF(I132=I131,H131+H$1,H$3-0.5*H$1*(COUNTIF(I$11:I$1000,I132)-1))</f>
        <v>3.96363636363636</v>
      </c>
      <c r="I132" s="1" t="n">
        <v>3</v>
      </c>
      <c r="J132" s="1" t="n">
        <f aca="false">IF(K132=K131,J131+J$1,J$3-0.5*J$1*(COUNTIF(K$11:K$1000,K132)-1))</f>
        <v>4.96164383561644</v>
      </c>
      <c r="K132" s="1" t="n">
        <v>4</v>
      </c>
      <c r="L132" s="1" t="n">
        <f aca="false">IF(M132=M131,L131+L$1,L$3-0.5*L$1*(COUNTIF(M$11:M$1000,M132)-1))</f>
        <v>5.9578947368421</v>
      </c>
      <c r="M132" s="1" t="n">
        <v>3</v>
      </c>
      <c r="O132" s="1" t="n">
        <v>-1</v>
      </c>
      <c r="P132" s="1" t="n">
        <v>-1</v>
      </c>
      <c r="Q132" s="1" t="n">
        <f aca="false">IF(R132=R131,Q131+Q$1,Q$3-0.5*Q$1*(COUNTIF(R$11:R$1000,R132)-1))</f>
        <v>2.14761904761905</v>
      </c>
      <c r="R132" s="1" t="n">
        <v>2</v>
      </c>
      <c r="S132" s="1" t="n">
        <f aca="false">IF(T132=T131,S131+S$1,S$3-0.5*S$1*(COUNTIF(T$11:T$1000,T132)-1))</f>
        <v>3.18181818181818</v>
      </c>
      <c r="T132" s="1" t="n">
        <v>4</v>
      </c>
      <c r="U132" s="1" t="n">
        <f aca="false">IF(V132=V131,U131+U$1,U$3-0.5*U$1*(COUNTIF(V$11:V$1000,V132)-1))</f>
        <v>4.10196078431372</v>
      </c>
      <c r="V132" s="1" t="n">
        <v>4</v>
      </c>
      <c r="W132" s="1" t="n">
        <f aca="false">IF(X132=X131,W131+W$1,W$3-0.5*W$1*(COUNTIF(X$11:X$1000,X132)-1))</f>
        <v>4.97948717948718</v>
      </c>
      <c r="X132" s="1" t="n">
        <v>6</v>
      </c>
      <c r="Y132" s="1" t="n">
        <f aca="false">IF(Z132=Z131,Y131+Y$1,Y$3-0.5*Y$1*(COUNTIF(Z$11:Z$1000,Z132)-1))</f>
        <v>6.12307692307692</v>
      </c>
      <c r="Z132" s="1" t="n">
        <v>5</v>
      </c>
      <c r="AB132" s="1" t="n">
        <v>122</v>
      </c>
      <c r="AC132" s="1" t="n">
        <f aca="false">IF(AD132=AD131,AC131+AC$1,AC$3-0.5*AC$1*(COUNTIF(AD$11:AD$1000,AD132)-1))</f>
        <v>0.84</v>
      </c>
      <c r="AD132" s="1" t="n">
        <v>2</v>
      </c>
      <c r="AE132" s="1" t="n">
        <f aca="false">IF(AF132=AF131,AE131+AE$1,AE$3-0.5*AE$1*(COUNTIF(AF$11:AF$1000,AF132)-1))</f>
        <v>2.21538461538461</v>
      </c>
      <c r="AF132" s="1" t="n">
        <v>3</v>
      </c>
      <c r="AG132" s="1" t="n">
        <f aca="false">IF(AH132=AH131,AG131+AG$1,AG$3-0.5*AG$1*(COUNTIF(AH$11:AH$1000,AH132)-1))</f>
        <v>2.87169811320755</v>
      </c>
      <c r="AH132" s="1" t="n">
        <v>4</v>
      </c>
      <c r="AI132" s="1" t="n">
        <f aca="false">IF(AJ132=AJ131,AI131+AI$1,AI$3-0.5*AI$1*(COUNTIF(AJ$11:AJ$1000,AJ132)-1))</f>
        <v>4.24</v>
      </c>
      <c r="AJ132" s="1" t="n">
        <v>6</v>
      </c>
      <c r="AK132" s="1" t="n">
        <f aca="false">IF(AL132=AL131,AK131+AK$1,AK$3-0.5*AK$1*(COUNTIF(AL$11:AL$1000,AL132)-1))</f>
        <v>5.23050847457626</v>
      </c>
      <c r="AL132" s="1" t="n">
        <v>4</v>
      </c>
      <c r="AN132" s="1" t="n">
        <f aca="false">IF(AO132=AO131,AN131+AN$1,AN$3-0.5*AN$1*(COUNTIF(AO$11:AO$1000,AO132)-1))</f>
        <v>0.934615384615383</v>
      </c>
      <c r="AO132" s="1" t="n">
        <v>2</v>
      </c>
      <c r="AP132" s="1" t="n">
        <f aca="false">IF(AQ132=AQ131,AP131+AP$1,AP$3-0.5*AP$1*(COUNTIF(AQ$11:AQ$1000,AQ132)-1))</f>
        <v>1.93191489361702</v>
      </c>
      <c r="AQ132" s="1" t="n">
        <v>4</v>
      </c>
      <c r="AR132" s="1" t="n">
        <f aca="false">IF(AS132=AS131,AR131+AR$1,AR$3-0.5*AR$1*(COUNTIF(AS$11:AS$1000,AS132)-1))</f>
        <v>3.13333333333334</v>
      </c>
      <c r="AS132" s="1" t="n">
        <v>6</v>
      </c>
      <c r="AT132" s="1" t="n">
        <f aca="false">IF(AU132=AU131,AT131+AT$1,AT$3-0.5*AT$1*(COUNTIF(AU$11:AU$1000,AU132)-1))</f>
        <v>3.98260869565217</v>
      </c>
      <c r="AU132" s="1" t="n">
        <v>12</v>
      </c>
      <c r="AV132" s="1" t="n">
        <f aca="false">IF(AW132=AW131,AV131+AV$1,AV$3-0.5*AV$1*(COUNTIF(AW$11:AW$1000,AW132)-1))</f>
        <v>5.21428571428571</v>
      </c>
      <c r="AW132" s="1" t="n">
        <v>10</v>
      </c>
      <c r="AY132" s="1" t="n">
        <v>122</v>
      </c>
    </row>
    <row r="133" customFormat="false" ht="16" hidden="false" customHeight="false" outlineLevel="0" collapsed="false">
      <c r="A133" s="1" t="n">
        <v>123</v>
      </c>
      <c r="B133" s="1" t="n">
        <v>-1</v>
      </c>
      <c r="C133" s="1" t="n">
        <v>-1</v>
      </c>
      <c r="D133" s="1" t="n">
        <f aca="false">IF(E133=E132,D132+D$1,D$3-0.5*D$1*(COUNTIF(E$11:E$1000,E133)-1))</f>
        <v>2.09638554216868</v>
      </c>
      <c r="E133" s="1" t="n">
        <v>2</v>
      </c>
      <c r="F133" s="1" t="n">
        <f aca="false">IF(G133=G132,F132+F$1,F$3-0.5*F$1*(COUNTIF(G$11:G$1000,G133)-1))</f>
        <v>3.025</v>
      </c>
      <c r="G133" s="1" t="n">
        <v>4</v>
      </c>
      <c r="H133" s="1" t="n">
        <f aca="false">IF(I133=I132,H132+H$1,H$3-0.5*H$1*(COUNTIF(I$11:I$1000,I133)-1))</f>
        <v>3.97575757575758</v>
      </c>
      <c r="I133" s="1" t="n">
        <v>3</v>
      </c>
      <c r="J133" s="1" t="n">
        <f aca="false">IF(K133=K132,J132+J$1,J$3-0.5*J$1*(COUNTIF(K$11:K$1000,K133)-1))</f>
        <v>4.97260273972603</v>
      </c>
      <c r="K133" s="1" t="n">
        <v>4</v>
      </c>
      <c r="L133" s="1" t="n">
        <f aca="false">IF(M133=M132,L132+L$1,L$3-0.5*L$1*(COUNTIF(M$11:M$1000,M133)-1))</f>
        <v>5.96842105263158</v>
      </c>
      <c r="M133" s="1" t="n">
        <v>3</v>
      </c>
      <c r="O133" s="1" t="n">
        <v>-1</v>
      </c>
      <c r="P133" s="1" t="n">
        <v>-1</v>
      </c>
      <c r="Q133" s="1" t="n">
        <f aca="false">IF(R133=R132,Q132+Q$1,Q$3-0.5*Q$1*(COUNTIF(R$11:R$1000,R133)-1))</f>
        <v>2.15714285714286</v>
      </c>
      <c r="R133" s="1" t="n">
        <v>2</v>
      </c>
      <c r="S133" s="1" t="n">
        <f aca="false">IF(T133=T132,S132+S$1,S$3-0.5*S$1*(COUNTIF(T$11:T$1000,T133)-1))</f>
        <v>3.19636363636364</v>
      </c>
      <c r="T133" s="1" t="n">
        <v>4</v>
      </c>
      <c r="U133" s="1" t="n">
        <f aca="false">IF(V133=V132,U132+U$1,U$3-0.5*U$1*(COUNTIF(V$11:V$1000,V133)-1))</f>
        <v>4.11764705882353</v>
      </c>
      <c r="V133" s="1" t="n">
        <v>4</v>
      </c>
      <c r="W133" s="1" t="n">
        <f aca="false">IF(X133=X132,W132+W$1,W$3-0.5*W$1*(COUNTIF(X$11:X$1000,X133)-1))</f>
        <v>5</v>
      </c>
      <c r="X133" s="1" t="n">
        <v>6</v>
      </c>
      <c r="Y133" s="1" t="n">
        <f aca="false">IF(Z133=Z132,Y132+Y$1,Y$3-0.5*Y$1*(COUNTIF(Z$11:Z$1000,Z133)-1))</f>
        <v>6.14358974358974</v>
      </c>
      <c r="Z133" s="1" t="n">
        <v>5</v>
      </c>
      <c r="AB133" s="1" t="n">
        <v>123</v>
      </c>
      <c r="AC133" s="1" t="n">
        <f aca="false">IF(AD133=AD132,AC132+AC$1,AC$3-0.5*AC$1*(COUNTIF(AD$11:AD$1000,AD133)-1))</f>
        <v>0.847619047619048</v>
      </c>
      <c r="AD133" s="1" t="n">
        <v>2</v>
      </c>
      <c r="AE133" s="1" t="n">
        <f aca="false">IF(AF133=AF132,AE132+AE$1,AE$3-0.5*AE$1*(COUNTIF(AF$11:AF$1000,AF133)-1))</f>
        <v>2.23076923076923</v>
      </c>
      <c r="AF133" s="1" t="n">
        <v>3</v>
      </c>
      <c r="AG133" s="1" t="n">
        <f aca="false">IF(AH133=AH132,AG132+AG$1,AG$3-0.5*AG$1*(COUNTIF(AH$11:AH$1000,AH133)-1))</f>
        <v>2.88679245283019</v>
      </c>
      <c r="AH133" s="1" t="n">
        <v>4</v>
      </c>
      <c r="AI133" s="1" t="n">
        <f aca="false">IF(AJ133=AJ132,AI132+AI$1,AI$3-0.5*AI$1*(COUNTIF(AJ$11:AJ$1000,AJ133)-1))</f>
        <v>4.26285714285714</v>
      </c>
      <c r="AJ133" s="1" t="n">
        <v>6</v>
      </c>
      <c r="AK133" s="1" t="n">
        <f aca="false">IF(AL133=AL132,AK132+AK$1,AK$3-0.5*AK$1*(COUNTIF(AL$11:AL$1000,AL133)-1))</f>
        <v>5.24406779661016</v>
      </c>
      <c r="AL133" s="1" t="n">
        <v>4</v>
      </c>
      <c r="AN133" s="1" t="n">
        <f aca="false">IF(AO133=AO132,AN132+AN$1,AN$3-0.5*AN$1*(COUNTIF(AO$11:AO$1000,AO133)-1))</f>
        <v>0.942307692307691</v>
      </c>
      <c r="AO133" s="1" t="n">
        <v>2</v>
      </c>
      <c r="AP133" s="1" t="n">
        <f aca="false">IF(AQ133=AQ132,AP132+AP$1,AP$3-0.5*AP$1*(COUNTIF(AQ$11:AQ$1000,AQ133)-1))</f>
        <v>1.94893617021277</v>
      </c>
      <c r="AQ133" s="1" t="n">
        <v>4</v>
      </c>
      <c r="AR133" s="1" t="n">
        <f aca="false">IF(AS133=AS132,AR132+AR$1,AR$3-0.5*AR$1*(COUNTIF(AS$11:AS$1000,AS133)-1))</f>
        <v>3.15757575757576</v>
      </c>
      <c r="AS133" s="1" t="n">
        <v>6</v>
      </c>
      <c r="AT133" s="1" t="n">
        <f aca="false">IF(AU133=AU132,AT132+AT$1,AT$3-0.5*AT$1*(COUNTIF(AU$11:AU$1000,AU133)-1))</f>
        <v>4.01739130434783</v>
      </c>
      <c r="AU133" s="1" t="n">
        <v>12</v>
      </c>
      <c r="AV133" s="1" t="n">
        <f aca="false">IF(AW133=AW132,AV132+AV$1,AV$3-0.5*AV$1*(COUNTIF(AW$11:AW$1000,AW133)-1))</f>
        <v>5.24285714285714</v>
      </c>
      <c r="AW133" s="1" t="n">
        <v>10</v>
      </c>
      <c r="AY133" s="1" t="n">
        <v>123</v>
      </c>
    </row>
    <row r="134" customFormat="false" ht="16" hidden="false" customHeight="false" outlineLevel="0" collapsed="false">
      <c r="A134" s="1" t="n">
        <v>124</v>
      </c>
      <c r="B134" s="1" t="n">
        <v>-1</v>
      </c>
      <c r="C134" s="1" t="n">
        <v>-1</v>
      </c>
      <c r="D134" s="1" t="n">
        <f aca="false">IF(E134=E133,D133+D$1,D$3-0.5*D$1*(COUNTIF(E$11:E$1000,E134)-1))</f>
        <v>2.10602409638554</v>
      </c>
      <c r="E134" s="1" t="n">
        <v>2</v>
      </c>
      <c r="F134" s="1" t="n">
        <f aca="false">IF(G134=G133,F133+F$1,F$3-0.5*F$1*(COUNTIF(G$11:G$1000,G134)-1))</f>
        <v>3.0375</v>
      </c>
      <c r="G134" s="1" t="n">
        <v>4</v>
      </c>
      <c r="H134" s="1" t="n">
        <f aca="false">IF(I134=I133,H133+H$1,H$3-0.5*H$1*(COUNTIF(I$11:I$1000,I134)-1))</f>
        <v>3.98787878787879</v>
      </c>
      <c r="I134" s="1" t="n">
        <v>3</v>
      </c>
      <c r="J134" s="1" t="n">
        <f aca="false">IF(K134=K133,J133+J$1,J$3-0.5*J$1*(COUNTIF(K$11:K$1000,K134)-1))</f>
        <v>4.98356164383562</v>
      </c>
      <c r="K134" s="1" t="n">
        <v>4</v>
      </c>
      <c r="L134" s="1" t="n">
        <f aca="false">IF(M134=M133,L133+L$1,L$3-0.5*L$1*(COUNTIF(M$11:M$1000,M134)-1))</f>
        <v>5.97894736842105</v>
      </c>
      <c r="M134" s="1" t="n">
        <v>3</v>
      </c>
      <c r="O134" s="1" t="n">
        <v>-1</v>
      </c>
      <c r="P134" s="1" t="n">
        <v>-1</v>
      </c>
      <c r="Q134" s="1" t="n">
        <f aca="false">IF(R134=R133,Q133+Q$1,Q$3-0.5*Q$1*(COUNTIF(R$11:R$1000,R134)-1))</f>
        <v>2.16666666666666</v>
      </c>
      <c r="R134" s="1" t="n">
        <v>2</v>
      </c>
      <c r="S134" s="1" t="n">
        <f aca="false">IF(T134=T133,S133+S$1,S$3-0.5*S$1*(COUNTIF(T$11:T$1000,T134)-1))</f>
        <v>3.21090909090909</v>
      </c>
      <c r="T134" s="1" t="n">
        <v>4</v>
      </c>
      <c r="U134" s="1" t="n">
        <f aca="false">IF(V134=V133,U133+U$1,U$3-0.5*U$1*(COUNTIF(V$11:V$1000,V134)-1))</f>
        <v>4.13333333333333</v>
      </c>
      <c r="V134" s="1" t="n">
        <v>4</v>
      </c>
      <c r="W134" s="1" t="n">
        <f aca="false">IF(X134=X133,W133+W$1,W$3-0.5*W$1*(COUNTIF(X$11:X$1000,X134)-1))</f>
        <v>5.02051282051282</v>
      </c>
      <c r="X134" s="1" t="n">
        <v>6</v>
      </c>
      <c r="Y134" s="1" t="n">
        <f aca="false">IF(Z134=Z133,Y133+Y$1,Y$3-0.5*Y$1*(COUNTIF(Z$11:Z$1000,Z134)-1))</f>
        <v>6.16410256410256</v>
      </c>
      <c r="Z134" s="1" t="n">
        <v>5</v>
      </c>
      <c r="AB134" s="1" t="n">
        <v>124</v>
      </c>
      <c r="AC134" s="1" t="n">
        <f aca="false">IF(AD134=AD133,AC133+AC$1,AC$3-0.5*AC$1*(COUNTIF(AD$11:AD$1000,AD134)-1))</f>
        <v>0.855238095238096</v>
      </c>
      <c r="AD134" s="1" t="n">
        <v>2</v>
      </c>
      <c r="AE134" s="1" t="n">
        <f aca="false">IF(AF134=AF133,AE133+AE$1,AE$3-0.5*AE$1*(COUNTIF(AF$11:AF$1000,AF134)-1))</f>
        <v>2.24615384615384</v>
      </c>
      <c r="AF134" s="1" t="n">
        <v>3</v>
      </c>
      <c r="AG134" s="1" t="n">
        <f aca="false">IF(AH134=AH133,AG133+AG$1,AG$3-0.5*AG$1*(COUNTIF(AH$11:AH$1000,AH134)-1))</f>
        <v>2.90188679245283</v>
      </c>
      <c r="AH134" s="1" t="n">
        <v>4</v>
      </c>
      <c r="AI134" s="1" t="n">
        <f aca="false">IF(AJ134=AJ133,AI133+AI$1,AI$3-0.5*AI$1*(COUNTIF(AJ$11:AJ$1000,AJ134)-1))</f>
        <v>4.28571428571429</v>
      </c>
      <c r="AJ134" s="1" t="n">
        <v>6</v>
      </c>
      <c r="AK134" s="1" t="n">
        <f aca="false">IF(AL134=AL133,AK133+AK$1,AK$3-0.5*AK$1*(COUNTIF(AL$11:AL$1000,AL134)-1))</f>
        <v>5.25762711864406</v>
      </c>
      <c r="AL134" s="1" t="n">
        <v>4</v>
      </c>
      <c r="AN134" s="1" t="n">
        <f aca="false">IF(AO134=AO133,AN133+AN$1,AN$3-0.5*AN$1*(COUNTIF(AO$11:AO$1000,AO134)-1))</f>
        <v>0.949999999999999</v>
      </c>
      <c r="AO134" s="1" t="n">
        <v>2</v>
      </c>
      <c r="AP134" s="1" t="n">
        <f aca="false">IF(AQ134=AQ133,AP133+AP$1,AP$3-0.5*AP$1*(COUNTIF(AQ$11:AQ$1000,AQ134)-1))</f>
        <v>1.96595744680851</v>
      </c>
      <c r="AQ134" s="1" t="n">
        <v>4</v>
      </c>
      <c r="AR134" s="1" t="n">
        <f aca="false">IF(AS134=AS133,AR133+AR$1,AR$3-0.5*AR$1*(COUNTIF(AS$11:AS$1000,AS134)-1))</f>
        <v>3.18181818181818</v>
      </c>
      <c r="AS134" s="1" t="n">
        <v>6</v>
      </c>
      <c r="AT134" s="1" t="n">
        <f aca="false">IF(AU134=AU133,AT133+AT$1,AT$3-0.5*AT$1*(COUNTIF(AU$11:AU$1000,AU134)-1))</f>
        <v>4.05217391304348</v>
      </c>
      <c r="AU134" s="1" t="n">
        <v>12</v>
      </c>
      <c r="AV134" s="1" t="n">
        <f aca="false">IF(AW134=AW133,AV133+AV$1,AV$3-0.5*AV$1*(COUNTIF(AW$11:AW$1000,AW134)-1))</f>
        <v>5.27142857142857</v>
      </c>
      <c r="AW134" s="1" t="n">
        <v>10</v>
      </c>
      <c r="AY134" s="1" t="n">
        <v>124</v>
      </c>
    </row>
    <row r="135" customFormat="false" ht="16" hidden="false" customHeight="false" outlineLevel="0" collapsed="false">
      <c r="A135" s="1" t="n">
        <v>125</v>
      </c>
      <c r="B135" s="1" t="n">
        <v>-1</v>
      </c>
      <c r="C135" s="1" t="n">
        <v>-1</v>
      </c>
      <c r="D135" s="1" t="n">
        <f aca="false">IF(E135=E134,D134+D$1,D$3-0.5*D$1*(COUNTIF(E$11:E$1000,E135)-1))</f>
        <v>2.11566265060241</v>
      </c>
      <c r="E135" s="1" t="n">
        <v>2</v>
      </c>
      <c r="F135" s="1" t="n">
        <f aca="false">IF(G135=G134,F134+F$1,F$3-0.5*F$1*(COUNTIF(G$11:G$1000,G135)-1))</f>
        <v>3.05</v>
      </c>
      <c r="G135" s="1" t="n">
        <v>4</v>
      </c>
      <c r="H135" s="1" t="n">
        <f aca="false">IF(I135=I134,H134+H$1,H$3-0.5*H$1*(COUNTIF(I$11:I$1000,I135)-1))</f>
        <v>4</v>
      </c>
      <c r="I135" s="1" t="n">
        <v>3</v>
      </c>
      <c r="J135" s="1" t="n">
        <f aca="false">IF(K135=K134,J134+J$1,J$3-0.5*J$1*(COUNTIF(K$11:K$1000,K135)-1))</f>
        <v>4.99452054794521</v>
      </c>
      <c r="K135" s="1" t="n">
        <v>4</v>
      </c>
      <c r="L135" s="1" t="n">
        <f aca="false">IF(M135=M134,L134+L$1,L$3-0.5*L$1*(COUNTIF(M$11:M$1000,M135)-1))</f>
        <v>5.98947368421052</v>
      </c>
      <c r="M135" s="1" t="n">
        <v>3</v>
      </c>
      <c r="O135" s="1" t="n">
        <v>-1</v>
      </c>
      <c r="P135" s="1" t="n">
        <v>-1</v>
      </c>
      <c r="Q135" s="1" t="n">
        <f aca="false">IF(R135=R134,Q134+Q$1,Q$3-0.5*Q$1*(COUNTIF(R$11:R$1000,R135)-1))</f>
        <v>2.17619047619047</v>
      </c>
      <c r="R135" s="1" t="n">
        <v>2</v>
      </c>
      <c r="S135" s="1" t="n">
        <f aca="false">IF(T135=T134,S134+S$1,S$3-0.5*S$1*(COUNTIF(T$11:T$1000,T135)-1))</f>
        <v>2.97090909090909</v>
      </c>
      <c r="T135" s="1" t="n">
        <v>5</v>
      </c>
      <c r="U135" s="1" t="n">
        <f aca="false">IF(V135=V134,U134+U$1,U$3-0.5*U$1*(COUNTIF(V$11:V$1000,V135)-1))</f>
        <v>4.14901960784314</v>
      </c>
      <c r="V135" s="1" t="n">
        <v>4</v>
      </c>
      <c r="W135" s="1" t="n">
        <f aca="false">IF(X135=X134,W134+W$1,W$3-0.5*W$1*(COUNTIF(X$11:X$1000,X135)-1))</f>
        <v>5.04102564102564</v>
      </c>
      <c r="X135" s="1" t="n">
        <v>6</v>
      </c>
      <c r="Y135" s="1" t="n">
        <f aca="false">IF(Z135=Z134,Y134+Y$1,Y$3-0.5*Y$1*(COUNTIF(Z$11:Z$1000,Z135)-1))</f>
        <v>5.7025641025641</v>
      </c>
      <c r="Z135" s="1" t="n">
        <v>6</v>
      </c>
      <c r="AB135" s="1" t="n">
        <v>125</v>
      </c>
      <c r="AC135" s="1" t="n">
        <f aca="false">IF(AD135=AD134,AC134+AC$1,AC$3-0.5*AC$1*(COUNTIF(AD$11:AD$1000,AD135)-1))</f>
        <v>0.862857142857143</v>
      </c>
      <c r="AD135" s="1" t="n">
        <v>2</v>
      </c>
      <c r="AE135" s="1" t="n">
        <f aca="false">IF(AF135=AF134,AE134+AE$1,AE$3-0.5*AE$1*(COUNTIF(AF$11:AF$1000,AF135)-1))</f>
        <v>2.26153846153846</v>
      </c>
      <c r="AF135" s="1" t="n">
        <v>3</v>
      </c>
      <c r="AG135" s="1" t="n">
        <f aca="false">IF(AH135=AH134,AG134+AG$1,AG$3-0.5*AG$1*(COUNTIF(AH$11:AH$1000,AH135)-1))</f>
        <v>2.91698113207547</v>
      </c>
      <c r="AH135" s="1" t="n">
        <v>4</v>
      </c>
      <c r="AI135" s="1" t="n">
        <f aca="false">IF(AJ135=AJ134,AI134+AI$1,AI$3-0.5*AI$1*(COUNTIF(AJ$11:AJ$1000,AJ135)-1))</f>
        <v>4.30857142857143</v>
      </c>
      <c r="AJ135" s="1" t="n">
        <v>6</v>
      </c>
      <c r="AK135" s="1" t="n">
        <f aca="false">IF(AL135=AL134,AK134+AK$1,AK$3-0.5*AK$1*(COUNTIF(AL$11:AL$1000,AL135)-1))</f>
        <v>5.27118644067796</v>
      </c>
      <c r="AL135" s="1" t="n">
        <v>4</v>
      </c>
      <c r="AN135" s="1" t="n">
        <f aca="false">IF(AO135=AO134,AN134+AN$1,AN$3-0.5*AN$1*(COUNTIF(AO$11:AO$1000,AO135)-1))</f>
        <v>0.957692307692306</v>
      </c>
      <c r="AO135" s="1" t="n">
        <v>2</v>
      </c>
      <c r="AP135" s="1" t="n">
        <f aca="false">IF(AQ135=AQ134,AP134+AP$1,AP$3-0.5*AP$1*(COUNTIF(AQ$11:AQ$1000,AQ135)-1))</f>
        <v>1.98297872340426</v>
      </c>
      <c r="AQ135" s="1" t="n">
        <v>4</v>
      </c>
      <c r="AR135" s="1" t="n">
        <f aca="false">IF(AS135=AS134,AR134+AR$1,AR$3-0.5*AR$1*(COUNTIF(AS$11:AS$1000,AS135)-1))</f>
        <v>3.20606060606061</v>
      </c>
      <c r="AS135" s="1" t="n">
        <v>6</v>
      </c>
      <c r="AT135" s="1" t="n">
        <f aca="false">IF(AU135=AU134,AT134+AT$1,AT$3-0.5*AT$1*(COUNTIF(AU$11:AU$1000,AU135)-1))</f>
        <v>4.08695652173913</v>
      </c>
      <c r="AU135" s="1" t="n">
        <v>12</v>
      </c>
      <c r="AV135" s="1" t="n">
        <f aca="false">IF(AW135=AW134,AV134+AV$1,AV$3-0.5*AV$1*(COUNTIF(AW$11:AW$1000,AW135)-1))</f>
        <v>5.3</v>
      </c>
      <c r="AW135" s="1" t="n">
        <v>10</v>
      </c>
      <c r="AY135" s="1" t="n">
        <v>125</v>
      </c>
    </row>
    <row r="136" customFormat="false" ht="16" hidden="false" customHeight="false" outlineLevel="0" collapsed="false">
      <c r="A136" s="1" t="n">
        <v>126</v>
      </c>
      <c r="B136" s="1" t="n">
        <v>-1</v>
      </c>
      <c r="C136" s="1" t="n">
        <v>-1</v>
      </c>
      <c r="D136" s="1" t="n">
        <f aca="false">IF(E136=E135,D135+D$1,D$3-0.5*D$1*(COUNTIF(E$11:E$1000,E136)-1))</f>
        <v>2.12530120481928</v>
      </c>
      <c r="E136" s="1" t="n">
        <v>2</v>
      </c>
      <c r="F136" s="1" t="n">
        <f aca="false">IF(G136=G135,F135+F$1,F$3-0.5*F$1*(COUNTIF(G$11:G$1000,G136)-1))</f>
        <v>3.0625</v>
      </c>
      <c r="G136" s="1" t="n">
        <v>4</v>
      </c>
      <c r="H136" s="1" t="n">
        <f aca="false">IF(I136=I135,H135+H$1,H$3-0.5*H$1*(COUNTIF(I$11:I$1000,I136)-1))</f>
        <v>4.01212121212121</v>
      </c>
      <c r="I136" s="1" t="n">
        <v>3</v>
      </c>
      <c r="J136" s="1" t="n">
        <f aca="false">IF(K136=K135,J135+J$1,J$3-0.5*J$1*(COUNTIF(K$11:K$1000,K136)-1))</f>
        <v>5.0054794520548</v>
      </c>
      <c r="K136" s="1" t="n">
        <v>4</v>
      </c>
      <c r="L136" s="1" t="n">
        <f aca="false">IF(M136=M135,L135+L$1,L$3-0.5*L$1*(COUNTIF(M$11:M$1000,M136)-1))</f>
        <v>6</v>
      </c>
      <c r="M136" s="1" t="n">
        <v>3</v>
      </c>
      <c r="O136" s="1" t="n">
        <v>-1</v>
      </c>
      <c r="P136" s="1" t="n">
        <v>-1</v>
      </c>
      <c r="Q136" s="1" t="n">
        <f aca="false">IF(R136=R135,Q135+Q$1,Q$3-0.5*Q$1*(COUNTIF(R$11:R$1000,R136)-1))</f>
        <v>2.18571428571428</v>
      </c>
      <c r="R136" s="1" t="n">
        <v>2</v>
      </c>
      <c r="S136" s="1" t="n">
        <f aca="false">IF(T136=T135,S135+S$1,S$3-0.5*S$1*(COUNTIF(T$11:T$1000,T136)-1))</f>
        <v>2.98545454545455</v>
      </c>
      <c r="T136" s="1" t="n">
        <v>5</v>
      </c>
      <c r="U136" s="1" t="n">
        <f aca="false">IF(V136=V135,U135+U$1,U$3-0.5*U$1*(COUNTIF(V$11:V$1000,V136)-1))</f>
        <v>4.16470588235294</v>
      </c>
      <c r="V136" s="1" t="n">
        <v>4</v>
      </c>
      <c r="W136" s="1" t="n">
        <f aca="false">IF(X136=X135,W135+W$1,W$3-0.5*W$1*(COUNTIF(X$11:X$1000,X136)-1))</f>
        <v>5.06153846153846</v>
      </c>
      <c r="X136" s="1" t="n">
        <v>6</v>
      </c>
      <c r="Y136" s="1" t="n">
        <f aca="false">IF(Z136=Z135,Y135+Y$1,Y$3-0.5*Y$1*(COUNTIF(Z$11:Z$1000,Z136)-1))</f>
        <v>5.72307692307692</v>
      </c>
      <c r="Z136" s="1" t="n">
        <v>6</v>
      </c>
      <c r="AB136" s="1" t="n">
        <v>126</v>
      </c>
      <c r="AC136" s="1" t="n">
        <f aca="false">IF(AD136=AD135,AC135+AC$1,AC$3-0.5*AC$1*(COUNTIF(AD$11:AD$1000,AD136)-1))</f>
        <v>0.870476190476191</v>
      </c>
      <c r="AD136" s="1" t="n">
        <v>2</v>
      </c>
      <c r="AE136" s="1" t="n">
        <f aca="false">IF(AF136=AF135,AE135+AE$1,AE$3-0.5*AE$1*(COUNTIF(AF$11:AF$1000,AF136)-1))</f>
        <v>1.69230769230769</v>
      </c>
      <c r="AF136" s="1" t="n">
        <v>4</v>
      </c>
      <c r="AG136" s="1" t="n">
        <f aca="false">IF(AH136=AH135,AG135+AG$1,AG$3-0.5*AG$1*(COUNTIF(AH$11:AH$1000,AH136)-1))</f>
        <v>2.93207547169811</v>
      </c>
      <c r="AH136" s="1" t="n">
        <v>4</v>
      </c>
      <c r="AI136" s="1" t="n">
        <f aca="false">IF(AJ136=AJ135,AI135+AI$1,AI$3-0.5*AI$1*(COUNTIF(AJ$11:AJ$1000,AJ136)-1))</f>
        <v>4.33142857142857</v>
      </c>
      <c r="AJ136" s="1" t="n">
        <v>6</v>
      </c>
      <c r="AK136" s="1" t="n">
        <f aca="false">IF(AL136=AL135,AK135+AK$1,AK$3-0.5*AK$1*(COUNTIF(AL$11:AL$1000,AL136)-1))</f>
        <v>5.28474576271185</v>
      </c>
      <c r="AL136" s="1" t="n">
        <v>4</v>
      </c>
      <c r="AN136" s="1" t="n">
        <f aca="false">IF(AO136=AO135,AN135+AN$1,AN$3-0.5*AN$1*(COUNTIF(AO$11:AO$1000,AO136)-1))</f>
        <v>0.965384615384614</v>
      </c>
      <c r="AO136" s="1" t="n">
        <v>2</v>
      </c>
      <c r="AP136" s="1" t="n">
        <f aca="false">IF(AQ136=AQ135,AP135+AP$1,AP$3-0.5*AP$1*(COUNTIF(AQ$11:AQ$1000,AQ136)-1))</f>
        <v>2</v>
      </c>
      <c r="AQ136" s="1" t="n">
        <v>4</v>
      </c>
      <c r="AR136" s="1" t="n">
        <f aca="false">IF(AS136=AS135,AR135+AR$1,AR$3-0.5*AR$1*(COUNTIF(AS$11:AS$1000,AS136)-1))</f>
        <v>2.87878787878788</v>
      </c>
      <c r="AS136" s="1" t="n">
        <v>7</v>
      </c>
      <c r="AT136" s="1" t="n">
        <f aca="false">IF(AU136=AU135,AT135+AT$1,AT$3-0.5*AT$1*(COUNTIF(AU$11:AU$1000,AU136)-1))</f>
        <v>4.12173913043478</v>
      </c>
      <c r="AU136" s="1" t="n">
        <v>12</v>
      </c>
      <c r="AV136" s="1" t="n">
        <f aca="false">IF(AW136=AW135,AV135+AV$1,AV$3-0.5*AV$1*(COUNTIF(AW$11:AW$1000,AW136)-1))</f>
        <v>5.32857142857143</v>
      </c>
      <c r="AW136" s="1" t="n">
        <v>10</v>
      </c>
      <c r="AY136" s="1" t="n">
        <v>126</v>
      </c>
    </row>
    <row r="137" customFormat="false" ht="16" hidden="false" customHeight="false" outlineLevel="0" collapsed="false">
      <c r="A137" s="1" t="n">
        <v>127</v>
      </c>
      <c r="B137" s="1" t="n">
        <v>-1</v>
      </c>
      <c r="C137" s="1" t="n">
        <v>-1</v>
      </c>
      <c r="D137" s="1" t="n">
        <f aca="false">IF(E137=E136,D136+D$1,D$3-0.5*D$1*(COUNTIF(E$11:E$1000,E137)-1))</f>
        <v>2.13493975903615</v>
      </c>
      <c r="E137" s="1" t="n">
        <v>2</v>
      </c>
      <c r="F137" s="1" t="n">
        <f aca="false">IF(G137=G136,F136+F$1,F$3-0.5*F$1*(COUNTIF(G$11:G$1000,G137)-1))</f>
        <v>3.075</v>
      </c>
      <c r="G137" s="1" t="n">
        <v>4</v>
      </c>
      <c r="H137" s="1" t="n">
        <f aca="false">IF(I137=I136,H136+H$1,H$3-0.5*H$1*(COUNTIF(I$11:I$1000,I137)-1))</f>
        <v>4.02424242424242</v>
      </c>
      <c r="I137" s="1" t="n">
        <v>3</v>
      </c>
      <c r="J137" s="1" t="n">
        <f aca="false">IF(K137=K136,J136+J$1,J$3-0.5*J$1*(COUNTIF(K$11:K$1000,K137)-1))</f>
        <v>5.01643835616439</v>
      </c>
      <c r="K137" s="1" t="n">
        <v>4</v>
      </c>
      <c r="L137" s="1" t="n">
        <f aca="false">IF(M137=M136,L136+L$1,L$3-0.5*L$1*(COUNTIF(M$11:M$1000,M137)-1))</f>
        <v>6.01052631578947</v>
      </c>
      <c r="M137" s="1" t="n">
        <v>3</v>
      </c>
      <c r="O137" s="1" t="n">
        <v>-1</v>
      </c>
      <c r="P137" s="1" t="n">
        <v>-1</v>
      </c>
      <c r="Q137" s="1" t="n">
        <f aca="false">IF(R137=R136,Q136+Q$1,Q$3-0.5*Q$1*(COUNTIF(R$11:R$1000,R137)-1))</f>
        <v>2.19523809523809</v>
      </c>
      <c r="R137" s="1" t="n">
        <v>2</v>
      </c>
      <c r="S137" s="1" t="n">
        <f aca="false">IF(T137=T136,S136+S$1,S$3-0.5*S$1*(COUNTIF(T$11:T$1000,T137)-1))</f>
        <v>3</v>
      </c>
      <c r="T137" s="1" t="n">
        <v>5</v>
      </c>
      <c r="U137" s="1" t="n">
        <f aca="false">IF(V137=V136,U136+U$1,U$3-0.5*U$1*(COUNTIF(V$11:V$1000,V137)-1))</f>
        <v>4.18039215686274</v>
      </c>
      <c r="V137" s="1" t="n">
        <v>4</v>
      </c>
      <c r="W137" s="1" t="n">
        <f aca="false">IF(X137=X136,W136+W$1,W$3-0.5*W$1*(COUNTIF(X$11:X$1000,X137)-1))</f>
        <v>5.08205128205128</v>
      </c>
      <c r="X137" s="1" t="n">
        <v>6</v>
      </c>
      <c r="Y137" s="1" t="n">
        <f aca="false">IF(Z137=Z136,Y136+Y$1,Y$3-0.5*Y$1*(COUNTIF(Z$11:Z$1000,Z137)-1))</f>
        <v>5.74358974358974</v>
      </c>
      <c r="Z137" s="1" t="n">
        <v>6</v>
      </c>
      <c r="AB137" s="1" t="n">
        <v>127</v>
      </c>
      <c r="AC137" s="1" t="n">
        <f aca="false">IF(AD137=AD136,AC136+AC$1,AC$3-0.5*AC$1*(COUNTIF(AD$11:AD$1000,AD137)-1))</f>
        <v>0.878095238095239</v>
      </c>
      <c r="AD137" s="1" t="n">
        <v>2</v>
      </c>
      <c r="AE137" s="1" t="n">
        <f aca="false">IF(AF137=AF136,AE136+AE$1,AE$3-0.5*AE$1*(COUNTIF(AF$11:AF$1000,AF137)-1))</f>
        <v>1.70769230769231</v>
      </c>
      <c r="AF137" s="1" t="n">
        <v>4</v>
      </c>
      <c r="AG137" s="1" t="n">
        <f aca="false">IF(AH137=AH136,AG136+AG$1,AG$3-0.5*AG$1*(COUNTIF(AH$11:AH$1000,AH137)-1))</f>
        <v>2.94716981132075</v>
      </c>
      <c r="AH137" s="1" t="n">
        <v>4</v>
      </c>
      <c r="AI137" s="1" t="n">
        <f aca="false">IF(AJ137=AJ136,AI136+AI$1,AI$3-0.5*AI$1*(COUNTIF(AJ$11:AJ$1000,AJ137)-1))</f>
        <v>3.98857142857143</v>
      </c>
      <c r="AJ137" s="1" t="n">
        <v>7</v>
      </c>
      <c r="AK137" s="1" t="n">
        <f aca="false">IF(AL137=AL136,AK136+AK$1,AK$3-0.5*AK$1*(COUNTIF(AL$11:AL$1000,AL137)-1))</f>
        <v>5.29830508474575</v>
      </c>
      <c r="AL137" s="1" t="n">
        <v>4</v>
      </c>
      <c r="AN137" s="1" t="n">
        <f aca="false">IF(AO137=AO136,AN136+AN$1,AN$3-0.5*AN$1*(COUNTIF(AO$11:AO$1000,AO137)-1))</f>
        <v>0.973076923076922</v>
      </c>
      <c r="AO137" s="1" t="n">
        <v>2</v>
      </c>
      <c r="AP137" s="1" t="n">
        <f aca="false">IF(AQ137=AQ136,AP136+AP$1,AP$3-0.5*AP$1*(COUNTIF(AQ$11:AQ$1000,AQ137)-1))</f>
        <v>2.01702127659575</v>
      </c>
      <c r="AQ137" s="1" t="n">
        <v>4</v>
      </c>
      <c r="AR137" s="1" t="n">
        <f aca="false">IF(AS137=AS136,AR136+AR$1,AR$3-0.5*AR$1*(COUNTIF(AS$11:AS$1000,AS137)-1))</f>
        <v>2.9030303030303</v>
      </c>
      <c r="AS137" s="1" t="n">
        <v>7</v>
      </c>
      <c r="AT137" s="1" t="n">
        <f aca="false">IF(AU137=AU136,AT136+AT$1,AT$3-0.5*AT$1*(COUNTIF(AU$11:AU$1000,AU137)-1))</f>
        <v>4</v>
      </c>
      <c r="AU137" s="1" t="n">
        <v>13</v>
      </c>
      <c r="AV137" s="1" t="n">
        <f aca="false">IF(AW137=AW136,AV136+AV$1,AV$3-0.5*AV$1*(COUNTIF(AW$11:AW$1000,AW137)-1))</f>
        <v>5.35714285714285</v>
      </c>
      <c r="AW137" s="1" t="n">
        <v>10</v>
      </c>
      <c r="AY137" s="1" t="n">
        <v>127</v>
      </c>
    </row>
    <row r="138" customFormat="false" ht="16" hidden="false" customHeight="false" outlineLevel="0" collapsed="false">
      <c r="A138" s="1" t="n">
        <v>128</v>
      </c>
      <c r="B138" s="1" t="n">
        <v>-1</v>
      </c>
      <c r="C138" s="1" t="n">
        <v>-1</v>
      </c>
      <c r="D138" s="1" t="n">
        <f aca="false">IF(E138=E137,D137+D$1,D$3-0.5*D$1*(COUNTIF(E$11:E$1000,E138)-1))</f>
        <v>2.14457831325301</v>
      </c>
      <c r="E138" s="1" t="n">
        <v>2</v>
      </c>
      <c r="F138" s="1" t="n">
        <f aca="false">IF(G138=G137,F137+F$1,F$3-0.5*F$1*(COUNTIF(G$11:G$1000,G138)-1))</f>
        <v>3.0875</v>
      </c>
      <c r="G138" s="1" t="n">
        <v>4</v>
      </c>
      <c r="H138" s="1" t="n">
        <f aca="false">IF(I138=I137,H137+H$1,H$3-0.5*H$1*(COUNTIF(I$11:I$1000,I138)-1))</f>
        <v>4.03636363636364</v>
      </c>
      <c r="I138" s="1" t="n">
        <v>3</v>
      </c>
      <c r="J138" s="1" t="n">
        <f aca="false">IF(K138=K137,J137+J$1,J$3-0.5*J$1*(COUNTIF(K$11:K$1000,K138)-1))</f>
        <v>5.02739726027398</v>
      </c>
      <c r="K138" s="1" t="n">
        <v>4</v>
      </c>
      <c r="L138" s="1" t="n">
        <f aca="false">IF(M138=M137,L137+L$1,L$3-0.5*L$1*(COUNTIF(M$11:M$1000,M138)-1))</f>
        <v>6.02105263157894</v>
      </c>
      <c r="M138" s="1" t="n">
        <v>3</v>
      </c>
      <c r="O138" s="1" t="n">
        <v>-1</v>
      </c>
      <c r="P138" s="1" t="n">
        <v>-1</v>
      </c>
      <c r="Q138" s="1" t="n">
        <f aca="false">IF(R138=R137,Q137+Q$1,Q$3-0.5*Q$1*(COUNTIF(R$11:R$1000,R138)-1))</f>
        <v>2.2047619047619</v>
      </c>
      <c r="R138" s="1" t="n">
        <v>2</v>
      </c>
      <c r="S138" s="1" t="n">
        <f aca="false">IF(T138=T137,S137+S$1,S$3-0.5*S$1*(COUNTIF(T$11:T$1000,T138)-1))</f>
        <v>3.01454545454545</v>
      </c>
      <c r="T138" s="1" t="n">
        <v>5</v>
      </c>
      <c r="U138" s="1" t="n">
        <f aca="false">IF(V138=V137,U137+U$1,U$3-0.5*U$1*(COUNTIF(V$11:V$1000,V138)-1))</f>
        <v>4.19607843137255</v>
      </c>
      <c r="V138" s="1" t="n">
        <v>4</v>
      </c>
      <c r="W138" s="1" t="n">
        <f aca="false">IF(X138=X137,W137+W$1,W$3-0.5*W$1*(COUNTIF(X$11:X$1000,X138)-1))</f>
        <v>5.1025641025641</v>
      </c>
      <c r="X138" s="1" t="n">
        <v>6</v>
      </c>
      <c r="Y138" s="1" t="n">
        <f aca="false">IF(Z138=Z137,Y137+Y$1,Y$3-0.5*Y$1*(COUNTIF(Z$11:Z$1000,Z138)-1))</f>
        <v>5.76410256410256</v>
      </c>
      <c r="Z138" s="1" t="n">
        <v>6</v>
      </c>
      <c r="AB138" s="1" t="n">
        <v>128</v>
      </c>
      <c r="AC138" s="1" t="n">
        <f aca="false">IF(AD138=AD137,AC137+AC$1,AC$3-0.5*AC$1*(COUNTIF(AD$11:AD$1000,AD138)-1))</f>
        <v>0.885714285714286</v>
      </c>
      <c r="AD138" s="1" t="n">
        <v>2</v>
      </c>
      <c r="AE138" s="1" t="n">
        <f aca="false">IF(AF138=AF137,AE137+AE$1,AE$3-0.5*AE$1*(COUNTIF(AF$11:AF$1000,AF138)-1))</f>
        <v>1.72307692307692</v>
      </c>
      <c r="AF138" s="1" t="n">
        <v>4</v>
      </c>
      <c r="AG138" s="1" t="n">
        <f aca="false">IF(AH138=AH137,AG137+AG$1,AG$3-0.5*AG$1*(COUNTIF(AH$11:AH$1000,AH138)-1))</f>
        <v>2.9622641509434</v>
      </c>
      <c r="AH138" s="1" t="n">
        <v>4</v>
      </c>
      <c r="AI138" s="1" t="n">
        <f aca="false">IF(AJ138=AJ137,AI137+AI$1,AI$3-0.5*AI$1*(COUNTIF(AJ$11:AJ$1000,AJ138)-1))</f>
        <v>4.01142857142857</v>
      </c>
      <c r="AJ138" s="1" t="n">
        <v>7</v>
      </c>
      <c r="AK138" s="1" t="n">
        <f aca="false">IF(AL138=AL137,AK137+AK$1,AK$3-0.5*AK$1*(COUNTIF(AL$11:AL$1000,AL138)-1))</f>
        <v>5.31186440677965</v>
      </c>
      <c r="AL138" s="1" t="n">
        <v>4</v>
      </c>
      <c r="AN138" s="1" t="n">
        <f aca="false">IF(AO138=AO137,AN137+AN$1,AN$3-0.5*AN$1*(COUNTIF(AO$11:AO$1000,AO138)-1))</f>
        <v>0.980769230769229</v>
      </c>
      <c r="AO138" s="1" t="n">
        <v>2</v>
      </c>
      <c r="AP138" s="1" t="n">
        <f aca="false">IF(AQ138=AQ137,AP137+AP$1,AP$3-0.5*AP$1*(COUNTIF(AQ$11:AQ$1000,AQ138)-1))</f>
        <v>2.03404255319149</v>
      </c>
      <c r="AQ138" s="1" t="n">
        <v>4</v>
      </c>
      <c r="AR138" s="1" t="n">
        <f aca="false">IF(AS138=AS137,AR137+AR$1,AR$3-0.5*AR$1*(COUNTIF(AS$11:AS$1000,AS138)-1))</f>
        <v>2.92727272727273</v>
      </c>
      <c r="AS138" s="1" t="n">
        <v>7</v>
      </c>
      <c r="AT138" s="1" t="n">
        <f aca="false">IF(AU138=AU137,AT137+AT$1,AT$3-0.5*AT$1*(COUNTIF(AU$11:AU$1000,AU138)-1))</f>
        <v>3.96521739130435</v>
      </c>
      <c r="AU138" s="1" t="n">
        <v>14</v>
      </c>
      <c r="AV138" s="1" t="n">
        <f aca="false">IF(AW138=AW137,AV137+AV$1,AV$3-0.5*AV$1*(COUNTIF(AW$11:AW$1000,AW138)-1))</f>
        <v>5.38571428571428</v>
      </c>
      <c r="AW138" s="1" t="n">
        <v>10</v>
      </c>
      <c r="AY138" s="1" t="n">
        <v>128</v>
      </c>
    </row>
    <row r="139" customFormat="false" ht="16" hidden="false" customHeight="false" outlineLevel="0" collapsed="false">
      <c r="A139" s="1" t="n">
        <v>129</v>
      </c>
      <c r="B139" s="1" t="n">
        <v>-1</v>
      </c>
      <c r="C139" s="1" t="n">
        <v>-1</v>
      </c>
      <c r="D139" s="1" t="n">
        <f aca="false">IF(E139=E138,D138+D$1,D$3-0.5*D$1*(COUNTIF(E$11:E$1000,E139)-1))</f>
        <v>2.15421686746988</v>
      </c>
      <c r="E139" s="1" t="n">
        <v>2</v>
      </c>
      <c r="F139" s="1" t="n">
        <f aca="false">IF(G139=G138,F138+F$1,F$3-0.5*F$1*(COUNTIF(G$11:G$1000,G139)-1))</f>
        <v>3.1</v>
      </c>
      <c r="G139" s="1" t="n">
        <v>4</v>
      </c>
      <c r="H139" s="1" t="n">
        <f aca="false">IF(I139=I138,H138+H$1,H$3-0.5*H$1*(COUNTIF(I$11:I$1000,I139)-1))</f>
        <v>4.04848484848485</v>
      </c>
      <c r="I139" s="1" t="n">
        <v>3</v>
      </c>
      <c r="J139" s="1" t="n">
        <f aca="false">IF(K139=K138,J138+J$1,J$3-0.5*J$1*(COUNTIF(K$11:K$1000,K139)-1))</f>
        <v>5.03835616438357</v>
      </c>
      <c r="K139" s="1" t="n">
        <v>4</v>
      </c>
      <c r="L139" s="1" t="n">
        <f aca="false">IF(M139=M138,L138+L$1,L$3-0.5*L$1*(COUNTIF(M$11:M$1000,M139)-1))</f>
        <v>6.03157894736841</v>
      </c>
      <c r="M139" s="1" t="n">
        <v>3</v>
      </c>
      <c r="O139" s="1" t="n">
        <v>-1</v>
      </c>
      <c r="P139" s="1" t="n">
        <v>-1</v>
      </c>
      <c r="Q139" s="1" t="n">
        <f aca="false">IF(R139=R138,Q138+Q$1,Q$3-0.5*Q$1*(COUNTIF(R$11:R$1000,R139)-1))</f>
        <v>2.21428571428571</v>
      </c>
      <c r="R139" s="1" t="n">
        <v>2</v>
      </c>
      <c r="S139" s="1" t="n">
        <f aca="false">IF(T139=T138,S138+S$1,S$3-0.5*S$1*(COUNTIF(T$11:T$1000,T139)-1))</f>
        <v>3.02909090909091</v>
      </c>
      <c r="T139" s="1" t="n">
        <v>5</v>
      </c>
      <c r="U139" s="1" t="n">
        <f aca="false">IF(V139=V138,U138+U$1,U$3-0.5*U$1*(COUNTIF(V$11:V$1000,V139)-1))</f>
        <v>4.21176470588235</v>
      </c>
      <c r="V139" s="1" t="n">
        <v>4</v>
      </c>
      <c r="W139" s="1" t="n">
        <f aca="false">IF(X139=X138,W138+W$1,W$3-0.5*W$1*(COUNTIF(X$11:X$1000,X139)-1))</f>
        <v>5.12307692307692</v>
      </c>
      <c r="X139" s="1" t="n">
        <v>6</v>
      </c>
      <c r="Y139" s="1" t="n">
        <f aca="false">IF(Z139=Z138,Y138+Y$1,Y$3-0.5*Y$1*(COUNTIF(Z$11:Z$1000,Z139)-1))</f>
        <v>5.78461538461538</v>
      </c>
      <c r="Z139" s="1" t="n">
        <v>6</v>
      </c>
      <c r="AB139" s="1" t="n">
        <v>129</v>
      </c>
      <c r="AC139" s="1" t="n">
        <f aca="false">IF(AD139=AD138,AC138+AC$1,AC$3-0.5*AC$1*(COUNTIF(AD$11:AD$1000,AD139)-1))</f>
        <v>0.893333333333334</v>
      </c>
      <c r="AD139" s="1" t="n">
        <v>2</v>
      </c>
      <c r="AE139" s="1" t="n">
        <f aca="false">IF(AF139=AF138,AE138+AE$1,AE$3-0.5*AE$1*(COUNTIF(AF$11:AF$1000,AF139)-1))</f>
        <v>1.73846153846154</v>
      </c>
      <c r="AF139" s="1" t="n">
        <v>4</v>
      </c>
      <c r="AG139" s="1" t="n">
        <f aca="false">IF(AH139=AH138,AG138+AG$1,AG$3-0.5*AG$1*(COUNTIF(AH$11:AH$1000,AH139)-1))</f>
        <v>2.97735849056604</v>
      </c>
      <c r="AH139" s="1" t="n">
        <v>4</v>
      </c>
      <c r="AI139" s="1" t="n">
        <f aca="false">IF(AJ139=AJ138,AI138+AI$1,AI$3-0.5*AI$1*(COUNTIF(AJ$11:AJ$1000,AJ139)-1))</f>
        <v>3.92</v>
      </c>
      <c r="AJ139" s="1" t="n">
        <v>8</v>
      </c>
      <c r="AK139" s="1" t="n">
        <f aca="false">IF(AL139=AL138,AK138+AK$1,AK$3-0.5*AK$1*(COUNTIF(AL$11:AL$1000,AL139)-1))</f>
        <v>4.96610169491525</v>
      </c>
      <c r="AL139" s="1" t="n">
        <v>5</v>
      </c>
      <c r="AN139" s="1" t="n">
        <f aca="false">IF(AO139=AO138,AN138+AN$1,AN$3-0.5*AN$1*(COUNTIF(AO$11:AO$1000,AO139)-1))</f>
        <v>0.988461538461537</v>
      </c>
      <c r="AO139" s="1" t="n">
        <v>2</v>
      </c>
      <c r="AP139" s="1" t="n">
        <f aca="false">IF(AQ139=AQ138,AP138+AP$1,AP$3-0.5*AP$1*(COUNTIF(AQ$11:AQ$1000,AQ139)-1))</f>
        <v>2.05106382978723</v>
      </c>
      <c r="AQ139" s="1" t="n">
        <v>4</v>
      </c>
      <c r="AR139" s="1" t="n">
        <f aca="false">IF(AS139=AS138,AR138+AR$1,AR$3-0.5*AR$1*(COUNTIF(AS$11:AS$1000,AS139)-1))</f>
        <v>2.95151515151515</v>
      </c>
      <c r="AS139" s="1" t="n">
        <v>7</v>
      </c>
      <c r="AT139" s="1" t="n">
        <f aca="false">IF(AU139=AU138,AT138+AT$1,AT$3-0.5*AT$1*(COUNTIF(AU$11:AU$1000,AU139)-1))</f>
        <v>4</v>
      </c>
      <c r="AU139" s="1" t="n">
        <v>14</v>
      </c>
      <c r="AV139" s="1" t="n">
        <f aca="false">IF(AW139=AW138,AV138+AV$1,AV$3-0.5*AV$1*(COUNTIF(AW$11:AW$1000,AW139)-1))</f>
        <v>4.98571428571429</v>
      </c>
      <c r="AW139" s="1" t="n">
        <v>11</v>
      </c>
      <c r="AY139" s="1" t="n">
        <v>129</v>
      </c>
    </row>
    <row r="140" customFormat="false" ht="16" hidden="false" customHeight="false" outlineLevel="0" collapsed="false">
      <c r="A140" s="1" t="n">
        <v>130</v>
      </c>
      <c r="B140" s="1" t="n">
        <v>-1</v>
      </c>
      <c r="C140" s="1" t="n">
        <v>-1</v>
      </c>
      <c r="D140" s="1" t="n">
        <f aca="false">IF(E140=E139,D139+D$1,D$3-0.5*D$1*(COUNTIF(E$11:E$1000,E140)-1))</f>
        <v>2.16385542168675</v>
      </c>
      <c r="E140" s="1" t="n">
        <v>2</v>
      </c>
      <c r="F140" s="1" t="n">
        <f aca="false">IF(G140=G139,F139+F$1,F$3-0.5*F$1*(COUNTIF(G$11:G$1000,G140)-1))</f>
        <v>3.1125</v>
      </c>
      <c r="G140" s="1" t="n">
        <v>4</v>
      </c>
      <c r="H140" s="1" t="n">
        <f aca="false">IF(I140=I139,H139+H$1,H$3-0.5*H$1*(COUNTIF(I$11:I$1000,I140)-1))</f>
        <v>4.06060606060606</v>
      </c>
      <c r="I140" s="1" t="n">
        <v>3</v>
      </c>
      <c r="J140" s="1" t="n">
        <f aca="false">IF(K140=K139,J139+J$1,J$3-0.5*J$1*(COUNTIF(K$11:K$1000,K140)-1))</f>
        <v>5.04931506849316</v>
      </c>
      <c r="K140" s="1" t="n">
        <v>4</v>
      </c>
      <c r="L140" s="1" t="n">
        <f aca="false">IF(M140=M139,L139+L$1,L$3-0.5*L$1*(COUNTIF(M$11:M$1000,M140)-1))</f>
        <v>6.04210526315789</v>
      </c>
      <c r="M140" s="1" t="n">
        <v>3</v>
      </c>
      <c r="O140" s="1" t="n">
        <v>-1</v>
      </c>
      <c r="P140" s="1" t="n">
        <v>-1</v>
      </c>
      <c r="Q140" s="1" t="n">
        <f aca="false">IF(R140=R139,Q139+Q$1,Q$3-0.5*Q$1*(COUNTIF(R$11:R$1000,R140)-1))</f>
        <v>2.22380952380952</v>
      </c>
      <c r="R140" s="1" t="n">
        <v>2</v>
      </c>
      <c r="S140" s="1" t="n">
        <f aca="false">IF(T140=T139,S139+S$1,S$3-0.5*S$1*(COUNTIF(T$11:T$1000,T140)-1))</f>
        <v>2.97818181818182</v>
      </c>
      <c r="T140" s="1" t="n">
        <v>6</v>
      </c>
      <c r="U140" s="1" t="n">
        <f aca="false">IF(V140=V139,U139+U$1,U$3-0.5*U$1*(COUNTIF(V$11:V$1000,V140)-1))</f>
        <v>4.22745098039216</v>
      </c>
      <c r="V140" s="1" t="n">
        <v>4</v>
      </c>
      <c r="W140" s="1" t="n">
        <f aca="false">IF(X140=X139,W139+W$1,W$3-0.5*W$1*(COUNTIF(X$11:X$1000,X140)-1))</f>
        <v>5.14358974358974</v>
      </c>
      <c r="X140" s="1" t="n">
        <v>6</v>
      </c>
      <c r="Y140" s="1" t="n">
        <f aca="false">IF(Z140=Z139,Y139+Y$1,Y$3-0.5*Y$1*(COUNTIF(Z$11:Z$1000,Z140)-1))</f>
        <v>5.80512820512821</v>
      </c>
      <c r="Z140" s="1" t="n">
        <v>6</v>
      </c>
      <c r="AB140" s="1" t="n">
        <v>130</v>
      </c>
      <c r="AC140" s="1" t="n">
        <f aca="false">IF(AD140=AD139,AC139+AC$1,AC$3-0.5*AC$1*(COUNTIF(AD$11:AD$1000,AD140)-1))</f>
        <v>0.900952380952382</v>
      </c>
      <c r="AD140" s="1" t="n">
        <v>2</v>
      </c>
      <c r="AE140" s="1" t="n">
        <f aca="false">IF(AF140=AF139,AE139+AE$1,AE$3-0.5*AE$1*(COUNTIF(AF$11:AF$1000,AF140)-1))</f>
        <v>1.75384615384615</v>
      </c>
      <c r="AF140" s="1" t="n">
        <v>4</v>
      </c>
      <c r="AG140" s="1" t="n">
        <f aca="false">IF(AH140=AH139,AG139+AG$1,AG$3-0.5*AG$1*(COUNTIF(AH$11:AH$1000,AH140)-1))</f>
        <v>2.99245283018868</v>
      </c>
      <c r="AH140" s="1" t="n">
        <v>4</v>
      </c>
      <c r="AI140" s="1" t="n">
        <f aca="false">IF(AJ140=AJ139,AI139+AI$1,AI$3-0.5*AI$1*(COUNTIF(AJ$11:AJ$1000,AJ140)-1))</f>
        <v>3.94285714285714</v>
      </c>
      <c r="AJ140" s="1" t="n">
        <v>8</v>
      </c>
      <c r="AK140" s="1" t="n">
        <f aca="false">IF(AL140=AL139,AK139+AK$1,AK$3-0.5*AK$1*(COUNTIF(AL$11:AL$1000,AL140)-1))</f>
        <v>4.97966101694915</v>
      </c>
      <c r="AL140" s="1" t="n">
        <v>5</v>
      </c>
      <c r="AN140" s="1" t="n">
        <f aca="false">IF(AO140=AO139,AN139+AN$1,AN$3-0.5*AN$1*(COUNTIF(AO$11:AO$1000,AO140)-1))</f>
        <v>0.996153846153845</v>
      </c>
      <c r="AO140" s="1" t="n">
        <v>2</v>
      </c>
      <c r="AP140" s="1" t="n">
        <f aca="false">IF(AQ140=AQ139,AP139+AP$1,AP$3-0.5*AP$1*(COUNTIF(AQ$11:AQ$1000,AQ140)-1))</f>
        <v>2.06808510638298</v>
      </c>
      <c r="AQ140" s="1" t="n">
        <v>4</v>
      </c>
      <c r="AR140" s="1" t="n">
        <f aca="false">IF(AS140=AS139,AR139+AR$1,AR$3-0.5*AR$1*(COUNTIF(AS$11:AS$1000,AS140)-1))</f>
        <v>2.97575757575758</v>
      </c>
      <c r="AS140" s="1" t="n">
        <v>7</v>
      </c>
      <c r="AT140" s="1" t="n">
        <f aca="false">IF(AU140=AU139,AT139+AT$1,AT$3-0.5*AT$1*(COUNTIF(AU$11:AU$1000,AU140)-1))</f>
        <v>4.03478260869565</v>
      </c>
      <c r="AU140" s="1" t="n">
        <v>14</v>
      </c>
      <c r="AV140" s="1" t="n">
        <f aca="false">IF(AW140=AW139,AV139+AV$1,AV$3-0.5*AV$1*(COUNTIF(AW$11:AW$1000,AW140)-1))</f>
        <v>5.01428571428571</v>
      </c>
      <c r="AW140" s="1" t="n">
        <v>11</v>
      </c>
      <c r="AY140" s="1" t="n">
        <v>130</v>
      </c>
    </row>
    <row r="141" customFormat="false" ht="16" hidden="false" customHeight="false" outlineLevel="0" collapsed="false">
      <c r="A141" s="1" t="n">
        <v>131</v>
      </c>
      <c r="B141" s="1" t="n">
        <v>-1</v>
      </c>
      <c r="C141" s="1" t="n">
        <v>-1</v>
      </c>
      <c r="D141" s="1" t="n">
        <f aca="false">IF(E141=E140,D140+D$1,D$3-0.5*D$1*(COUNTIF(E$11:E$1000,E141)-1))</f>
        <v>2.17349397590361</v>
      </c>
      <c r="E141" s="1" t="n">
        <v>2</v>
      </c>
      <c r="F141" s="1" t="n">
        <f aca="false">IF(G141=G140,F140+F$1,F$3-0.5*F$1*(COUNTIF(G$11:G$1000,G141)-1))</f>
        <v>3.125</v>
      </c>
      <c r="G141" s="1" t="n">
        <v>4</v>
      </c>
      <c r="H141" s="1" t="n">
        <f aca="false">IF(I141=I140,H140+H$1,H$3-0.5*H$1*(COUNTIF(I$11:I$1000,I141)-1))</f>
        <v>4.07272727272727</v>
      </c>
      <c r="I141" s="1" t="n">
        <v>3</v>
      </c>
      <c r="J141" s="1" t="n">
        <f aca="false">IF(K141=K140,J140+J$1,J$3-0.5*J$1*(COUNTIF(K$11:K$1000,K141)-1))</f>
        <v>5.06027397260275</v>
      </c>
      <c r="K141" s="1" t="n">
        <v>4</v>
      </c>
      <c r="L141" s="1" t="n">
        <f aca="false">IF(M141=M140,L140+L$1,L$3-0.5*L$1*(COUNTIF(M$11:M$1000,M141)-1))</f>
        <v>6.05263157894736</v>
      </c>
      <c r="M141" s="1" t="n">
        <v>3</v>
      </c>
      <c r="O141" s="1" t="n">
        <v>-1</v>
      </c>
      <c r="P141" s="1" t="n">
        <v>-1</v>
      </c>
      <c r="Q141" s="1" t="n">
        <f aca="false">IF(R141=R140,Q140+Q$1,Q$3-0.5*Q$1*(COUNTIF(R$11:R$1000,R141)-1))</f>
        <v>2.23333333333333</v>
      </c>
      <c r="R141" s="1" t="n">
        <v>2</v>
      </c>
      <c r="S141" s="1" t="n">
        <f aca="false">IF(T141=T140,S140+S$1,S$3-0.5*S$1*(COUNTIF(T$11:T$1000,T141)-1))</f>
        <v>2.99272727272727</v>
      </c>
      <c r="T141" s="1" t="n">
        <v>6</v>
      </c>
      <c r="U141" s="1" t="n">
        <f aca="false">IF(V141=V140,U140+U$1,U$3-0.5*U$1*(COUNTIF(V$11:V$1000,V141)-1))</f>
        <v>4.24313725490196</v>
      </c>
      <c r="V141" s="1" t="n">
        <v>4</v>
      </c>
      <c r="W141" s="1" t="n">
        <f aca="false">IF(X141=X140,W140+W$1,W$3-0.5*W$1*(COUNTIF(X$11:X$1000,X141)-1))</f>
        <v>5.16410256410256</v>
      </c>
      <c r="X141" s="1" t="n">
        <v>6</v>
      </c>
      <c r="Y141" s="1" t="n">
        <f aca="false">IF(Z141=Z140,Y140+Y$1,Y$3-0.5*Y$1*(COUNTIF(Z$11:Z$1000,Z141)-1))</f>
        <v>5.82564102564103</v>
      </c>
      <c r="Z141" s="1" t="n">
        <v>6</v>
      </c>
      <c r="AB141" s="1" t="n">
        <v>131</v>
      </c>
      <c r="AC141" s="1" t="n">
        <f aca="false">IF(AD141=AD140,AC140+AC$1,AC$3-0.5*AC$1*(COUNTIF(AD$11:AD$1000,AD141)-1))</f>
        <v>0.908571428571429</v>
      </c>
      <c r="AD141" s="1" t="n">
        <v>2</v>
      </c>
      <c r="AE141" s="1" t="n">
        <f aca="false">IF(AF141=AF140,AE140+AE$1,AE$3-0.5*AE$1*(COUNTIF(AF$11:AF$1000,AF141)-1))</f>
        <v>1.76923076923077</v>
      </c>
      <c r="AF141" s="1" t="n">
        <v>4</v>
      </c>
      <c r="AG141" s="1" t="n">
        <f aca="false">IF(AH141=AH140,AG140+AG$1,AG$3-0.5*AG$1*(COUNTIF(AH$11:AH$1000,AH141)-1))</f>
        <v>3.00754716981132</v>
      </c>
      <c r="AH141" s="1" t="n">
        <v>4</v>
      </c>
      <c r="AI141" s="1" t="n">
        <f aca="false">IF(AJ141=AJ140,AI140+AI$1,AI$3-0.5*AI$1*(COUNTIF(AJ$11:AJ$1000,AJ141)-1))</f>
        <v>3.96571428571429</v>
      </c>
      <c r="AJ141" s="1" t="n">
        <v>8</v>
      </c>
      <c r="AK141" s="1" t="n">
        <f aca="false">IF(AL141=AL140,AK140+AK$1,AK$3-0.5*AK$1*(COUNTIF(AL$11:AL$1000,AL141)-1))</f>
        <v>4.99322033898305</v>
      </c>
      <c r="AL141" s="1" t="n">
        <v>5</v>
      </c>
      <c r="AN141" s="1" t="n">
        <f aca="false">IF(AO141=AO140,AN140+AN$1,AN$3-0.5*AN$1*(COUNTIF(AO$11:AO$1000,AO141)-1))</f>
        <v>1.00384615384615</v>
      </c>
      <c r="AO141" s="1" t="n">
        <v>2</v>
      </c>
      <c r="AP141" s="1" t="n">
        <f aca="false">IF(AQ141=AQ140,AP140+AP$1,AP$3-0.5*AP$1*(COUNTIF(AQ$11:AQ$1000,AQ141)-1))</f>
        <v>2.08510638297872</v>
      </c>
      <c r="AQ141" s="1" t="n">
        <v>4</v>
      </c>
      <c r="AR141" s="1" t="n">
        <f aca="false">IF(AS141=AS140,AR140+AR$1,AR$3-0.5*AR$1*(COUNTIF(AS$11:AS$1000,AS141)-1))</f>
        <v>3</v>
      </c>
      <c r="AS141" s="1" t="n">
        <v>7</v>
      </c>
      <c r="AT141" s="1" t="n">
        <f aca="false">IF(AU141=AU140,AT140+AT$1,AT$3-0.5*AT$1*(COUNTIF(AU$11:AU$1000,AU141)-1))</f>
        <v>4</v>
      </c>
      <c r="AU141" s="1" t="n">
        <v>15</v>
      </c>
      <c r="AV141" s="1" t="n">
        <f aca="false">IF(AW141=AW140,AV140+AV$1,AV$3-0.5*AV$1*(COUNTIF(AW$11:AW$1000,AW141)-1))</f>
        <v>4.78571428571429</v>
      </c>
      <c r="AW141" s="1" t="n">
        <v>12</v>
      </c>
      <c r="AY141" s="1" t="n">
        <v>131</v>
      </c>
    </row>
    <row r="142" customFormat="false" ht="16" hidden="false" customHeight="false" outlineLevel="0" collapsed="false">
      <c r="A142" s="1" t="n">
        <v>132</v>
      </c>
      <c r="B142" s="1" t="n">
        <v>-1</v>
      </c>
      <c r="C142" s="1" t="n">
        <v>-1</v>
      </c>
      <c r="D142" s="1" t="n">
        <f aca="false">IF(E142=E141,D141+D$1,D$3-0.5*D$1*(COUNTIF(E$11:E$1000,E142)-1))</f>
        <v>2.18313253012048</v>
      </c>
      <c r="E142" s="1" t="n">
        <v>2</v>
      </c>
      <c r="F142" s="1" t="n">
        <f aca="false">IF(G142=G141,F141+F$1,F$3-0.5*F$1*(COUNTIF(G$11:G$1000,G142)-1))</f>
        <v>3.1375</v>
      </c>
      <c r="G142" s="1" t="n">
        <v>4</v>
      </c>
      <c r="H142" s="1" t="n">
        <f aca="false">IF(I142=I141,H141+H$1,H$3-0.5*H$1*(COUNTIF(I$11:I$1000,I142)-1))</f>
        <v>4.08484848484848</v>
      </c>
      <c r="I142" s="1" t="n">
        <v>3</v>
      </c>
      <c r="J142" s="1" t="n">
        <f aca="false">IF(K142=K141,J141+J$1,J$3-0.5*J$1*(COUNTIF(K$11:K$1000,K142)-1))</f>
        <v>5.07123287671234</v>
      </c>
      <c r="K142" s="1" t="n">
        <v>4</v>
      </c>
      <c r="L142" s="1" t="n">
        <f aca="false">IF(M142=M141,L141+L$1,L$3-0.5*L$1*(COUNTIF(M$11:M$1000,M142)-1))</f>
        <v>6.06315789473683</v>
      </c>
      <c r="M142" s="1" t="n">
        <v>3</v>
      </c>
      <c r="O142" s="1" t="n">
        <v>-1</v>
      </c>
      <c r="P142" s="1" t="n">
        <v>-1</v>
      </c>
      <c r="Q142" s="1" t="n">
        <f aca="false">IF(R142=R141,Q141+Q$1,Q$3-0.5*Q$1*(COUNTIF(R$11:R$1000,R142)-1))</f>
        <v>2.24285714285714</v>
      </c>
      <c r="R142" s="1" t="n">
        <v>2</v>
      </c>
      <c r="S142" s="1" t="n">
        <f aca="false">IF(T142=T141,S141+S$1,S$3-0.5*S$1*(COUNTIF(T$11:T$1000,T142)-1))</f>
        <v>3.00727272727273</v>
      </c>
      <c r="T142" s="1" t="n">
        <v>6</v>
      </c>
      <c r="U142" s="1" t="n">
        <f aca="false">IF(V142=V141,U141+U$1,U$3-0.5*U$1*(COUNTIF(V$11:V$1000,V142)-1))</f>
        <v>3.89803921568627</v>
      </c>
      <c r="V142" s="1" t="n">
        <v>5</v>
      </c>
      <c r="W142" s="1" t="n">
        <f aca="false">IF(X142=X141,W141+W$1,W$3-0.5*W$1*(COUNTIF(X$11:X$1000,X142)-1))</f>
        <v>4.95897435897436</v>
      </c>
      <c r="X142" s="1" t="n">
        <v>7</v>
      </c>
      <c r="Y142" s="1" t="n">
        <f aca="false">IF(Z142=Z141,Y141+Y$1,Y$3-0.5*Y$1*(COUNTIF(Z$11:Z$1000,Z142)-1))</f>
        <v>5.84615384615385</v>
      </c>
      <c r="Z142" s="1" t="n">
        <v>6</v>
      </c>
      <c r="AB142" s="1" t="n">
        <v>132</v>
      </c>
      <c r="AC142" s="1" t="n">
        <f aca="false">IF(AD142=AD141,AC141+AC$1,AC$3-0.5*AC$1*(COUNTIF(AD$11:AD$1000,AD142)-1))</f>
        <v>0.916190476190477</v>
      </c>
      <c r="AD142" s="1" t="n">
        <v>2</v>
      </c>
      <c r="AE142" s="1" t="n">
        <f aca="false">IF(AF142=AF141,AE141+AE$1,AE$3-0.5*AE$1*(COUNTIF(AF$11:AF$1000,AF142)-1))</f>
        <v>1.78461538461538</v>
      </c>
      <c r="AF142" s="1" t="n">
        <v>4</v>
      </c>
      <c r="AG142" s="1" t="n">
        <f aca="false">IF(AH142=AH141,AG141+AG$1,AG$3-0.5*AG$1*(COUNTIF(AH$11:AH$1000,AH142)-1))</f>
        <v>3.02264150943396</v>
      </c>
      <c r="AH142" s="1" t="n">
        <v>4</v>
      </c>
      <c r="AI142" s="1" t="n">
        <f aca="false">IF(AJ142=AJ141,AI141+AI$1,AI$3-0.5*AI$1*(COUNTIF(AJ$11:AJ$1000,AJ142)-1))</f>
        <v>3.98857142857143</v>
      </c>
      <c r="AJ142" s="1" t="n">
        <v>8</v>
      </c>
      <c r="AK142" s="1" t="n">
        <f aca="false">IF(AL142=AL141,AK141+AK$1,AK$3-0.5*AK$1*(COUNTIF(AL$11:AL$1000,AL142)-1))</f>
        <v>5.00677966101695</v>
      </c>
      <c r="AL142" s="1" t="n">
        <v>5</v>
      </c>
      <c r="AN142" s="1" t="n">
        <f aca="false">IF(AO142=AO141,AN141+AN$1,AN$3-0.5*AN$1*(COUNTIF(AO$11:AO$1000,AO142)-1))</f>
        <v>1.01153846153846</v>
      </c>
      <c r="AO142" s="1" t="n">
        <v>2</v>
      </c>
      <c r="AP142" s="1" t="n">
        <f aca="false">IF(AQ142=AQ141,AP141+AP$1,AP$3-0.5*AP$1*(COUNTIF(AQ$11:AQ$1000,AQ142)-1))</f>
        <v>2.10212765957447</v>
      </c>
      <c r="AQ142" s="1" t="n">
        <v>4</v>
      </c>
      <c r="AR142" s="1" t="n">
        <f aca="false">IF(AS142=AS141,AR141+AR$1,AR$3-0.5*AR$1*(COUNTIF(AS$11:AS$1000,AS142)-1))</f>
        <v>3.02424242424243</v>
      </c>
      <c r="AS142" s="1" t="n">
        <v>7</v>
      </c>
      <c r="AT142" s="1" t="n">
        <f aca="false">IF(AU142=AU141,AT141+AT$1,AT$3-0.5*AT$1*(COUNTIF(AU$11:AU$1000,AU142)-1))</f>
        <v>3.96521739130435</v>
      </c>
      <c r="AU142" s="1" t="n">
        <v>16</v>
      </c>
      <c r="AV142" s="1" t="n">
        <f aca="false">IF(AW142=AW141,AV141+AV$1,AV$3-0.5*AV$1*(COUNTIF(AW$11:AW$1000,AW142)-1))</f>
        <v>4.81428571428571</v>
      </c>
      <c r="AW142" s="1" t="n">
        <v>12</v>
      </c>
      <c r="AY142" s="1" t="n">
        <v>132</v>
      </c>
    </row>
    <row r="143" customFormat="false" ht="16" hidden="false" customHeight="false" outlineLevel="0" collapsed="false">
      <c r="A143" s="1" t="n">
        <v>133</v>
      </c>
      <c r="B143" s="1" t="n">
        <v>-1</v>
      </c>
      <c r="C143" s="1" t="n">
        <v>-1</v>
      </c>
      <c r="D143" s="1" t="n">
        <f aca="false">IF(E143=E142,D142+D$1,D$3-0.5*D$1*(COUNTIF(E$11:E$1000,E143)-1))</f>
        <v>2.19277108433735</v>
      </c>
      <c r="E143" s="1" t="n">
        <v>2</v>
      </c>
      <c r="F143" s="1" t="n">
        <f aca="false">IF(G143=G142,F142+F$1,F$3-0.5*F$1*(COUNTIF(G$11:G$1000,G143)-1))</f>
        <v>3.15</v>
      </c>
      <c r="G143" s="1" t="n">
        <v>4</v>
      </c>
      <c r="H143" s="1" t="n">
        <f aca="false">IF(I143=I142,H142+H$1,H$3-0.5*H$1*(COUNTIF(I$11:I$1000,I143)-1))</f>
        <v>3.89090909090909</v>
      </c>
      <c r="I143" s="1" t="n">
        <v>4</v>
      </c>
      <c r="J143" s="1" t="n">
        <f aca="false">IF(K143=K142,J142+J$1,J$3-0.5*J$1*(COUNTIF(K$11:K$1000,K143)-1))</f>
        <v>5.08219178082193</v>
      </c>
      <c r="K143" s="1" t="n">
        <v>4</v>
      </c>
      <c r="L143" s="1" t="n">
        <f aca="false">IF(M143=M142,L142+L$1,L$3-0.5*L$1*(COUNTIF(M$11:M$1000,M143)-1))</f>
        <v>6.07368421052631</v>
      </c>
      <c r="M143" s="1" t="n">
        <v>3</v>
      </c>
      <c r="O143" s="1" t="n">
        <v>-1</v>
      </c>
      <c r="P143" s="1" t="n">
        <v>-1</v>
      </c>
      <c r="Q143" s="1" t="n">
        <f aca="false">IF(R143=R142,Q142+Q$1,Q$3-0.5*Q$1*(COUNTIF(R$11:R$1000,R143)-1))</f>
        <v>2.25238095238095</v>
      </c>
      <c r="R143" s="1" t="n">
        <v>2</v>
      </c>
      <c r="S143" s="1" t="n">
        <f aca="false">IF(T143=T142,S142+S$1,S$3-0.5*S$1*(COUNTIF(T$11:T$1000,T143)-1))</f>
        <v>3.02181818181818</v>
      </c>
      <c r="T143" s="1" t="n">
        <v>6</v>
      </c>
      <c r="U143" s="1" t="n">
        <f aca="false">IF(V143=V142,U142+U$1,U$3-0.5*U$1*(COUNTIF(V$11:V$1000,V143)-1))</f>
        <v>3.91372549019608</v>
      </c>
      <c r="V143" s="1" t="n">
        <v>5</v>
      </c>
      <c r="W143" s="1" t="n">
        <f aca="false">IF(X143=X142,W142+W$1,W$3-0.5*W$1*(COUNTIF(X$11:X$1000,X143)-1))</f>
        <v>4.97948717948718</v>
      </c>
      <c r="X143" s="1" t="n">
        <v>7</v>
      </c>
      <c r="Y143" s="1" t="n">
        <f aca="false">IF(Z143=Z142,Y142+Y$1,Y$3-0.5*Y$1*(COUNTIF(Z$11:Z$1000,Z143)-1))</f>
        <v>5.86666666666667</v>
      </c>
      <c r="Z143" s="1" t="n">
        <v>6</v>
      </c>
      <c r="AB143" s="1" t="n">
        <v>133</v>
      </c>
      <c r="AC143" s="1" t="n">
        <f aca="false">IF(AD143=AD142,AC142+AC$1,AC$3-0.5*AC$1*(COUNTIF(AD$11:AD$1000,AD143)-1))</f>
        <v>0.923809523809524</v>
      </c>
      <c r="AD143" s="1" t="n">
        <v>2</v>
      </c>
      <c r="AE143" s="1" t="n">
        <f aca="false">IF(AF143=AF142,AE142+AE$1,AE$3-0.5*AE$1*(COUNTIF(AF$11:AF$1000,AF143)-1))</f>
        <v>1.8</v>
      </c>
      <c r="AF143" s="1" t="n">
        <v>4</v>
      </c>
      <c r="AG143" s="1" t="n">
        <f aca="false">IF(AH143=AH142,AG142+AG$1,AG$3-0.5*AG$1*(COUNTIF(AH$11:AH$1000,AH143)-1))</f>
        <v>3.0377358490566</v>
      </c>
      <c r="AH143" s="1" t="n">
        <v>4</v>
      </c>
      <c r="AI143" s="1" t="n">
        <f aca="false">IF(AJ143=AJ142,AI142+AI$1,AI$3-0.5*AI$1*(COUNTIF(AJ$11:AJ$1000,AJ143)-1))</f>
        <v>4.01142857142857</v>
      </c>
      <c r="AJ143" s="1" t="n">
        <v>8</v>
      </c>
      <c r="AK143" s="1" t="n">
        <f aca="false">IF(AL143=AL142,AK142+AK$1,AK$3-0.5*AK$1*(COUNTIF(AL$11:AL$1000,AL143)-1))</f>
        <v>5.02033898305085</v>
      </c>
      <c r="AL143" s="1" t="n">
        <v>5</v>
      </c>
      <c r="AN143" s="1" t="n">
        <f aca="false">IF(AO143=AO142,AN142+AN$1,AN$3-0.5*AN$1*(COUNTIF(AO$11:AO$1000,AO143)-1))</f>
        <v>1.01923076923077</v>
      </c>
      <c r="AO143" s="1" t="n">
        <v>2</v>
      </c>
      <c r="AP143" s="1" t="n">
        <f aca="false">IF(AQ143=AQ142,AP142+AP$1,AP$3-0.5*AP$1*(COUNTIF(AQ$11:AQ$1000,AQ143)-1))</f>
        <v>2.11914893617021</v>
      </c>
      <c r="AQ143" s="1" t="n">
        <v>4</v>
      </c>
      <c r="AR143" s="1" t="n">
        <f aca="false">IF(AS143=AS142,AR142+AR$1,AR$3-0.5*AR$1*(COUNTIF(AS$11:AS$1000,AS143)-1))</f>
        <v>3.04848484848485</v>
      </c>
      <c r="AS143" s="1" t="n">
        <v>7</v>
      </c>
      <c r="AT143" s="1" t="n">
        <f aca="false">IF(AU143=AU142,AT142+AT$1,AT$3-0.5*AT$1*(COUNTIF(AU$11:AU$1000,AU143)-1))</f>
        <v>4</v>
      </c>
      <c r="AU143" s="1" t="n">
        <v>16</v>
      </c>
      <c r="AV143" s="1" t="n">
        <f aca="false">IF(AW143=AW142,AV142+AV$1,AV$3-0.5*AV$1*(COUNTIF(AW$11:AW$1000,AW143)-1))</f>
        <v>4.84285714285714</v>
      </c>
      <c r="AW143" s="1" t="n">
        <v>12</v>
      </c>
      <c r="AY143" s="1" t="n">
        <v>133</v>
      </c>
    </row>
    <row r="144" customFormat="false" ht="16" hidden="false" customHeight="false" outlineLevel="0" collapsed="false">
      <c r="A144" s="1" t="n">
        <v>134</v>
      </c>
      <c r="B144" s="1" t="n">
        <v>-1</v>
      </c>
      <c r="C144" s="1" t="n">
        <v>-1</v>
      </c>
      <c r="D144" s="1" t="n">
        <f aca="false">IF(E144=E143,D143+D$1,D$3-0.5*D$1*(COUNTIF(E$11:E$1000,E144)-1))</f>
        <v>2.20240963855422</v>
      </c>
      <c r="E144" s="1" t="n">
        <v>2</v>
      </c>
      <c r="F144" s="1" t="n">
        <f aca="false">IF(G144=G143,F143+F$1,F$3-0.5*F$1*(COUNTIF(G$11:G$1000,G144)-1))</f>
        <v>2.9875</v>
      </c>
      <c r="G144" s="1" t="n">
        <v>5</v>
      </c>
      <c r="H144" s="1" t="n">
        <f aca="false">IF(I144=I143,H143+H$1,H$3-0.5*H$1*(COUNTIF(I$11:I$1000,I144)-1))</f>
        <v>3.9030303030303</v>
      </c>
      <c r="I144" s="1" t="n">
        <v>4</v>
      </c>
      <c r="J144" s="1" t="n">
        <f aca="false">IF(K144=K143,J143+J$1,J$3-0.5*J$1*(COUNTIF(K$11:K$1000,K144)-1))</f>
        <v>5.09315068493152</v>
      </c>
      <c r="K144" s="1" t="n">
        <v>4</v>
      </c>
      <c r="L144" s="1" t="n">
        <f aca="false">IF(M144=M143,L143+L$1,L$3-0.5*L$1*(COUNTIF(M$11:M$1000,M144)-1))</f>
        <v>6.08421052631578</v>
      </c>
      <c r="M144" s="1" t="n">
        <v>3</v>
      </c>
      <c r="O144" s="1" t="n">
        <v>-1</v>
      </c>
      <c r="P144" s="1" t="n">
        <v>-1</v>
      </c>
      <c r="Q144" s="1" t="n">
        <f aca="false">IF(R144=R143,Q143+Q$1,Q$3-0.5*Q$1*(COUNTIF(R$11:R$1000,R144)-1))</f>
        <v>2.26190476190476</v>
      </c>
      <c r="R144" s="1" t="n">
        <v>2</v>
      </c>
      <c r="S144" s="1" t="n">
        <f aca="false">IF(T144=T143,S143+S$1,S$3-0.5*S$1*(COUNTIF(T$11:T$1000,T144)-1))</f>
        <v>2.98545454545455</v>
      </c>
      <c r="T144" s="1" t="n">
        <v>7</v>
      </c>
      <c r="U144" s="1" t="n">
        <f aca="false">IF(V144=V143,U143+U$1,U$3-0.5*U$1*(COUNTIF(V$11:V$1000,V144)-1))</f>
        <v>3.92941176470588</v>
      </c>
      <c r="V144" s="1" t="n">
        <v>5</v>
      </c>
      <c r="W144" s="1" t="n">
        <f aca="false">IF(X144=X143,W143+W$1,W$3-0.5*W$1*(COUNTIF(X$11:X$1000,X144)-1))</f>
        <v>5</v>
      </c>
      <c r="X144" s="1" t="n">
        <v>7</v>
      </c>
      <c r="Y144" s="1" t="n">
        <f aca="false">IF(Z144=Z143,Y143+Y$1,Y$3-0.5*Y$1*(COUNTIF(Z$11:Z$1000,Z144)-1))</f>
        <v>5.88717948717949</v>
      </c>
      <c r="Z144" s="1" t="n">
        <v>6</v>
      </c>
      <c r="AB144" s="1" t="n">
        <v>134</v>
      </c>
      <c r="AC144" s="1" t="n">
        <f aca="false">IF(AD144=AD143,AC143+AC$1,AC$3-0.5*AC$1*(COUNTIF(AD$11:AD$1000,AD144)-1))</f>
        <v>0.931428571428572</v>
      </c>
      <c r="AD144" s="1" t="n">
        <v>2</v>
      </c>
      <c r="AE144" s="1" t="n">
        <f aca="false">IF(AF144=AF143,AE143+AE$1,AE$3-0.5*AE$1*(COUNTIF(AF$11:AF$1000,AF144)-1))</f>
        <v>1.81538461538461</v>
      </c>
      <c r="AF144" s="1" t="n">
        <v>4</v>
      </c>
      <c r="AG144" s="1" t="n">
        <f aca="false">IF(AH144=AH143,AG143+AG$1,AG$3-0.5*AG$1*(COUNTIF(AH$11:AH$1000,AH144)-1))</f>
        <v>3.05283018867925</v>
      </c>
      <c r="AH144" s="1" t="n">
        <v>4</v>
      </c>
      <c r="AI144" s="1" t="n">
        <f aca="false">IF(AJ144=AJ143,AI143+AI$1,AI$3-0.5*AI$1*(COUNTIF(AJ$11:AJ$1000,AJ144)-1))</f>
        <v>4.03428571428571</v>
      </c>
      <c r="AJ144" s="1" t="n">
        <v>8</v>
      </c>
      <c r="AK144" s="1" t="n">
        <f aca="false">IF(AL144=AL143,AK143+AK$1,AK$3-0.5*AK$1*(COUNTIF(AL$11:AL$1000,AL144)-1))</f>
        <v>5.03389830508475</v>
      </c>
      <c r="AL144" s="1" t="n">
        <v>5</v>
      </c>
      <c r="AN144" s="1" t="n">
        <f aca="false">IF(AO144=AO143,AN143+AN$1,AN$3-0.5*AN$1*(COUNTIF(AO$11:AO$1000,AO144)-1))</f>
        <v>1.02692307692308</v>
      </c>
      <c r="AO144" s="1" t="n">
        <v>2</v>
      </c>
      <c r="AP144" s="1" t="n">
        <f aca="false">IF(AQ144=AQ143,AP143+AP$1,AP$3-0.5*AP$1*(COUNTIF(AQ$11:AQ$1000,AQ144)-1))</f>
        <v>2.13617021276596</v>
      </c>
      <c r="AQ144" s="1" t="n">
        <v>4</v>
      </c>
      <c r="AR144" s="1" t="n">
        <f aca="false">IF(AS144=AS143,AR143+AR$1,AR$3-0.5*AR$1*(COUNTIF(AS$11:AS$1000,AS144)-1))</f>
        <v>3.07272727272727</v>
      </c>
      <c r="AS144" s="1" t="n">
        <v>7</v>
      </c>
      <c r="AT144" s="1" t="n">
        <f aca="false">IF(AU144=AU143,AT143+AT$1,AT$3-0.5*AT$1*(COUNTIF(AU$11:AU$1000,AU144)-1))</f>
        <v>4.03478260869565</v>
      </c>
      <c r="AU144" s="1" t="n">
        <v>16</v>
      </c>
      <c r="AV144" s="1" t="n">
        <f aca="false">IF(AW144=AW143,AV143+AV$1,AV$3-0.5*AV$1*(COUNTIF(AW$11:AW$1000,AW144)-1))</f>
        <v>4.87142857142857</v>
      </c>
      <c r="AW144" s="1" t="n">
        <v>12</v>
      </c>
      <c r="AY144" s="1" t="n">
        <v>134</v>
      </c>
    </row>
    <row r="145" customFormat="false" ht="16" hidden="false" customHeight="false" outlineLevel="0" collapsed="false">
      <c r="A145" s="1" t="n">
        <v>135</v>
      </c>
      <c r="B145" s="1" t="n">
        <v>-1</v>
      </c>
      <c r="C145" s="1" t="n">
        <v>-1</v>
      </c>
      <c r="D145" s="1" t="n">
        <f aca="false">IF(E145=E144,D144+D$1,D$3-0.5*D$1*(COUNTIF(E$11:E$1000,E145)-1))</f>
        <v>2.21204819277108</v>
      </c>
      <c r="E145" s="1" t="n">
        <v>2</v>
      </c>
      <c r="F145" s="1" t="n">
        <f aca="false">IF(G145=G144,F144+F$1,F$3-0.5*F$1*(COUNTIF(G$11:G$1000,G145)-1))</f>
        <v>3</v>
      </c>
      <c r="G145" s="1" t="n">
        <v>5</v>
      </c>
      <c r="H145" s="1" t="n">
        <f aca="false">IF(I145=I144,H144+H$1,H$3-0.5*H$1*(COUNTIF(I$11:I$1000,I145)-1))</f>
        <v>3.91515151515152</v>
      </c>
      <c r="I145" s="1" t="n">
        <v>4</v>
      </c>
      <c r="J145" s="1" t="n">
        <f aca="false">IF(K145=K144,J144+J$1,J$3-0.5*J$1*(COUNTIF(K$11:K$1000,K145)-1))</f>
        <v>5.1041095890411</v>
      </c>
      <c r="K145" s="1" t="n">
        <v>4</v>
      </c>
      <c r="L145" s="1" t="n">
        <f aca="false">IF(M145=M144,L144+L$1,L$3-0.5*L$1*(COUNTIF(M$11:M$1000,M145)-1))</f>
        <v>6.09473684210525</v>
      </c>
      <c r="M145" s="1" t="n">
        <v>3</v>
      </c>
      <c r="O145" s="1" t="n">
        <v>-1</v>
      </c>
      <c r="P145" s="1" t="n">
        <v>-1</v>
      </c>
      <c r="Q145" s="1" t="n">
        <f aca="false">IF(R145=R144,Q144+Q$1,Q$3-0.5*Q$1*(COUNTIF(R$11:R$1000,R145)-1))</f>
        <v>2.27142857142857</v>
      </c>
      <c r="R145" s="1" t="n">
        <v>2</v>
      </c>
      <c r="S145" s="1" t="n">
        <f aca="false">IF(T145=T144,S144+S$1,S$3-0.5*S$1*(COUNTIF(T$11:T$1000,T145)-1))</f>
        <v>3</v>
      </c>
      <c r="T145" s="1" t="n">
        <v>7</v>
      </c>
      <c r="U145" s="1" t="n">
        <f aca="false">IF(V145=V144,U144+U$1,U$3-0.5*U$1*(COUNTIF(V$11:V$1000,V145)-1))</f>
        <v>3.94509803921569</v>
      </c>
      <c r="V145" s="1" t="n">
        <v>5</v>
      </c>
      <c r="W145" s="1" t="n">
        <f aca="false">IF(X145=X144,W144+W$1,W$3-0.5*W$1*(COUNTIF(X$11:X$1000,X145)-1))</f>
        <v>5.02051282051282</v>
      </c>
      <c r="X145" s="1" t="n">
        <v>7</v>
      </c>
      <c r="Y145" s="1" t="n">
        <f aca="false">IF(Z145=Z144,Y144+Y$1,Y$3-0.5*Y$1*(COUNTIF(Z$11:Z$1000,Z145)-1))</f>
        <v>5.90769230769231</v>
      </c>
      <c r="Z145" s="1" t="n">
        <v>6</v>
      </c>
      <c r="AB145" s="1" t="n">
        <v>135</v>
      </c>
      <c r="AC145" s="1" t="n">
        <f aca="false">IF(AD145=AD144,AC144+AC$1,AC$3-0.5*AC$1*(COUNTIF(AD$11:AD$1000,AD145)-1))</f>
        <v>0.93904761904762</v>
      </c>
      <c r="AD145" s="1" t="n">
        <v>2</v>
      </c>
      <c r="AE145" s="1" t="n">
        <f aca="false">IF(AF145=AF144,AE144+AE$1,AE$3-0.5*AE$1*(COUNTIF(AF$11:AF$1000,AF145)-1))</f>
        <v>1.83076923076923</v>
      </c>
      <c r="AF145" s="1" t="n">
        <v>4</v>
      </c>
      <c r="AG145" s="1" t="n">
        <f aca="false">IF(AH145=AH144,AG144+AG$1,AG$3-0.5*AG$1*(COUNTIF(AH$11:AH$1000,AH145)-1))</f>
        <v>3.06792452830189</v>
      </c>
      <c r="AH145" s="1" t="n">
        <v>4</v>
      </c>
      <c r="AI145" s="1" t="n">
        <f aca="false">IF(AJ145=AJ144,AI144+AI$1,AI$3-0.5*AI$1*(COUNTIF(AJ$11:AJ$1000,AJ145)-1))</f>
        <v>4.05714285714286</v>
      </c>
      <c r="AJ145" s="1" t="n">
        <v>8</v>
      </c>
      <c r="AK145" s="1" t="n">
        <f aca="false">IF(AL145=AL144,AK144+AK$1,AK$3-0.5*AK$1*(COUNTIF(AL$11:AL$1000,AL145)-1))</f>
        <v>4.83050847457627</v>
      </c>
      <c r="AL145" s="1" t="n">
        <v>6</v>
      </c>
      <c r="AN145" s="1" t="n">
        <f aca="false">IF(AO145=AO144,AN144+AN$1,AN$3-0.5*AN$1*(COUNTIF(AO$11:AO$1000,AO145)-1))</f>
        <v>1.03461538461538</v>
      </c>
      <c r="AO145" s="1" t="n">
        <v>2</v>
      </c>
      <c r="AP145" s="1" t="n">
        <f aca="false">IF(AQ145=AQ144,AP144+AP$1,AP$3-0.5*AP$1*(COUNTIF(AQ$11:AQ$1000,AQ145)-1))</f>
        <v>2.1531914893617</v>
      </c>
      <c r="AQ145" s="1" t="n">
        <v>4</v>
      </c>
      <c r="AR145" s="1" t="n">
        <f aca="false">IF(AS145=AS144,AR144+AR$1,AR$3-0.5*AR$1*(COUNTIF(AS$11:AS$1000,AS145)-1))</f>
        <v>3.0969696969697</v>
      </c>
      <c r="AS145" s="1" t="n">
        <v>7</v>
      </c>
      <c r="AT145" s="1" t="n">
        <f aca="false">IF(AU145=AU144,AT144+AT$1,AT$3-0.5*AT$1*(COUNTIF(AU$11:AU$1000,AU145)-1))</f>
        <v>3.96521739130435</v>
      </c>
      <c r="AU145" s="1" t="n">
        <v>18</v>
      </c>
      <c r="AV145" s="1" t="n">
        <f aca="false">IF(AW145=AW144,AV144+AV$1,AV$3-0.5*AV$1*(COUNTIF(AW$11:AW$1000,AW145)-1))</f>
        <v>4.9</v>
      </c>
      <c r="AW145" s="1" t="n">
        <v>12</v>
      </c>
      <c r="AY145" s="1" t="n">
        <v>135</v>
      </c>
    </row>
    <row r="146" customFormat="false" ht="16" hidden="false" customHeight="false" outlineLevel="0" collapsed="false">
      <c r="A146" s="1" t="n">
        <v>136</v>
      </c>
      <c r="B146" s="1" t="n">
        <v>-1</v>
      </c>
      <c r="C146" s="1" t="n">
        <v>-1</v>
      </c>
      <c r="D146" s="1" t="n">
        <f aca="false">IF(E146=E145,D145+D$1,D$3-0.5*D$1*(COUNTIF(E$11:E$1000,E146)-1))</f>
        <v>2.22168674698795</v>
      </c>
      <c r="E146" s="1" t="n">
        <v>2</v>
      </c>
      <c r="F146" s="1" t="n">
        <f aca="false">IF(G146=G145,F145+F$1,F$3-0.5*F$1*(COUNTIF(G$11:G$1000,G146)-1))</f>
        <v>3.0125</v>
      </c>
      <c r="G146" s="1" t="n">
        <v>5</v>
      </c>
      <c r="H146" s="1" t="n">
        <f aca="false">IF(I146=I145,H145+H$1,H$3-0.5*H$1*(COUNTIF(I$11:I$1000,I146)-1))</f>
        <v>3.92727272727273</v>
      </c>
      <c r="I146" s="1" t="n">
        <v>4</v>
      </c>
      <c r="J146" s="1" t="n">
        <f aca="false">IF(K146=K145,J145+J$1,J$3-0.5*J$1*(COUNTIF(K$11:K$1000,K146)-1))</f>
        <v>5.11506849315069</v>
      </c>
      <c r="K146" s="1" t="n">
        <v>4</v>
      </c>
      <c r="L146" s="1" t="n">
        <f aca="false">IF(M146=M145,L145+L$1,L$3-0.5*L$1*(COUNTIF(M$11:M$1000,M146)-1))</f>
        <v>6.10526315789473</v>
      </c>
      <c r="M146" s="1" t="n">
        <v>3</v>
      </c>
      <c r="O146" s="1" t="n">
        <v>-1</v>
      </c>
      <c r="P146" s="1" t="n">
        <v>-1</v>
      </c>
      <c r="Q146" s="1" t="n">
        <f aca="false">IF(R146=R145,Q145+Q$1,Q$3-0.5*Q$1*(COUNTIF(R$11:R$1000,R146)-1))</f>
        <v>2.28095238095238</v>
      </c>
      <c r="R146" s="1" t="n">
        <v>2</v>
      </c>
      <c r="S146" s="1" t="n">
        <f aca="false">IF(T146=T145,S145+S$1,S$3-0.5*S$1*(COUNTIF(T$11:T$1000,T146)-1))</f>
        <v>3.01454545454545</v>
      </c>
      <c r="T146" s="1" t="n">
        <v>7</v>
      </c>
      <c r="U146" s="1" t="n">
        <f aca="false">IF(V146=V145,U145+U$1,U$3-0.5*U$1*(COUNTIF(V$11:V$1000,V146)-1))</f>
        <v>3.96078431372549</v>
      </c>
      <c r="V146" s="1" t="n">
        <v>5</v>
      </c>
      <c r="W146" s="1" t="n">
        <f aca="false">IF(X146=X145,W145+W$1,W$3-0.5*W$1*(COUNTIF(X$11:X$1000,X146)-1))</f>
        <v>5.04102564102564</v>
      </c>
      <c r="X146" s="1" t="n">
        <v>7</v>
      </c>
      <c r="Y146" s="1" t="n">
        <f aca="false">IF(Z146=Z145,Y145+Y$1,Y$3-0.5*Y$1*(COUNTIF(Z$11:Z$1000,Z146)-1))</f>
        <v>5.92820512820513</v>
      </c>
      <c r="Z146" s="1" t="n">
        <v>6</v>
      </c>
      <c r="AB146" s="1" t="n">
        <v>136</v>
      </c>
      <c r="AC146" s="1" t="n">
        <f aca="false">IF(AD146=AD145,AC145+AC$1,AC$3-0.5*AC$1*(COUNTIF(AD$11:AD$1000,AD146)-1))</f>
        <v>0.946666666666667</v>
      </c>
      <c r="AD146" s="1" t="n">
        <v>2</v>
      </c>
      <c r="AE146" s="1" t="n">
        <f aca="false">IF(AF146=AF145,AE145+AE$1,AE$3-0.5*AE$1*(COUNTIF(AF$11:AF$1000,AF146)-1))</f>
        <v>1.84615384615385</v>
      </c>
      <c r="AF146" s="1" t="n">
        <v>4</v>
      </c>
      <c r="AG146" s="1" t="n">
        <f aca="false">IF(AH146=AH145,AG145+AG$1,AG$3-0.5*AG$1*(COUNTIF(AH$11:AH$1000,AH146)-1))</f>
        <v>3.08301886792453</v>
      </c>
      <c r="AH146" s="1" t="n">
        <v>4</v>
      </c>
      <c r="AI146" s="1" t="n">
        <f aca="false">IF(AJ146=AJ145,AI145+AI$1,AI$3-0.5*AI$1*(COUNTIF(AJ$11:AJ$1000,AJ146)-1))</f>
        <v>4.08</v>
      </c>
      <c r="AJ146" s="1" t="n">
        <v>8</v>
      </c>
      <c r="AK146" s="1" t="n">
        <f aca="false">IF(AL146=AL145,AK145+AK$1,AK$3-0.5*AK$1*(COUNTIF(AL$11:AL$1000,AL146)-1))</f>
        <v>4.84406779661017</v>
      </c>
      <c r="AL146" s="1" t="n">
        <v>6</v>
      </c>
      <c r="AN146" s="1" t="n">
        <f aca="false">IF(AO146=AO145,AN145+AN$1,AN$3-0.5*AN$1*(COUNTIF(AO$11:AO$1000,AO146)-1))</f>
        <v>1.04230769230769</v>
      </c>
      <c r="AO146" s="1" t="n">
        <v>2</v>
      </c>
      <c r="AP146" s="1" t="n">
        <f aca="false">IF(AQ146=AQ145,AP145+AP$1,AP$3-0.5*AP$1*(COUNTIF(AQ$11:AQ$1000,AQ146)-1))</f>
        <v>2.17021276595745</v>
      </c>
      <c r="AQ146" s="1" t="n">
        <v>4</v>
      </c>
      <c r="AR146" s="1" t="n">
        <f aca="false">IF(AS146=AS145,AR145+AR$1,AR$3-0.5*AR$1*(COUNTIF(AS$11:AS$1000,AS146)-1))</f>
        <v>3.12121212121212</v>
      </c>
      <c r="AS146" s="1" t="n">
        <v>7</v>
      </c>
      <c r="AT146" s="1" t="n">
        <f aca="false">IF(AU146=AU145,AT145+AT$1,AT$3-0.5*AT$1*(COUNTIF(AU$11:AU$1000,AU146)-1))</f>
        <v>4</v>
      </c>
      <c r="AU146" s="1" t="n">
        <v>18</v>
      </c>
      <c r="AV146" s="1" t="n">
        <f aca="false">IF(AW146=AW145,AV145+AV$1,AV$3-0.5*AV$1*(COUNTIF(AW$11:AW$1000,AW146)-1))</f>
        <v>4.92857142857143</v>
      </c>
      <c r="AW146" s="1" t="n">
        <v>12</v>
      </c>
      <c r="AY146" s="1" t="n">
        <v>136</v>
      </c>
    </row>
    <row r="147" customFormat="false" ht="16" hidden="false" customHeight="false" outlineLevel="0" collapsed="false">
      <c r="A147" s="1" t="n">
        <v>137</v>
      </c>
      <c r="B147" s="1" t="n">
        <v>-1</v>
      </c>
      <c r="C147" s="1" t="n">
        <v>-1</v>
      </c>
      <c r="D147" s="1" t="n">
        <f aca="false">IF(E147=E146,D146+D$1,D$3-0.5*D$1*(COUNTIF(E$11:E$1000,E147)-1))</f>
        <v>2.23132530120482</v>
      </c>
      <c r="E147" s="1" t="n">
        <v>2</v>
      </c>
      <c r="F147" s="1" t="n">
        <v>-1</v>
      </c>
      <c r="G147" s="1" t="n">
        <v>-1</v>
      </c>
      <c r="H147" s="1" t="n">
        <f aca="false">IF(I147=I146,H146+H$1,H$3-0.5*H$1*(COUNTIF(I$11:I$1000,I147)-1))</f>
        <v>3.93939393939394</v>
      </c>
      <c r="I147" s="1" t="n">
        <v>4</v>
      </c>
      <c r="J147" s="1" t="n">
        <f aca="false">IF(K147=K146,J146+J$1,J$3-0.5*J$1*(COUNTIF(K$11:K$1000,K147)-1))</f>
        <v>4.96164383561644</v>
      </c>
      <c r="K147" s="1" t="n">
        <v>5</v>
      </c>
      <c r="L147" s="1" t="n">
        <f aca="false">IF(M147=M146,L146+L$1,L$3-0.5*L$1*(COUNTIF(M$11:M$1000,M147)-1))</f>
        <v>6.1157894736842</v>
      </c>
      <c r="M147" s="1" t="n">
        <v>3</v>
      </c>
      <c r="O147" s="1" t="n">
        <v>-1</v>
      </c>
      <c r="P147" s="1" t="n">
        <v>-1</v>
      </c>
      <c r="Q147" s="1" t="n">
        <f aca="false">IF(R147=R146,Q146+Q$1,Q$3-0.5*Q$1*(COUNTIF(R$11:R$1000,R147)-1))</f>
        <v>2.29047619047619</v>
      </c>
      <c r="R147" s="1" t="n">
        <v>2</v>
      </c>
      <c r="S147" s="1" t="n">
        <v>-1</v>
      </c>
      <c r="T147" s="1" t="n">
        <v>-1</v>
      </c>
      <c r="U147" s="1" t="n">
        <f aca="false">IF(V147=V146,U146+U$1,U$3-0.5*U$1*(COUNTIF(V$11:V$1000,V147)-1))</f>
        <v>3.97647058823529</v>
      </c>
      <c r="V147" s="1" t="n">
        <v>5</v>
      </c>
      <c r="W147" s="1" t="n">
        <f aca="false">IF(X147=X146,W146+W$1,W$3-0.5*W$1*(COUNTIF(X$11:X$1000,X147)-1))</f>
        <v>4.91794871794872</v>
      </c>
      <c r="X147" s="1" t="n">
        <v>8</v>
      </c>
      <c r="Y147" s="1" t="n">
        <f aca="false">IF(Z147=Z146,Y146+Y$1,Y$3-0.5*Y$1*(COUNTIF(Z$11:Z$1000,Z147)-1))</f>
        <v>5.94871794871795</v>
      </c>
      <c r="Z147" s="1" t="n">
        <v>6</v>
      </c>
      <c r="AB147" s="1" t="n">
        <v>137</v>
      </c>
      <c r="AC147" s="1" t="n">
        <f aca="false">IF(AD147=AD146,AC146+AC$1,AC$3-0.5*AC$1*(COUNTIF(AD$11:AD$1000,AD147)-1))</f>
        <v>0.954285714285715</v>
      </c>
      <c r="AD147" s="1" t="n">
        <v>2</v>
      </c>
      <c r="AE147" s="1" t="n">
        <f aca="false">IF(AF147=AF146,AE146+AE$1,AE$3-0.5*AE$1*(COUNTIF(AF$11:AF$1000,AF147)-1))</f>
        <v>1.86153846153846</v>
      </c>
      <c r="AF147" s="1" t="n">
        <v>4</v>
      </c>
      <c r="AG147" s="1" t="n">
        <f aca="false">IF(AH147=AH146,AG146+AG$1,AG$3-0.5*AG$1*(COUNTIF(AH$11:AH$1000,AH147)-1))</f>
        <v>3.09811320754717</v>
      </c>
      <c r="AH147" s="1" t="n">
        <v>4</v>
      </c>
      <c r="AI147" s="1" t="n">
        <f aca="false">IF(AJ147=AJ146,AI146+AI$1,AI$3-0.5*AI$1*(COUNTIF(AJ$11:AJ$1000,AJ147)-1))</f>
        <v>3.98857142857143</v>
      </c>
      <c r="AJ147" s="1" t="n">
        <v>9</v>
      </c>
      <c r="AK147" s="1" t="n">
        <f aca="false">IF(AL147=AL146,AK146+AK$1,AK$3-0.5*AK$1*(COUNTIF(AL$11:AL$1000,AL147)-1))</f>
        <v>4.85762711864407</v>
      </c>
      <c r="AL147" s="1" t="n">
        <v>6</v>
      </c>
      <c r="AN147" s="1" t="n">
        <f aca="false">IF(AO147=AO146,AN146+AN$1,AN$3-0.5*AN$1*(COUNTIF(AO$11:AO$1000,AO147)-1))</f>
        <v>1.05</v>
      </c>
      <c r="AO147" s="1" t="n">
        <v>2</v>
      </c>
      <c r="AP147" s="1" t="n">
        <f aca="false">IF(AQ147=AQ146,AP146+AP$1,AP$3-0.5*AP$1*(COUNTIF(AQ$11:AQ$1000,AQ147)-1))</f>
        <v>2.18723404255319</v>
      </c>
      <c r="AQ147" s="1" t="n">
        <v>4</v>
      </c>
      <c r="AR147" s="1" t="n">
        <f aca="false">IF(AS147=AS146,AR146+AR$1,AR$3-0.5*AR$1*(COUNTIF(AS$11:AS$1000,AS147)-1))</f>
        <v>2.75757575757576</v>
      </c>
      <c r="AS147" s="1" t="n">
        <v>8</v>
      </c>
      <c r="AT147" s="1" t="n">
        <f aca="false">IF(AU147=AU146,AT146+AT$1,AT$3-0.5*AT$1*(COUNTIF(AU$11:AU$1000,AU147)-1))</f>
        <v>4.03478260869565</v>
      </c>
      <c r="AU147" s="1" t="n">
        <v>18</v>
      </c>
      <c r="AV147" s="1" t="n">
        <f aca="false">IF(AW147=AW146,AV146+AV$1,AV$3-0.5*AV$1*(COUNTIF(AW$11:AW$1000,AW147)-1))</f>
        <v>4.95714285714286</v>
      </c>
      <c r="AW147" s="1" t="n">
        <v>12</v>
      </c>
      <c r="AY147" s="1" t="n">
        <v>137</v>
      </c>
    </row>
    <row r="148" customFormat="false" ht="16" hidden="false" customHeight="false" outlineLevel="0" collapsed="false">
      <c r="A148" s="1" t="n">
        <v>138</v>
      </c>
      <c r="B148" s="1" t="n">
        <v>-1</v>
      </c>
      <c r="C148" s="1" t="n">
        <v>-1</v>
      </c>
      <c r="D148" s="1" t="n">
        <f aca="false">IF(E148=E147,D147+D$1,D$3-0.5*D$1*(COUNTIF(E$11:E$1000,E148)-1))</f>
        <v>2.24096385542169</v>
      </c>
      <c r="E148" s="1" t="n">
        <v>2</v>
      </c>
      <c r="F148" s="1" t="n">
        <v>-1</v>
      </c>
      <c r="G148" s="1" t="n">
        <v>-1</v>
      </c>
      <c r="H148" s="1" t="n">
        <f aca="false">IF(I148=I147,H147+H$1,H$3-0.5*H$1*(COUNTIF(I$11:I$1000,I148)-1))</f>
        <v>3.95151515151515</v>
      </c>
      <c r="I148" s="1" t="n">
        <v>4</v>
      </c>
      <c r="J148" s="1" t="n">
        <f aca="false">IF(K148=K147,J147+J$1,J$3-0.5*J$1*(COUNTIF(K$11:K$1000,K148)-1))</f>
        <v>4.97260273972603</v>
      </c>
      <c r="K148" s="1" t="n">
        <v>5</v>
      </c>
      <c r="L148" s="1" t="n">
        <f aca="false">IF(M148=M147,L147+L$1,L$3-0.5*L$1*(COUNTIF(M$11:M$1000,M148)-1))</f>
        <v>6.12631578947367</v>
      </c>
      <c r="M148" s="1" t="n">
        <v>3</v>
      </c>
      <c r="O148" s="1" t="n">
        <v>-1</v>
      </c>
      <c r="P148" s="1" t="n">
        <v>-1</v>
      </c>
      <c r="Q148" s="1" t="n">
        <f aca="false">IF(R148=R147,Q147+Q$1,Q$3-0.5*Q$1*(COUNTIF(R$11:R$1000,R148)-1))</f>
        <v>2.3</v>
      </c>
      <c r="R148" s="1" t="n">
        <v>2</v>
      </c>
      <c r="S148" s="1" t="n">
        <v>-1</v>
      </c>
      <c r="T148" s="1" t="n">
        <v>-1</v>
      </c>
      <c r="U148" s="1" t="n">
        <f aca="false">IF(V148=V147,U147+U$1,U$3-0.5*U$1*(COUNTIF(V$11:V$1000,V148)-1))</f>
        <v>3.9921568627451</v>
      </c>
      <c r="V148" s="1" t="n">
        <v>5</v>
      </c>
      <c r="W148" s="1" t="n">
        <f aca="false">IF(X148=X147,W147+W$1,W$3-0.5*W$1*(COUNTIF(X$11:X$1000,X148)-1))</f>
        <v>4.93846153846154</v>
      </c>
      <c r="X148" s="1" t="n">
        <v>8</v>
      </c>
      <c r="Y148" s="1" t="n">
        <f aca="false">IF(Z148=Z147,Y147+Y$1,Y$3-0.5*Y$1*(COUNTIF(Z$11:Z$1000,Z148)-1))</f>
        <v>5.96923076923077</v>
      </c>
      <c r="Z148" s="1" t="n">
        <v>6</v>
      </c>
      <c r="AB148" s="1" t="n">
        <v>138</v>
      </c>
      <c r="AC148" s="1" t="n">
        <f aca="false">IF(AD148=AD147,AC147+AC$1,AC$3-0.5*AC$1*(COUNTIF(AD$11:AD$1000,AD148)-1))</f>
        <v>0.961904761904763</v>
      </c>
      <c r="AD148" s="1" t="n">
        <v>2</v>
      </c>
      <c r="AE148" s="1" t="n">
        <f aca="false">IF(AF148=AF147,AE147+AE$1,AE$3-0.5*AE$1*(COUNTIF(AF$11:AF$1000,AF148)-1))</f>
        <v>1.87692307692308</v>
      </c>
      <c r="AF148" s="1" t="n">
        <v>4</v>
      </c>
      <c r="AG148" s="1" t="n">
        <f aca="false">IF(AH148=AH147,AG147+AG$1,AG$3-0.5*AG$1*(COUNTIF(AH$11:AH$1000,AH148)-1))</f>
        <v>3.11320754716981</v>
      </c>
      <c r="AH148" s="1" t="n">
        <v>4</v>
      </c>
      <c r="AI148" s="1" t="n">
        <f aca="false">IF(AJ148=AJ147,AI147+AI$1,AI$3-0.5*AI$1*(COUNTIF(AJ$11:AJ$1000,AJ148)-1))</f>
        <v>4.01142857142857</v>
      </c>
      <c r="AJ148" s="1" t="n">
        <v>9</v>
      </c>
      <c r="AK148" s="1" t="n">
        <f aca="false">IF(AL148=AL147,AK147+AK$1,AK$3-0.5*AK$1*(COUNTIF(AL$11:AL$1000,AL148)-1))</f>
        <v>4.87118644067797</v>
      </c>
      <c r="AL148" s="1" t="n">
        <v>6</v>
      </c>
      <c r="AN148" s="1" t="n">
        <f aca="false">IF(AO148=AO147,AN147+AN$1,AN$3-0.5*AN$1*(COUNTIF(AO$11:AO$1000,AO148)-1))</f>
        <v>1.05769230769231</v>
      </c>
      <c r="AO148" s="1" t="n">
        <v>2</v>
      </c>
      <c r="AP148" s="1" t="n">
        <f aca="false">IF(AQ148=AQ147,AP147+AP$1,AP$3-0.5*AP$1*(COUNTIF(AQ$11:AQ$1000,AQ148)-1))</f>
        <v>2.20425531914894</v>
      </c>
      <c r="AQ148" s="1" t="n">
        <v>4</v>
      </c>
      <c r="AR148" s="1" t="n">
        <f aca="false">IF(AS148=AS147,AR147+AR$1,AR$3-0.5*AR$1*(COUNTIF(AS$11:AS$1000,AS148)-1))</f>
        <v>2.78181818181818</v>
      </c>
      <c r="AS148" s="1" t="n">
        <v>8</v>
      </c>
      <c r="AT148" s="1" t="n">
        <f aca="false">IF(AU148=AU147,AT147+AT$1,AT$3-0.5*AT$1*(COUNTIF(AU$11:AU$1000,AU148)-1))</f>
        <v>4</v>
      </c>
      <c r="AU148" s="1" t="n">
        <v>19</v>
      </c>
      <c r="AV148" s="1" t="n">
        <f aca="false">IF(AW148=AW147,AV147+AV$1,AV$3-0.5*AV$1*(COUNTIF(AW$11:AW$1000,AW148)-1))</f>
        <v>4.98571428571429</v>
      </c>
      <c r="AW148" s="1" t="n">
        <v>12</v>
      </c>
      <c r="AY148" s="1" t="n">
        <v>138</v>
      </c>
    </row>
    <row r="149" customFormat="false" ht="16" hidden="false" customHeight="false" outlineLevel="0" collapsed="false">
      <c r="A149" s="1" t="n">
        <v>139</v>
      </c>
      <c r="B149" s="1" t="n">
        <v>-1</v>
      </c>
      <c r="C149" s="1" t="n">
        <v>-1</v>
      </c>
      <c r="D149" s="1" t="n">
        <f aca="false">IF(E149=E148,D148+D$1,D$3-0.5*D$1*(COUNTIF(E$11:E$1000,E149)-1))</f>
        <v>2.25060240963855</v>
      </c>
      <c r="E149" s="1" t="n">
        <v>2</v>
      </c>
      <c r="F149" s="1" t="n">
        <v>-1</v>
      </c>
      <c r="G149" s="1" t="n">
        <v>-1</v>
      </c>
      <c r="H149" s="1" t="n">
        <f aca="false">IF(I149=I148,H148+H$1,H$3-0.5*H$1*(COUNTIF(I$11:I$1000,I149)-1))</f>
        <v>3.96363636363636</v>
      </c>
      <c r="I149" s="1" t="n">
        <v>4</v>
      </c>
      <c r="J149" s="1" t="n">
        <f aca="false">IF(K149=K148,J148+J$1,J$3-0.5*J$1*(COUNTIF(K$11:K$1000,K149)-1))</f>
        <v>4.98356164383562</v>
      </c>
      <c r="K149" s="1" t="n">
        <v>5</v>
      </c>
      <c r="L149" s="1" t="n">
        <f aca="false">IF(M149=M148,L148+L$1,L$3-0.5*L$1*(COUNTIF(M$11:M$1000,M149)-1))</f>
        <v>5.80526315789474</v>
      </c>
      <c r="M149" s="1" t="n">
        <v>4</v>
      </c>
      <c r="O149" s="1" t="n">
        <v>-1</v>
      </c>
      <c r="P149" s="1" t="n">
        <v>-1</v>
      </c>
      <c r="Q149" s="1" t="n">
        <f aca="false">IF(R149=R148,Q148+Q$1,Q$3-0.5*Q$1*(COUNTIF(R$11:R$1000,R149)-1))</f>
        <v>2.30952380952381</v>
      </c>
      <c r="R149" s="1" t="n">
        <v>2</v>
      </c>
      <c r="S149" s="1" t="n">
        <v>-1</v>
      </c>
      <c r="T149" s="1" t="n">
        <v>-1</v>
      </c>
      <c r="U149" s="1" t="n">
        <f aca="false">IF(V149=V148,U148+U$1,U$3-0.5*U$1*(COUNTIF(V$11:V$1000,V149)-1))</f>
        <v>4.0078431372549</v>
      </c>
      <c r="V149" s="1" t="n">
        <v>5</v>
      </c>
      <c r="W149" s="1" t="n">
        <f aca="false">IF(X149=X148,W148+W$1,W$3-0.5*W$1*(COUNTIF(X$11:X$1000,X149)-1))</f>
        <v>4.95897435897436</v>
      </c>
      <c r="X149" s="1" t="n">
        <v>8</v>
      </c>
      <c r="Y149" s="1" t="n">
        <f aca="false">IF(Z149=Z148,Y148+Y$1,Y$3-0.5*Y$1*(COUNTIF(Z$11:Z$1000,Z149)-1))</f>
        <v>5.98974358974359</v>
      </c>
      <c r="Z149" s="1" t="n">
        <v>6</v>
      </c>
      <c r="AB149" s="1" t="n">
        <v>139</v>
      </c>
      <c r="AC149" s="1" t="n">
        <f aca="false">IF(AD149=AD148,AC148+AC$1,AC$3-0.5*AC$1*(COUNTIF(AD$11:AD$1000,AD149)-1))</f>
        <v>0.96952380952381</v>
      </c>
      <c r="AD149" s="1" t="n">
        <v>2</v>
      </c>
      <c r="AE149" s="1" t="n">
        <f aca="false">IF(AF149=AF148,AE148+AE$1,AE$3-0.5*AE$1*(COUNTIF(AF$11:AF$1000,AF149)-1))</f>
        <v>1.89230769230769</v>
      </c>
      <c r="AF149" s="1" t="n">
        <v>4</v>
      </c>
      <c r="AG149" s="1" t="n">
        <f aca="false">IF(AH149=AH148,AG148+AG$1,AG$3-0.5*AG$1*(COUNTIF(AH$11:AH$1000,AH149)-1))</f>
        <v>3.12830188679245</v>
      </c>
      <c r="AH149" s="1" t="n">
        <v>4</v>
      </c>
      <c r="AI149" s="1" t="n">
        <f aca="false">IF(AJ149=AJ148,AI148+AI$1,AI$3-0.5*AI$1*(COUNTIF(AJ$11:AJ$1000,AJ149)-1))</f>
        <v>3.97714285714286</v>
      </c>
      <c r="AJ149" s="1" t="n">
        <v>10</v>
      </c>
      <c r="AK149" s="1" t="n">
        <f aca="false">IF(AL149=AL148,AK148+AK$1,AK$3-0.5*AK$1*(COUNTIF(AL$11:AL$1000,AL149)-1))</f>
        <v>4.88474576271186</v>
      </c>
      <c r="AL149" s="1" t="n">
        <v>6</v>
      </c>
      <c r="AN149" s="1" t="n">
        <f aca="false">IF(AO149=AO148,AN148+AN$1,AN$3-0.5*AN$1*(COUNTIF(AO$11:AO$1000,AO149)-1))</f>
        <v>1.06538461538461</v>
      </c>
      <c r="AO149" s="1" t="n">
        <v>2</v>
      </c>
      <c r="AP149" s="1" t="n">
        <f aca="false">IF(AQ149=AQ148,AP148+AP$1,AP$3-0.5*AP$1*(COUNTIF(AQ$11:AQ$1000,AQ149)-1))</f>
        <v>2.22127659574468</v>
      </c>
      <c r="AQ149" s="1" t="n">
        <v>4</v>
      </c>
      <c r="AR149" s="1" t="n">
        <f aca="false">IF(AS149=AS148,AR148+AR$1,AR$3-0.5*AR$1*(COUNTIF(AS$11:AS$1000,AS149)-1))</f>
        <v>2.80606060606061</v>
      </c>
      <c r="AS149" s="1" t="n">
        <v>8</v>
      </c>
      <c r="AT149" s="1" t="n">
        <f aca="false">IF(AU149=AU148,AT148+AT$1,AT$3-0.5*AT$1*(COUNTIF(AU$11:AU$1000,AU149)-1))</f>
        <v>3.89565217391304</v>
      </c>
      <c r="AU149" s="1" t="n">
        <v>20</v>
      </c>
      <c r="AV149" s="1" t="n">
        <f aca="false">IF(AW149=AW148,AV148+AV$1,AV$3-0.5*AV$1*(COUNTIF(AW$11:AW$1000,AW149)-1))</f>
        <v>5.01428571428571</v>
      </c>
      <c r="AW149" s="1" t="n">
        <v>12</v>
      </c>
      <c r="AY149" s="1" t="n">
        <v>139</v>
      </c>
    </row>
    <row r="150" customFormat="false" ht="16" hidden="false" customHeight="false" outlineLevel="0" collapsed="false">
      <c r="A150" s="1" t="n">
        <v>140</v>
      </c>
      <c r="B150" s="1" t="n">
        <v>-1</v>
      </c>
      <c r="C150" s="1" t="n">
        <v>-1</v>
      </c>
      <c r="D150" s="1" t="n">
        <f aca="false">IF(E150=E149,D149+D$1,D$3-0.5*D$1*(COUNTIF(E$11:E$1000,E150)-1))</f>
        <v>2.26024096385542</v>
      </c>
      <c r="E150" s="1" t="n">
        <v>2</v>
      </c>
      <c r="F150" s="1" t="n">
        <v>-1</v>
      </c>
      <c r="G150" s="1" t="n">
        <v>-1</v>
      </c>
      <c r="H150" s="1" t="n">
        <f aca="false">IF(I150=I149,H149+H$1,H$3-0.5*H$1*(COUNTIF(I$11:I$1000,I150)-1))</f>
        <v>3.97575757575758</v>
      </c>
      <c r="I150" s="1" t="n">
        <v>4</v>
      </c>
      <c r="J150" s="1" t="n">
        <f aca="false">IF(K150=K149,J149+J$1,J$3-0.5*J$1*(COUNTIF(K$11:K$1000,K150)-1))</f>
        <v>4.99452054794521</v>
      </c>
      <c r="K150" s="1" t="n">
        <v>5</v>
      </c>
      <c r="L150" s="1" t="n">
        <f aca="false">IF(M150=M149,L149+L$1,L$3-0.5*L$1*(COUNTIF(M$11:M$1000,M150)-1))</f>
        <v>5.81578947368421</v>
      </c>
      <c r="M150" s="1" t="n">
        <v>4</v>
      </c>
      <c r="O150" s="1" t="n">
        <v>-1</v>
      </c>
      <c r="P150" s="1" t="n">
        <v>-1</v>
      </c>
      <c r="Q150" s="1" t="n">
        <f aca="false">IF(R150=R149,Q149+Q$1,Q$3-0.5*Q$1*(COUNTIF(R$11:R$1000,R150)-1))</f>
        <v>2.31904761904762</v>
      </c>
      <c r="R150" s="1" t="n">
        <v>2</v>
      </c>
      <c r="S150" s="1" t="n">
        <v>-1</v>
      </c>
      <c r="T150" s="1" t="n">
        <v>-1</v>
      </c>
      <c r="U150" s="1" t="n">
        <f aca="false">IF(V150=V149,U149+U$1,U$3-0.5*U$1*(COUNTIF(V$11:V$1000,V150)-1))</f>
        <v>4.02352941176471</v>
      </c>
      <c r="V150" s="1" t="n">
        <v>5</v>
      </c>
      <c r="W150" s="1" t="n">
        <f aca="false">IF(X150=X149,W149+W$1,W$3-0.5*W$1*(COUNTIF(X$11:X$1000,X150)-1))</f>
        <v>4.97948717948718</v>
      </c>
      <c r="X150" s="1" t="n">
        <v>8</v>
      </c>
      <c r="Y150" s="1" t="n">
        <f aca="false">IF(Z150=Z149,Y149+Y$1,Y$3-0.5*Y$1*(COUNTIF(Z$11:Z$1000,Z150)-1))</f>
        <v>6.01025641025641</v>
      </c>
      <c r="Z150" s="1" t="n">
        <v>6</v>
      </c>
      <c r="AB150" s="1" t="n">
        <v>140</v>
      </c>
      <c r="AC150" s="1" t="n">
        <f aca="false">IF(AD150=AD149,AC149+AC$1,AC$3-0.5*AC$1*(COUNTIF(AD$11:AD$1000,AD150)-1))</f>
        <v>0.977142857142858</v>
      </c>
      <c r="AD150" s="1" t="n">
        <v>2</v>
      </c>
      <c r="AE150" s="1" t="n">
        <f aca="false">IF(AF150=AF149,AE149+AE$1,AE$3-0.5*AE$1*(COUNTIF(AF$11:AF$1000,AF150)-1))</f>
        <v>1.90769230769231</v>
      </c>
      <c r="AF150" s="1" t="n">
        <v>4</v>
      </c>
      <c r="AG150" s="1" t="n">
        <f aca="false">IF(AH150=AH149,AG149+AG$1,AG$3-0.5*AG$1*(COUNTIF(AH$11:AH$1000,AH150)-1))</f>
        <v>3.14339622641509</v>
      </c>
      <c r="AH150" s="1" t="n">
        <v>4</v>
      </c>
      <c r="AI150" s="1" t="n">
        <f aca="false">IF(AJ150=AJ149,AI149+AI$1,AI$3-0.5*AI$1*(COUNTIF(AJ$11:AJ$1000,AJ150)-1))</f>
        <v>4</v>
      </c>
      <c r="AJ150" s="1" t="n">
        <v>10</v>
      </c>
      <c r="AK150" s="1" t="n">
        <f aca="false">IF(AL150=AL149,AK149+AK$1,AK$3-0.5*AK$1*(COUNTIF(AL$11:AL$1000,AL150)-1))</f>
        <v>4.89830508474576</v>
      </c>
      <c r="AL150" s="1" t="n">
        <v>6</v>
      </c>
      <c r="AN150" s="1" t="n">
        <f aca="false">IF(AO150=AO149,AN149+AN$1,AN$3-0.5*AN$1*(COUNTIF(AO$11:AO$1000,AO150)-1))</f>
        <v>1.07307692307692</v>
      </c>
      <c r="AO150" s="1" t="n">
        <v>2</v>
      </c>
      <c r="AP150" s="1" t="n">
        <f aca="false">IF(AQ150=AQ149,AP149+AP$1,AP$3-0.5*AP$1*(COUNTIF(AQ$11:AQ$1000,AQ150)-1))</f>
        <v>2.23829787234043</v>
      </c>
      <c r="AQ150" s="1" t="n">
        <v>4</v>
      </c>
      <c r="AR150" s="1" t="n">
        <f aca="false">IF(AS150=AS149,AR149+AR$1,AR$3-0.5*AR$1*(COUNTIF(AS$11:AS$1000,AS150)-1))</f>
        <v>2.83030303030303</v>
      </c>
      <c r="AS150" s="1" t="n">
        <v>8</v>
      </c>
      <c r="AT150" s="1" t="n">
        <f aca="false">IF(AU150=AU149,AT149+AT$1,AT$3-0.5*AT$1*(COUNTIF(AU$11:AU$1000,AU150)-1))</f>
        <v>3.9304347826087</v>
      </c>
      <c r="AU150" s="1" t="n">
        <v>20</v>
      </c>
      <c r="AV150" s="1" t="n">
        <f aca="false">IF(AW150=AW149,AV149+AV$1,AV$3-0.5*AV$1*(COUNTIF(AW$11:AW$1000,AW150)-1))</f>
        <v>5.04285714285714</v>
      </c>
      <c r="AW150" s="1" t="n">
        <v>12</v>
      </c>
      <c r="AY150" s="1" t="n">
        <v>140</v>
      </c>
    </row>
    <row r="151" customFormat="false" ht="16" hidden="false" customHeight="false" outlineLevel="0" collapsed="false">
      <c r="A151" s="1" t="n">
        <v>141</v>
      </c>
      <c r="B151" s="1" t="n">
        <v>-1</v>
      </c>
      <c r="C151" s="1" t="n">
        <v>-1</v>
      </c>
      <c r="D151" s="1" t="n">
        <f aca="false">IF(E151=E150,D150+D$1,D$3-0.5*D$1*(COUNTIF(E$11:E$1000,E151)-1))</f>
        <v>2.26987951807229</v>
      </c>
      <c r="E151" s="1" t="n">
        <v>2</v>
      </c>
      <c r="F151" s="1" t="n">
        <v>-1</v>
      </c>
      <c r="G151" s="1" t="n">
        <v>-1</v>
      </c>
      <c r="H151" s="1" t="n">
        <f aca="false">IF(I151=I150,H150+H$1,H$3-0.5*H$1*(COUNTIF(I$11:I$1000,I151)-1))</f>
        <v>3.98787878787879</v>
      </c>
      <c r="I151" s="1" t="n">
        <v>4</v>
      </c>
      <c r="J151" s="1" t="n">
        <f aca="false">IF(K151=K150,J150+J$1,J$3-0.5*J$1*(COUNTIF(K$11:K$1000,K151)-1))</f>
        <v>5.0054794520548</v>
      </c>
      <c r="K151" s="1" t="n">
        <v>5</v>
      </c>
      <c r="L151" s="1" t="n">
        <f aca="false">IF(M151=M150,L150+L$1,L$3-0.5*L$1*(COUNTIF(M$11:M$1000,M151)-1))</f>
        <v>5.82631578947368</v>
      </c>
      <c r="M151" s="1" t="n">
        <v>4</v>
      </c>
      <c r="O151" s="1" t="n">
        <v>-1</v>
      </c>
      <c r="P151" s="1" t="n">
        <v>-1</v>
      </c>
      <c r="Q151" s="1" t="n">
        <f aca="false">IF(R151=R150,Q150+Q$1,Q$3-0.5*Q$1*(COUNTIF(R$11:R$1000,R151)-1))</f>
        <v>2.32857142857143</v>
      </c>
      <c r="R151" s="1" t="n">
        <v>2</v>
      </c>
      <c r="S151" s="1" t="n">
        <v>-1</v>
      </c>
      <c r="T151" s="1" t="n">
        <v>-1</v>
      </c>
      <c r="U151" s="1" t="n">
        <f aca="false">IF(V151=V150,U150+U$1,U$3-0.5*U$1*(COUNTIF(V$11:V$1000,V151)-1))</f>
        <v>4.03921568627451</v>
      </c>
      <c r="V151" s="1" t="n">
        <v>5</v>
      </c>
      <c r="W151" s="1" t="n">
        <f aca="false">IF(X151=X150,W150+W$1,W$3-0.5*W$1*(COUNTIF(X$11:X$1000,X151)-1))</f>
        <v>5</v>
      </c>
      <c r="X151" s="1" t="n">
        <v>8</v>
      </c>
      <c r="Y151" s="1" t="n">
        <f aca="false">IF(Z151=Z150,Y150+Y$1,Y$3-0.5*Y$1*(COUNTIF(Z$11:Z$1000,Z151)-1))</f>
        <v>6.03076923076923</v>
      </c>
      <c r="Z151" s="1" t="n">
        <v>6</v>
      </c>
      <c r="AB151" s="1" t="n">
        <v>141</v>
      </c>
      <c r="AC151" s="1" t="n">
        <f aca="false">IF(AD151=AD150,AC150+AC$1,AC$3-0.5*AC$1*(COUNTIF(AD$11:AD$1000,AD151)-1))</f>
        <v>0.984761904761906</v>
      </c>
      <c r="AD151" s="1" t="n">
        <v>2</v>
      </c>
      <c r="AE151" s="1" t="n">
        <f aca="false">IF(AF151=AF150,AE150+AE$1,AE$3-0.5*AE$1*(COUNTIF(AF$11:AF$1000,AF151)-1))</f>
        <v>1.92307692307692</v>
      </c>
      <c r="AF151" s="1" t="n">
        <v>4</v>
      </c>
      <c r="AG151" s="1" t="n">
        <f aca="false">IF(AH151=AH150,AG150+AG$1,AG$3-0.5*AG$1*(COUNTIF(AH$11:AH$1000,AH151)-1))</f>
        <v>3.15849056603774</v>
      </c>
      <c r="AH151" s="1" t="n">
        <v>4</v>
      </c>
      <c r="AI151" s="1" t="n">
        <f aca="false">IF(AJ151=AJ150,AI150+AI$1,AI$3-0.5*AI$1*(COUNTIF(AJ$11:AJ$1000,AJ151)-1))</f>
        <v>4.02285714285714</v>
      </c>
      <c r="AJ151" s="1" t="n">
        <v>10</v>
      </c>
      <c r="AK151" s="1" t="n">
        <f aca="false">IF(AL151=AL150,AK150+AK$1,AK$3-0.5*AK$1*(COUNTIF(AL$11:AL$1000,AL151)-1))</f>
        <v>4.91186440677966</v>
      </c>
      <c r="AL151" s="1" t="n">
        <v>6</v>
      </c>
      <c r="AN151" s="1" t="n">
        <f aca="false">IF(AO151=AO150,AN150+AN$1,AN$3-0.5*AN$1*(COUNTIF(AO$11:AO$1000,AO151)-1))</f>
        <v>1.08076923076923</v>
      </c>
      <c r="AO151" s="1" t="n">
        <v>2</v>
      </c>
      <c r="AP151" s="1" t="n">
        <f aca="false">IF(AQ151=AQ150,AP150+AP$1,AP$3-0.5*AP$1*(COUNTIF(AQ$11:AQ$1000,AQ151)-1))</f>
        <v>2.25531914893617</v>
      </c>
      <c r="AQ151" s="1" t="n">
        <v>4</v>
      </c>
      <c r="AR151" s="1" t="n">
        <f aca="false">IF(AS151=AS150,AR150+AR$1,AR$3-0.5*AR$1*(COUNTIF(AS$11:AS$1000,AS151)-1))</f>
        <v>2.85454545454546</v>
      </c>
      <c r="AS151" s="1" t="n">
        <v>8</v>
      </c>
      <c r="AT151" s="1" t="n">
        <f aca="false">IF(AU151=AU150,AT150+AT$1,AT$3-0.5*AT$1*(COUNTIF(AU$11:AU$1000,AU151)-1))</f>
        <v>3.96521739130435</v>
      </c>
      <c r="AU151" s="1" t="n">
        <v>20</v>
      </c>
      <c r="AV151" s="1" t="n">
        <f aca="false">IF(AW151=AW150,AV150+AV$1,AV$3-0.5*AV$1*(COUNTIF(AW$11:AW$1000,AW151)-1))</f>
        <v>5.07142857142857</v>
      </c>
      <c r="AW151" s="1" t="n">
        <v>12</v>
      </c>
      <c r="AY151" s="1" t="n">
        <v>141</v>
      </c>
    </row>
    <row r="152" customFormat="false" ht="16" hidden="false" customHeight="false" outlineLevel="0" collapsed="false">
      <c r="A152" s="1" t="n">
        <v>142</v>
      </c>
      <c r="B152" s="1" t="n">
        <v>-1</v>
      </c>
      <c r="C152" s="1" t="n">
        <v>-1</v>
      </c>
      <c r="D152" s="1" t="n">
        <f aca="false">IF(E152=E151,D151+D$1,D$3-0.5*D$1*(COUNTIF(E$11:E$1000,E152)-1))</f>
        <v>2.27951807228916</v>
      </c>
      <c r="E152" s="1" t="n">
        <v>2</v>
      </c>
      <c r="F152" s="1" t="n">
        <v>-1</v>
      </c>
      <c r="G152" s="1" t="n">
        <v>-1</v>
      </c>
      <c r="H152" s="1" t="n">
        <f aca="false">IF(I152=I151,H151+H$1,H$3-0.5*H$1*(COUNTIF(I$11:I$1000,I152)-1))</f>
        <v>4</v>
      </c>
      <c r="I152" s="1" t="n">
        <v>4</v>
      </c>
      <c r="J152" s="1" t="n">
        <f aca="false">IF(K152=K151,J151+J$1,J$3-0.5*J$1*(COUNTIF(K$11:K$1000,K152)-1))</f>
        <v>5.01643835616439</v>
      </c>
      <c r="K152" s="1" t="n">
        <v>5</v>
      </c>
      <c r="L152" s="1" t="n">
        <f aca="false">IF(M152=M151,L151+L$1,L$3-0.5*L$1*(COUNTIF(M$11:M$1000,M152)-1))</f>
        <v>5.83684210526316</v>
      </c>
      <c r="M152" s="1" t="n">
        <v>4</v>
      </c>
      <c r="O152" s="1" t="n">
        <v>-1</v>
      </c>
      <c r="P152" s="1" t="n">
        <v>-1</v>
      </c>
      <c r="Q152" s="1" t="n">
        <f aca="false">IF(R152=R151,Q151+Q$1,Q$3-0.5*Q$1*(COUNTIF(R$11:R$1000,R152)-1))</f>
        <v>2.33809523809524</v>
      </c>
      <c r="R152" s="1" t="n">
        <v>2</v>
      </c>
      <c r="S152" s="1" t="n">
        <v>-1</v>
      </c>
      <c r="T152" s="1" t="n">
        <v>-1</v>
      </c>
      <c r="U152" s="1" t="n">
        <f aca="false">IF(V152=V151,U151+U$1,U$3-0.5*U$1*(COUNTIF(V$11:V$1000,V152)-1))</f>
        <v>4.05490196078431</v>
      </c>
      <c r="V152" s="1" t="n">
        <v>5</v>
      </c>
      <c r="W152" s="1" t="n">
        <f aca="false">IF(X152=X151,W151+W$1,W$3-0.5*W$1*(COUNTIF(X$11:X$1000,X152)-1))</f>
        <v>5.02051282051282</v>
      </c>
      <c r="X152" s="1" t="n">
        <v>8</v>
      </c>
      <c r="Y152" s="1" t="n">
        <f aca="false">IF(Z152=Z151,Y151+Y$1,Y$3-0.5*Y$1*(COUNTIF(Z$11:Z$1000,Z152)-1))</f>
        <v>6.05128205128205</v>
      </c>
      <c r="Z152" s="1" t="n">
        <v>6</v>
      </c>
      <c r="AB152" s="1" t="n">
        <v>142</v>
      </c>
      <c r="AC152" s="1" t="n">
        <f aca="false">IF(AD152=AD151,AC151+AC$1,AC$3-0.5*AC$1*(COUNTIF(AD$11:AD$1000,AD152)-1))</f>
        <v>0.992380952380953</v>
      </c>
      <c r="AD152" s="1" t="n">
        <v>2</v>
      </c>
      <c r="AE152" s="1" t="n">
        <f aca="false">IF(AF152=AF151,AE151+AE$1,AE$3-0.5*AE$1*(COUNTIF(AF$11:AF$1000,AF152)-1))</f>
        <v>1.93846153846154</v>
      </c>
      <c r="AF152" s="1" t="n">
        <v>4</v>
      </c>
      <c r="AG152" s="1" t="n">
        <f aca="false">IF(AH152=AH151,AG151+AG$1,AG$3-0.5*AG$1*(COUNTIF(AH$11:AH$1000,AH152)-1))</f>
        <v>3.17358490566038</v>
      </c>
      <c r="AH152" s="1" t="n">
        <v>4</v>
      </c>
      <c r="AI152" s="1" t="n">
        <f aca="false">IF(AJ152=AJ151,AI151+AI$1,AI$3-0.5*AI$1*(COUNTIF(AJ$11:AJ$1000,AJ152)-1))</f>
        <v>3.95428571428571</v>
      </c>
      <c r="AJ152" s="1" t="n">
        <v>12</v>
      </c>
      <c r="AK152" s="1" t="n">
        <f aca="false">IF(AL152=AL151,AK151+AK$1,AK$3-0.5*AK$1*(COUNTIF(AL$11:AL$1000,AL152)-1))</f>
        <v>4.92542372881356</v>
      </c>
      <c r="AL152" s="1" t="n">
        <v>6</v>
      </c>
      <c r="AN152" s="1" t="n">
        <f aca="false">IF(AO152=AO151,AN151+AN$1,AN$3-0.5*AN$1*(COUNTIF(AO$11:AO$1000,AO152)-1))</f>
        <v>1.08846153846154</v>
      </c>
      <c r="AO152" s="1" t="n">
        <v>2</v>
      </c>
      <c r="AP152" s="1" t="n">
        <f aca="false">IF(AQ152=AQ151,AP151+AP$1,AP$3-0.5*AP$1*(COUNTIF(AQ$11:AQ$1000,AQ152)-1))</f>
        <v>2.27234042553192</v>
      </c>
      <c r="AQ152" s="1" t="n">
        <v>4</v>
      </c>
      <c r="AR152" s="1" t="n">
        <f aca="false">IF(AS152=AS151,AR151+AR$1,AR$3-0.5*AR$1*(COUNTIF(AS$11:AS$1000,AS152)-1))</f>
        <v>2.87878787878788</v>
      </c>
      <c r="AS152" s="1" t="n">
        <v>8</v>
      </c>
      <c r="AT152" s="1" t="n">
        <f aca="false">IF(AU152=AU151,AT151+AT$1,AT$3-0.5*AT$1*(COUNTIF(AU$11:AU$1000,AU152)-1))</f>
        <v>4</v>
      </c>
      <c r="AU152" s="1" t="n">
        <v>20</v>
      </c>
      <c r="AV152" s="1" t="n">
        <f aca="false">IF(AW152=AW151,AV151+AV$1,AV$3-0.5*AV$1*(COUNTIF(AW$11:AW$1000,AW152)-1))</f>
        <v>5.1</v>
      </c>
      <c r="AW152" s="1" t="n">
        <v>12</v>
      </c>
      <c r="AY152" s="1" t="n">
        <v>142</v>
      </c>
    </row>
    <row r="153" customFormat="false" ht="16" hidden="false" customHeight="false" outlineLevel="0" collapsed="false">
      <c r="A153" s="1" t="n">
        <v>143</v>
      </c>
      <c r="B153" s="1" t="n">
        <v>-1</v>
      </c>
      <c r="C153" s="1" t="n">
        <v>-1</v>
      </c>
      <c r="D153" s="1" t="n">
        <f aca="false">IF(E153=E152,D152+D$1,D$3-0.5*D$1*(COUNTIF(E$11:E$1000,E153)-1))</f>
        <v>2.28915662650602</v>
      </c>
      <c r="E153" s="1" t="n">
        <v>2</v>
      </c>
      <c r="F153" s="1" t="n">
        <v>-1</v>
      </c>
      <c r="G153" s="1" t="n">
        <v>-1</v>
      </c>
      <c r="H153" s="1" t="n">
        <f aca="false">IF(I153=I152,H152+H$1,H$3-0.5*H$1*(COUNTIF(I$11:I$1000,I153)-1))</f>
        <v>4.01212121212121</v>
      </c>
      <c r="I153" s="1" t="n">
        <v>4</v>
      </c>
      <c r="J153" s="1" t="n">
        <f aca="false">IF(K153=K152,J152+J$1,J$3-0.5*J$1*(COUNTIF(K$11:K$1000,K153)-1))</f>
        <v>5.02739726027398</v>
      </c>
      <c r="K153" s="1" t="n">
        <v>5</v>
      </c>
      <c r="L153" s="1" t="n">
        <f aca="false">IF(M153=M152,L152+L$1,L$3-0.5*L$1*(COUNTIF(M$11:M$1000,M153)-1))</f>
        <v>5.84736842105263</v>
      </c>
      <c r="M153" s="1" t="n">
        <v>4</v>
      </c>
      <c r="O153" s="1" t="n">
        <v>-1</v>
      </c>
      <c r="P153" s="1" t="n">
        <v>-1</v>
      </c>
      <c r="Q153" s="1" t="n">
        <f aca="false">IF(R153=R152,Q152+Q$1,Q$3-0.5*Q$1*(COUNTIF(R$11:R$1000,R153)-1))</f>
        <v>2.34761904761904</v>
      </c>
      <c r="R153" s="1" t="n">
        <v>2</v>
      </c>
      <c r="S153" s="1" t="n">
        <v>-1</v>
      </c>
      <c r="T153" s="1" t="n">
        <v>-1</v>
      </c>
      <c r="U153" s="1" t="n">
        <f aca="false">IF(V153=V152,U152+U$1,U$3-0.5*U$1*(COUNTIF(V$11:V$1000,V153)-1))</f>
        <v>4.07058823529412</v>
      </c>
      <c r="V153" s="1" t="n">
        <v>5</v>
      </c>
      <c r="W153" s="1" t="n">
        <f aca="false">IF(X153=X152,W152+W$1,W$3-0.5*W$1*(COUNTIF(X$11:X$1000,X153)-1))</f>
        <v>5.04102564102564</v>
      </c>
      <c r="X153" s="1" t="n">
        <v>8</v>
      </c>
      <c r="Y153" s="1" t="n">
        <f aca="false">IF(Z153=Z152,Y152+Y$1,Y$3-0.5*Y$1*(COUNTIF(Z$11:Z$1000,Z153)-1))</f>
        <v>6.07179487179487</v>
      </c>
      <c r="Z153" s="1" t="n">
        <v>6</v>
      </c>
      <c r="AB153" s="1" t="n">
        <v>143</v>
      </c>
      <c r="AC153" s="1" t="n">
        <f aca="false">IF(AD153=AD152,AC152+AC$1,AC$3-0.5*AC$1*(COUNTIF(AD$11:AD$1000,AD153)-1))</f>
        <v>1</v>
      </c>
      <c r="AD153" s="1" t="n">
        <v>2</v>
      </c>
      <c r="AE153" s="1" t="n">
        <f aca="false">IF(AF153=AF152,AE152+AE$1,AE$3-0.5*AE$1*(COUNTIF(AF$11:AF$1000,AF153)-1))</f>
        <v>1.95384615384615</v>
      </c>
      <c r="AF153" s="1" t="n">
        <v>4</v>
      </c>
      <c r="AG153" s="1" t="n">
        <f aca="false">IF(AH153=AH152,AG152+AG$1,AG$3-0.5*AG$1*(COUNTIF(AH$11:AH$1000,AH153)-1))</f>
        <v>3.18867924528302</v>
      </c>
      <c r="AH153" s="1" t="n">
        <v>4</v>
      </c>
      <c r="AI153" s="1" t="n">
        <f aca="false">IF(AJ153=AJ152,AI152+AI$1,AI$3-0.5*AI$1*(COUNTIF(AJ$11:AJ$1000,AJ153)-1))</f>
        <v>3.97714285714286</v>
      </c>
      <c r="AJ153" s="1" t="n">
        <v>12</v>
      </c>
      <c r="AK153" s="1" t="n">
        <f aca="false">IF(AL153=AL152,AK152+AK$1,AK$3-0.5*AK$1*(COUNTIF(AL$11:AL$1000,AL153)-1))</f>
        <v>4.93898305084746</v>
      </c>
      <c r="AL153" s="1" t="n">
        <v>6</v>
      </c>
      <c r="AN153" s="1" t="n">
        <f aca="false">IF(AO153=AO152,AN152+AN$1,AN$3-0.5*AN$1*(COUNTIF(AO$11:AO$1000,AO153)-1))</f>
        <v>1.09615384615384</v>
      </c>
      <c r="AO153" s="1" t="n">
        <v>2</v>
      </c>
      <c r="AP153" s="1" t="n">
        <f aca="false">IF(AQ153=AQ152,AP152+AP$1,AP$3-0.5*AP$1*(COUNTIF(AQ$11:AQ$1000,AQ153)-1))</f>
        <v>2.28936170212766</v>
      </c>
      <c r="AQ153" s="1" t="n">
        <v>4</v>
      </c>
      <c r="AR153" s="1" t="n">
        <f aca="false">IF(AS153=AS152,AR152+AR$1,AR$3-0.5*AR$1*(COUNTIF(AS$11:AS$1000,AS153)-1))</f>
        <v>2.9030303030303</v>
      </c>
      <c r="AS153" s="1" t="n">
        <v>8</v>
      </c>
      <c r="AT153" s="1" t="n">
        <f aca="false">IF(AU153=AU152,AT152+AT$1,AT$3-0.5*AT$1*(COUNTIF(AU$11:AU$1000,AU153)-1))</f>
        <v>4.03478260869565</v>
      </c>
      <c r="AU153" s="1" t="n">
        <v>20</v>
      </c>
      <c r="AV153" s="1" t="n">
        <f aca="false">IF(AW153=AW152,AV152+AV$1,AV$3-0.5*AV$1*(COUNTIF(AW$11:AW$1000,AW153)-1))</f>
        <v>5.12857142857143</v>
      </c>
      <c r="AW153" s="1" t="n">
        <v>12</v>
      </c>
      <c r="AY153" s="1" t="n">
        <v>143</v>
      </c>
    </row>
    <row r="154" customFormat="false" ht="16" hidden="false" customHeight="false" outlineLevel="0" collapsed="false">
      <c r="A154" s="1" t="n">
        <v>144</v>
      </c>
      <c r="B154" s="1" t="n">
        <v>-1</v>
      </c>
      <c r="C154" s="1" t="n">
        <v>-1</v>
      </c>
      <c r="D154" s="1" t="n">
        <f aca="false">IF(E154=E153,D153+D$1,D$3-0.5*D$1*(COUNTIF(E$11:E$1000,E154)-1))</f>
        <v>2.29879518072289</v>
      </c>
      <c r="E154" s="1" t="n">
        <v>2</v>
      </c>
      <c r="F154" s="1" t="n">
        <v>-1</v>
      </c>
      <c r="G154" s="1" t="n">
        <v>-1</v>
      </c>
      <c r="H154" s="1" t="n">
        <f aca="false">IF(I154=I153,H153+H$1,H$3-0.5*H$1*(COUNTIF(I$11:I$1000,I154)-1))</f>
        <v>4.02424242424242</v>
      </c>
      <c r="I154" s="1" t="n">
        <v>4</v>
      </c>
      <c r="J154" s="1" t="n">
        <f aca="false">IF(K154=K153,J153+J$1,J$3-0.5*J$1*(COUNTIF(K$11:K$1000,K154)-1))</f>
        <v>5.03835616438357</v>
      </c>
      <c r="K154" s="1" t="n">
        <v>5</v>
      </c>
      <c r="L154" s="1" t="n">
        <f aca="false">IF(M154=M153,L153+L$1,L$3-0.5*L$1*(COUNTIF(M$11:M$1000,M154)-1))</f>
        <v>5.8578947368421</v>
      </c>
      <c r="M154" s="1" t="n">
        <v>4</v>
      </c>
      <c r="O154" s="1" t="n">
        <v>-1</v>
      </c>
      <c r="P154" s="1" t="n">
        <v>-1</v>
      </c>
      <c r="Q154" s="1" t="n">
        <f aca="false">IF(R154=R153,Q153+Q$1,Q$3-0.5*Q$1*(COUNTIF(R$11:R$1000,R154)-1))</f>
        <v>2.35714285714285</v>
      </c>
      <c r="R154" s="1" t="n">
        <v>2</v>
      </c>
      <c r="S154" s="1" t="n">
        <v>-1</v>
      </c>
      <c r="T154" s="1" t="n">
        <v>-1</v>
      </c>
      <c r="U154" s="1" t="n">
        <f aca="false">IF(V154=V153,U153+U$1,U$3-0.5*U$1*(COUNTIF(V$11:V$1000,V154)-1))</f>
        <v>4.08627450980392</v>
      </c>
      <c r="V154" s="1" t="n">
        <v>5</v>
      </c>
      <c r="W154" s="1" t="n">
        <f aca="false">IF(X154=X153,W153+W$1,W$3-0.5*W$1*(COUNTIF(X$11:X$1000,X154)-1))</f>
        <v>5.06153846153846</v>
      </c>
      <c r="X154" s="1" t="n">
        <v>8</v>
      </c>
      <c r="Y154" s="1" t="n">
        <f aca="false">IF(Z154=Z153,Y153+Y$1,Y$3-0.5*Y$1*(COUNTIF(Z$11:Z$1000,Z154)-1))</f>
        <v>6.09230769230769</v>
      </c>
      <c r="Z154" s="1" t="n">
        <v>6</v>
      </c>
      <c r="AB154" s="1" t="n">
        <v>144</v>
      </c>
      <c r="AC154" s="1" t="n">
        <f aca="false">IF(AD154=AD153,AC153+AC$1,AC$3-0.5*AC$1*(COUNTIF(AD$11:AD$1000,AD154)-1))</f>
        <v>1.00761904761905</v>
      </c>
      <c r="AD154" s="1" t="n">
        <v>2</v>
      </c>
      <c r="AE154" s="1" t="n">
        <f aca="false">IF(AF154=AF153,AE153+AE$1,AE$3-0.5*AE$1*(COUNTIF(AF$11:AF$1000,AF154)-1))</f>
        <v>1.96923076923077</v>
      </c>
      <c r="AF154" s="1" t="n">
        <v>4</v>
      </c>
      <c r="AG154" s="1" t="n">
        <f aca="false">IF(AH154=AH153,AG153+AG$1,AG$3-0.5*AG$1*(COUNTIF(AH$11:AH$1000,AH154)-1))</f>
        <v>3.20377358490566</v>
      </c>
      <c r="AH154" s="1" t="n">
        <v>4</v>
      </c>
      <c r="AI154" s="1" t="n">
        <f aca="false">IF(AJ154=AJ153,AI153+AI$1,AI$3-0.5*AI$1*(COUNTIF(AJ$11:AJ$1000,AJ154)-1))</f>
        <v>4</v>
      </c>
      <c r="AJ154" s="1" t="n">
        <v>12</v>
      </c>
      <c r="AK154" s="1" t="n">
        <f aca="false">IF(AL154=AL153,AK153+AK$1,AK$3-0.5*AK$1*(COUNTIF(AL$11:AL$1000,AL154)-1))</f>
        <v>4.95254237288135</v>
      </c>
      <c r="AL154" s="1" t="n">
        <v>6</v>
      </c>
      <c r="AN154" s="1" t="n">
        <f aca="false">IF(AO154=AO153,AN153+AN$1,AN$3-0.5*AN$1*(COUNTIF(AO$11:AO$1000,AO154)-1))</f>
        <v>1.10384615384615</v>
      </c>
      <c r="AO154" s="1" t="n">
        <v>2</v>
      </c>
      <c r="AP154" s="1" t="n">
        <f aca="false">IF(AQ154=AQ153,AP153+AP$1,AP$3-0.5*AP$1*(COUNTIF(AQ$11:AQ$1000,AQ154)-1))</f>
        <v>2.30638297872341</v>
      </c>
      <c r="AQ154" s="1" t="n">
        <v>4</v>
      </c>
      <c r="AR154" s="1" t="n">
        <f aca="false">IF(AS154=AS153,AR153+AR$1,AR$3-0.5*AR$1*(COUNTIF(AS$11:AS$1000,AS154)-1))</f>
        <v>2.92727272727273</v>
      </c>
      <c r="AS154" s="1" t="n">
        <v>8</v>
      </c>
      <c r="AT154" s="1" t="n">
        <f aca="false">IF(AU154=AU153,AT153+AT$1,AT$3-0.5*AT$1*(COUNTIF(AU$11:AU$1000,AU154)-1))</f>
        <v>4.0695652173913</v>
      </c>
      <c r="AU154" s="1" t="n">
        <v>20</v>
      </c>
      <c r="AV154" s="1" t="n">
        <f aca="false">IF(AW154=AW153,AV153+AV$1,AV$3-0.5*AV$1*(COUNTIF(AW$11:AW$1000,AW154)-1))</f>
        <v>5.15714285714286</v>
      </c>
      <c r="AW154" s="1" t="n">
        <v>12</v>
      </c>
      <c r="AY154" s="1" t="n">
        <v>144</v>
      </c>
    </row>
    <row r="155" customFormat="false" ht="16" hidden="false" customHeight="false" outlineLevel="0" collapsed="false">
      <c r="A155" s="1" t="n">
        <v>145</v>
      </c>
      <c r="B155" s="1" t="n">
        <v>-1</v>
      </c>
      <c r="C155" s="1" t="n">
        <v>-1</v>
      </c>
      <c r="D155" s="1" t="n">
        <f aca="false">IF(E155=E154,D154+D$1,D$3-0.5*D$1*(COUNTIF(E$11:E$1000,E155)-1))</f>
        <v>2.30843373493976</v>
      </c>
      <c r="E155" s="1" t="n">
        <v>2</v>
      </c>
      <c r="F155" s="1" t="n">
        <v>-1</v>
      </c>
      <c r="G155" s="1" t="n">
        <v>-1</v>
      </c>
      <c r="H155" s="1" t="n">
        <f aca="false">IF(I155=I154,H154+H$1,H$3-0.5*H$1*(COUNTIF(I$11:I$1000,I155)-1))</f>
        <v>4.03636363636364</v>
      </c>
      <c r="I155" s="1" t="n">
        <v>4</v>
      </c>
      <c r="J155" s="1" t="n">
        <f aca="false">IF(K155=K154,J154+J$1,J$3-0.5*J$1*(COUNTIF(K$11:K$1000,K155)-1))</f>
        <v>4.99452054794521</v>
      </c>
      <c r="K155" s="1" t="n">
        <v>6</v>
      </c>
      <c r="L155" s="1" t="n">
        <f aca="false">IF(M155=M154,L154+L$1,L$3-0.5*L$1*(COUNTIF(M$11:M$1000,M155)-1))</f>
        <v>5.86842105263158</v>
      </c>
      <c r="M155" s="1" t="n">
        <v>4</v>
      </c>
      <c r="O155" s="1" t="n">
        <v>-1</v>
      </c>
      <c r="P155" s="1" t="n">
        <v>-1</v>
      </c>
      <c r="Q155" s="1" t="n">
        <f aca="false">IF(R155=R154,Q154+Q$1,Q$3-0.5*Q$1*(COUNTIF(R$11:R$1000,R155)-1))</f>
        <v>2.36666666666666</v>
      </c>
      <c r="R155" s="1" t="n">
        <v>2</v>
      </c>
      <c r="S155" s="1" t="n">
        <v>-1</v>
      </c>
      <c r="T155" s="1" t="n">
        <v>-1</v>
      </c>
      <c r="U155" s="1" t="n">
        <f aca="false">IF(V155=V154,U154+U$1,U$3-0.5*U$1*(COUNTIF(V$11:V$1000,V155)-1))</f>
        <v>4.10196078431373</v>
      </c>
      <c r="V155" s="1" t="n">
        <v>5</v>
      </c>
      <c r="W155" s="1" t="n">
        <f aca="false">IF(X155=X154,W154+W$1,W$3-0.5*W$1*(COUNTIF(X$11:X$1000,X155)-1))</f>
        <v>5.08205128205128</v>
      </c>
      <c r="X155" s="1" t="n">
        <v>8</v>
      </c>
      <c r="Y155" s="1" t="n">
        <f aca="false">IF(Z155=Z154,Y154+Y$1,Y$3-0.5*Y$1*(COUNTIF(Z$11:Z$1000,Z155)-1))</f>
        <v>6.11282051282051</v>
      </c>
      <c r="Z155" s="1" t="n">
        <v>6</v>
      </c>
      <c r="AB155" s="1" t="n">
        <v>145</v>
      </c>
      <c r="AC155" s="1" t="n">
        <f aca="false">IF(AD155=AD154,AC154+AC$1,AC$3-0.5*AC$1*(COUNTIF(AD$11:AD$1000,AD155)-1))</f>
        <v>1.0152380952381</v>
      </c>
      <c r="AD155" s="1" t="n">
        <v>2</v>
      </c>
      <c r="AE155" s="1" t="n">
        <f aca="false">IF(AF155=AF154,AE154+AE$1,AE$3-0.5*AE$1*(COUNTIF(AF$11:AF$1000,AF155)-1))</f>
        <v>1.98461538461538</v>
      </c>
      <c r="AF155" s="1" t="n">
        <v>4</v>
      </c>
      <c r="AG155" s="1" t="n">
        <f aca="false">IF(AH155=AH154,AG154+AG$1,AG$3-0.5*AG$1*(COUNTIF(AH$11:AH$1000,AH155)-1))</f>
        <v>3.2188679245283</v>
      </c>
      <c r="AH155" s="1" t="n">
        <v>4</v>
      </c>
      <c r="AI155" s="1" t="n">
        <f aca="false">IF(AJ155=AJ154,AI154+AI$1,AI$3-0.5*AI$1*(COUNTIF(AJ$11:AJ$1000,AJ155)-1))</f>
        <v>4.02285714285714</v>
      </c>
      <c r="AJ155" s="1" t="n">
        <v>12</v>
      </c>
      <c r="AK155" s="1" t="n">
        <f aca="false">IF(AL155=AL154,AK154+AK$1,AK$3-0.5*AK$1*(COUNTIF(AL$11:AL$1000,AL155)-1))</f>
        <v>4.96610169491525</v>
      </c>
      <c r="AL155" s="1" t="n">
        <v>6</v>
      </c>
      <c r="AN155" s="1" t="n">
        <f aca="false">IF(AO155=AO154,AN154+AN$1,AN$3-0.5*AN$1*(COUNTIF(AO$11:AO$1000,AO155)-1))</f>
        <v>1.11153846153846</v>
      </c>
      <c r="AO155" s="1" t="n">
        <v>2</v>
      </c>
      <c r="AP155" s="1" t="n">
        <f aca="false">IF(AQ155=AQ154,AP154+AP$1,AP$3-0.5*AP$1*(COUNTIF(AQ$11:AQ$1000,AQ155)-1))</f>
        <v>2.32340425531915</v>
      </c>
      <c r="AQ155" s="1" t="n">
        <v>4</v>
      </c>
      <c r="AR155" s="1" t="n">
        <f aca="false">IF(AS155=AS154,AR154+AR$1,AR$3-0.5*AR$1*(COUNTIF(AS$11:AS$1000,AS155)-1))</f>
        <v>2.95151515151515</v>
      </c>
      <c r="AS155" s="1" t="n">
        <v>8</v>
      </c>
      <c r="AT155" s="1" t="n">
        <f aca="false">IF(AU155=AU154,AT154+AT$1,AT$3-0.5*AT$1*(COUNTIF(AU$11:AU$1000,AU155)-1))</f>
        <v>4.10434782608696</v>
      </c>
      <c r="AU155" s="1" t="n">
        <v>20</v>
      </c>
      <c r="AV155" s="1" t="n">
        <f aca="false">IF(AW155=AW154,AV154+AV$1,AV$3-0.5*AV$1*(COUNTIF(AW$11:AW$1000,AW155)-1))</f>
        <v>5.18571428571428</v>
      </c>
      <c r="AW155" s="1" t="n">
        <v>12</v>
      </c>
      <c r="AY155" s="1" t="n">
        <v>145</v>
      </c>
    </row>
    <row r="156" customFormat="false" ht="16" hidden="false" customHeight="false" outlineLevel="0" collapsed="false">
      <c r="A156" s="1" t="n">
        <v>146</v>
      </c>
      <c r="B156" s="1" t="n">
        <v>-1</v>
      </c>
      <c r="C156" s="1" t="n">
        <v>-1</v>
      </c>
      <c r="D156" s="1" t="n">
        <f aca="false">IF(E156=E155,D155+D$1,D$3-0.5*D$1*(COUNTIF(E$11:E$1000,E156)-1))</f>
        <v>2.31807228915662</v>
      </c>
      <c r="E156" s="1" t="n">
        <v>2</v>
      </c>
      <c r="F156" s="1" t="n">
        <v>-1</v>
      </c>
      <c r="G156" s="1" t="n">
        <v>-1</v>
      </c>
      <c r="H156" s="1" t="n">
        <f aca="false">IF(I156=I155,H155+H$1,H$3-0.5*H$1*(COUNTIF(I$11:I$1000,I156)-1))</f>
        <v>4.04848484848485</v>
      </c>
      <c r="I156" s="1" t="n">
        <v>4</v>
      </c>
      <c r="J156" s="1" t="n">
        <f aca="false">IF(K156=K155,J155+J$1,J$3-0.5*J$1*(COUNTIF(K$11:K$1000,K156)-1))</f>
        <v>5.0054794520548</v>
      </c>
      <c r="K156" s="1" t="n">
        <v>6</v>
      </c>
      <c r="L156" s="1" t="n">
        <f aca="false">IF(M156=M155,L155+L$1,L$3-0.5*L$1*(COUNTIF(M$11:M$1000,M156)-1))</f>
        <v>5.87894736842105</v>
      </c>
      <c r="M156" s="1" t="n">
        <v>4</v>
      </c>
      <c r="O156" s="1" t="n">
        <v>-1</v>
      </c>
      <c r="P156" s="1" t="n">
        <v>-1</v>
      </c>
      <c r="Q156" s="1" t="n">
        <f aca="false">IF(R156=R155,Q155+Q$1,Q$3-0.5*Q$1*(COUNTIF(R$11:R$1000,R156)-1))</f>
        <v>2.37619047619047</v>
      </c>
      <c r="R156" s="1" t="n">
        <v>2</v>
      </c>
      <c r="S156" s="1" t="n">
        <v>-1</v>
      </c>
      <c r="T156" s="1" t="n">
        <v>-1</v>
      </c>
      <c r="U156" s="1" t="n">
        <f aca="false">IF(V156=V155,U155+U$1,U$3-0.5*U$1*(COUNTIF(V$11:V$1000,V156)-1))</f>
        <v>3.91372549019608</v>
      </c>
      <c r="V156" s="1" t="n">
        <v>6</v>
      </c>
      <c r="W156" s="1" t="n">
        <f aca="false">IF(X156=X155,W155+W$1,W$3-0.5*W$1*(COUNTIF(X$11:X$1000,X156)-1))</f>
        <v>5</v>
      </c>
      <c r="X156" s="1" t="n">
        <v>10</v>
      </c>
      <c r="Y156" s="1" t="n">
        <f aca="false">IF(Z156=Z155,Y155+Y$1,Y$3-0.5*Y$1*(COUNTIF(Z$11:Z$1000,Z156)-1))</f>
        <v>6.13333333333333</v>
      </c>
      <c r="Z156" s="1" t="n">
        <v>6</v>
      </c>
      <c r="AB156" s="1" t="n">
        <v>146</v>
      </c>
      <c r="AC156" s="1" t="n">
        <f aca="false">IF(AD156=AD155,AC155+AC$1,AC$3-0.5*AC$1*(COUNTIF(AD$11:AD$1000,AD156)-1))</f>
        <v>1.02285714285714</v>
      </c>
      <c r="AD156" s="1" t="n">
        <v>2</v>
      </c>
      <c r="AE156" s="1" t="n">
        <f aca="false">IF(AF156=AF155,AE155+AE$1,AE$3-0.5*AE$1*(COUNTIF(AF$11:AF$1000,AF156)-1))</f>
        <v>2</v>
      </c>
      <c r="AF156" s="1" t="n">
        <v>4</v>
      </c>
      <c r="AG156" s="1" t="n">
        <f aca="false">IF(AH156=AH155,AG155+AG$1,AG$3-0.5*AG$1*(COUNTIF(AH$11:AH$1000,AH156)-1))</f>
        <v>3.23396226415094</v>
      </c>
      <c r="AH156" s="1" t="n">
        <v>4</v>
      </c>
      <c r="AI156" s="1" t="n">
        <f aca="false">IF(AJ156=AJ155,AI155+AI$1,AI$3-0.5*AI$1*(COUNTIF(AJ$11:AJ$1000,AJ156)-1))</f>
        <v>4.04571428571429</v>
      </c>
      <c r="AJ156" s="1" t="n">
        <v>12</v>
      </c>
      <c r="AK156" s="1" t="n">
        <f aca="false">IF(AL156=AL155,AK155+AK$1,AK$3-0.5*AK$1*(COUNTIF(AL$11:AL$1000,AL156)-1))</f>
        <v>4.97966101694915</v>
      </c>
      <c r="AL156" s="1" t="n">
        <v>6</v>
      </c>
      <c r="AN156" s="1" t="n">
        <f aca="false">IF(AO156=AO155,AN155+AN$1,AN$3-0.5*AN$1*(COUNTIF(AO$11:AO$1000,AO156)-1))</f>
        <v>1.11923076923077</v>
      </c>
      <c r="AO156" s="1" t="n">
        <v>2</v>
      </c>
      <c r="AP156" s="1" t="n">
        <f aca="false">IF(AQ156=AQ155,AP155+AP$1,AP$3-0.5*AP$1*(COUNTIF(AQ$11:AQ$1000,AQ156)-1))</f>
        <v>2.34042553191489</v>
      </c>
      <c r="AQ156" s="1" t="n">
        <v>4</v>
      </c>
      <c r="AR156" s="1" t="n">
        <f aca="false">IF(AS156=AS155,AR155+AR$1,AR$3-0.5*AR$1*(COUNTIF(AS$11:AS$1000,AS156)-1))</f>
        <v>2.97575757575758</v>
      </c>
      <c r="AS156" s="1" t="n">
        <v>8</v>
      </c>
      <c r="AT156" s="1" t="n">
        <f aca="false">IF(AU156=AU155,AT155+AT$1,AT$3-0.5*AT$1*(COUNTIF(AU$11:AU$1000,AU156)-1))</f>
        <v>3.94782608695652</v>
      </c>
      <c r="AU156" s="1" t="n">
        <v>21</v>
      </c>
      <c r="AV156" s="1" t="n">
        <f aca="false">IF(AW156=AW155,AV155+AV$1,AV$3-0.5*AV$1*(COUNTIF(AW$11:AW$1000,AW156)-1))</f>
        <v>5.21428571428571</v>
      </c>
      <c r="AW156" s="1" t="n">
        <v>12</v>
      </c>
      <c r="AY156" s="1" t="n">
        <v>146</v>
      </c>
    </row>
    <row r="157" customFormat="false" ht="16" hidden="false" customHeight="false" outlineLevel="0" collapsed="false">
      <c r="A157" s="1" t="n">
        <v>147</v>
      </c>
      <c r="B157" s="1" t="n">
        <v>-1</v>
      </c>
      <c r="C157" s="1" t="n">
        <v>-1</v>
      </c>
      <c r="D157" s="1" t="n">
        <f aca="false">IF(E157=E156,D156+D$1,D$3-0.5*D$1*(COUNTIF(E$11:E$1000,E157)-1))</f>
        <v>2.32771084337349</v>
      </c>
      <c r="E157" s="1" t="n">
        <v>2</v>
      </c>
      <c r="F157" s="1" t="n">
        <v>-1</v>
      </c>
      <c r="G157" s="1" t="n">
        <v>-1</v>
      </c>
      <c r="H157" s="1" t="n">
        <f aca="false">IF(I157=I156,H156+H$1,H$3-0.5*H$1*(COUNTIF(I$11:I$1000,I157)-1))</f>
        <v>4.06060606060606</v>
      </c>
      <c r="I157" s="1" t="n">
        <v>4</v>
      </c>
      <c r="J157" s="1" t="n">
        <v>-1</v>
      </c>
      <c r="K157" s="1" t="n">
        <v>-1</v>
      </c>
      <c r="L157" s="1" t="n">
        <f aca="false">IF(M157=M156,L156+L$1,L$3-0.5*L$1*(COUNTIF(M$11:M$1000,M157)-1))</f>
        <v>5.88947368421052</v>
      </c>
      <c r="M157" s="1" t="n">
        <v>4</v>
      </c>
      <c r="O157" s="1" t="n">
        <v>-1</v>
      </c>
      <c r="P157" s="1" t="n">
        <v>-1</v>
      </c>
      <c r="Q157" s="1" t="n">
        <f aca="false">IF(R157=R156,Q156+Q$1,Q$3-0.5*Q$1*(COUNTIF(R$11:R$1000,R157)-1))</f>
        <v>2.38571428571428</v>
      </c>
      <c r="R157" s="1" t="n">
        <v>2</v>
      </c>
      <c r="S157" s="1" t="n">
        <v>-1</v>
      </c>
      <c r="T157" s="1" t="n">
        <v>-1</v>
      </c>
      <c r="U157" s="1" t="n">
        <f aca="false">IF(V157=V156,U156+U$1,U$3-0.5*U$1*(COUNTIF(V$11:V$1000,V157)-1))</f>
        <v>3.92941176470588</v>
      </c>
      <c r="V157" s="1" t="n">
        <v>6</v>
      </c>
      <c r="W157" s="1" t="n">
        <v>-1</v>
      </c>
      <c r="X157" s="1" t="n">
        <v>-1</v>
      </c>
      <c r="Y157" s="1" t="n">
        <f aca="false">IF(Z157=Z156,Y156+Y$1,Y$3-0.5*Y$1*(COUNTIF(Z$11:Z$1000,Z157)-1))</f>
        <v>6.15384615384615</v>
      </c>
      <c r="Z157" s="1" t="n">
        <v>6</v>
      </c>
      <c r="AB157" s="1" t="n">
        <v>147</v>
      </c>
      <c r="AC157" s="1" t="n">
        <f aca="false">IF(AD157=AD156,AC156+AC$1,AC$3-0.5*AC$1*(COUNTIF(AD$11:AD$1000,AD157)-1))</f>
        <v>1.03047619047619</v>
      </c>
      <c r="AD157" s="1" t="n">
        <v>2</v>
      </c>
      <c r="AE157" s="1" t="n">
        <f aca="false">IF(AF157=AF156,AE156+AE$1,AE$3-0.5*AE$1*(COUNTIF(AF$11:AF$1000,AF157)-1))</f>
        <v>2.01538461538461</v>
      </c>
      <c r="AF157" s="1" t="n">
        <v>4</v>
      </c>
      <c r="AG157" s="1" t="n">
        <f aca="false">IF(AH157=AH156,AG156+AG$1,AG$3-0.5*AG$1*(COUNTIF(AH$11:AH$1000,AH157)-1))</f>
        <v>3.24905660377358</v>
      </c>
      <c r="AH157" s="1" t="n">
        <v>4</v>
      </c>
      <c r="AI157" s="1" t="n">
        <f aca="false">IF(AJ157=AJ156,AI156+AI$1,AI$3-0.5*AI$1*(COUNTIF(AJ$11:AJ$1000,AJ157)-1))</f>
        <v>3.98857142857143</v>
      </c>
      <c r="AJ157" s="1" t="n">
        <v>13</v>
      </c>
      <c r="AK157" s="1" t="n">
        <f aca="false">IF(AL157=AL156,AK156+AK$1,AK$3-0.5*AK$1*(COUNTIF(AL$11:AL$1000,AL157)-1))</f>
        <v>4.99322033898305</v>
      </c>
      <c r="AL157" s="1" t="n">
        <v>6</v>
      </c>
      <c r="AN157" s="1" t="n">
        <f aca="false">IF(AO157=AO156,AN156+AN$1,AN$3-0.5*AN$1*(COUNTIF(AO$11:AO$1000,AO157)-1))</f>
        <v>1.12692307692308</v>
      </c>
      <c r="AO157" s="1" t="n">
        <v>2</v>
      </c>
      <c r="AP157" s="1" t="n">
        <f aca="false">IF(AQ157=AQ156,AP156+AP$1,AP$3-0.5*AP$1*(COUNTIF(AQ$11:AQ$1000,AQ157)-1))</f>
        <v>2.35744680851064</v>
      </c>
      <c r="AQ157" s="1" t="n">
        <v>4</v>
      </c>
      <c r="AR157" s="1" t="n">
        <f aca="false">IF(AS157=AS156,AR156+AR$1,AR$3-0.5*AR$1*(COUNTIF(AS$11:AS$1000,AS157)-1))</f>
        <v>3</v>
      </c>
      <c r="AS157" s="1" t="n">
        <v>8</v>
      </c>
      <c r="AT157" s="1" t="n">
        <f aca="false">IF(AU157=AU156,AT156+AT$1,AT$3-0.5*AT$1*(COUNTIF(AU$11:AU$1000,AU157)-1))</f>
        <v>3.98260869565217</v>
      </c>
      <c r="AU157" s="1" t="n">
        <v>21</v>
      </c>
      <c r="AV157" s="1" t="n">
        <f aca="false">IF(AW157=AW156,AV156+AV$1,AV$3-0.5*AV$1*(COUNTIF(AW$11:AW$1000,AW157)-1))</f>
        <v>4.97142857142857</v>
      </c>
      <c r="AW157" s="1" t="n">
        <v>13</v>
      </c>
      <c r="AY157" s="1" t="n">
        <v>147</v>
      </c>
    </row>
    <row r="158" customFormat="false" ht="16" hidden="false" customHeight="false" outlineLevel="0" collapsed="false">
      <c r="A158" s="1" t="n">
        <v>148</v>
      </c>
      <c r="B158" s="1" t="n">
        <v>-1</v>
      </c>
      <c r="C158" s="1" t="n">
        <v>-1</v>
      </c>
      <c r="D158" s="1" t="n">
        <f aca="false">IF(E158=E157,D157+D$1,D$3-0.5*D$1*(COUNTIF(E$11:E$1000,E158)-1))</f>
        <v>2.33734939759036</v>
      </c>
      <c r="E158" s="1" t="n">
        <v>2</v>
      </c>
      <c r="F158" s="1" t="n">
        <v>-1</v>
      </c>
      <c r="G158" s="1" t="n">
        <v>-1</v>
      </c>
      <c r="H158" s="1" t="n">
        <f aca="false">IF(I158=I157,H157+H$1,H$3-0.5*H$1*(COUNTIF(I$11:I$1000,I158)-1))</f>
        <v>4.07272727272727</v>
      </c>
      <c r="I158" s="1" t="n">
        <v>4</v>
      </c>
      <c r="J158" s="1" t="n">
        <v>-1</v>
      </c>
      <c r="K158" s="1" t="n">
        <v>-1</v>
      </c>
      <c r="L158" s="1" t="n">
        <f aca="false">IF(M158=M157,L157+L$1,L$3-0.5*L$1*(COUNTIF(M$11:M$1000,M158)-1))</f>
        <v>5.9</v>
      </c>
      <c r="M158" s="1" t="n">
        <v>4</v>
      </c>
      <c r="O158" s="1" t="n">
        <v>-1</v>
      </c>
      <c r="P158" s="1" t="n">
        <v>-1</v>
      </c>
      <c r="Q158" s="1" t="n">
        <f aca="false">IF(R158=R157,Q157+Q$1,Q$3-0.5*Q$1*(COUNTIF(R$11:R$1000,R158)-1))</f>
        <v>2.39523809523809</v>
      </c>
      <c r="R158" s="1" t="n">
        <v>2</v>
      </c>
      <c r="S158" s="1" t="n">
        <v>-1</v>
      </c>
      <c r="T158" s="1" t="n">
        <v>-1</v>
      </c>
      <c r="U158" s="1" t="n">
        <f aca="false">IF(V158=V157,U157+U$1,U$3-0.5*U$1*(COUNTIF(V$11:V$1000,V158)-1))</f>
        <v>3.94509803921569</v>
      </c>
      <c r="V158" s="1" t="n">
        <v>6</v>
      </c>
      <c r="W158" s="1" t="n">
        <v>-1</v>
      </c>
      <c r="X158" s="1" t="n">
        <v>-1</v>
      </c>
      <c r="Y158" s="1" t="n">
        <f aca="false">IF(Z158=Z157,Y157+Y$1,Y$3-0.5*Y$1*(COUNTIF(Z$11:Z$1000,Z158)-1))</f>
        <v>6.17435897435897</v>
      </c>
      <c r="Z158" s="1" t="n">
        <v>6</v>
      </c>
      <c r="AB158" s="1" t="n">
        <v>148</v>
      </c>
      <c r="AC158" s="1" t="n">
        <f aca="false">IF(AD158=AD157,AC157+AC$1,AC$3-0.5*AC$1*(COUNTIF(AD$11:AD$1000,AD158)-1))</f>
        <v>1.03809523809524</v>
      </c>
      <c r="AD158" s="1" t="n">
        <v>2</v>
      </c>
      <c r="AE158" s="1" t="n">
        <f aca="false">IF(AF158=AF157,AE157+AE$1,AE$3-0.5*AE$1*(COUNTIF(AF$11:AF$1000,AF158)-1))</f>
        <v>2.03076923076923</v>
      </c>
      <c r="AF158" s="1" t="n">
        <v>4</v>
      </c>
      <c r="AG158" s="1" t="n">
        <f aca="false">IF(AH158=AH157,AG157+AG$1,AG$3-0.5*AG$1*(COUNTIF(AH$11:AH$1000,AH158)-1))</f>
        <v>3.26415094339623</v>
      </c>
      <c r="AH158" s="1" t="n">
        <v>4</v>
      </c>
      <c r="AI158" s="1" t="n">
        <f aca="false">IF(AJ158=AJ157,AI157+AI$1,AI$3-0.5*AI$1*(COUNTIF(AJ$11:AJ$1000,AJ158)-1))</f>
        <v>4.01142857142857</v>
      </c>
      <c r="AJ158" s="1" t="n">
        <v>13</v>
      </c>
      <c r="AK158" s="1" t="n">
        <f aca="false">IF(AL158=AL157,AK157+AK$1,AK$3-0.5*AK$1*(COUNTIF(AL$11:AL$1000,AL158)-1))</f>
        <v>5.00677966101695</v>
      </c>
      <c r="AL158" s="1" t="n">
        <v>6</v>
      </c>
      <c r="AN158" s="1" t="n">
        <f aca="false">IF(AO158=AO157,AN157+AN$1,AN$3-0.5*AN$1*(COUNTIF(AO$11:AO$1000,AO158)-1))</f>
        <v>1.13461538461538</v>
      </c>
      <c r="AO158" s="1" t="n">
        <v>2</v>
      </c>
      <c r="AP158" s="1" t="n">
        <f aca="false">IF(AQ158=AQ157,AP157+AP$1,AP$3-0.5*AP$1*(COUNTIF(AQ$11:AQ$1000,AQ158)-1))</f>
        <v>2.37446808510638</v>
      </c>
      <c r="AQ158" s="1" t="n">
        <v>4</v>
      </c>
      <c r="AR158" s="1" t="n">
        <f aca="false">IF(AS158=AS157,AR157+AR$1,AR$3-0.5*AR$1*(COUNTIF(AS$11:AS$1000,AS158)-1))</f>
        <v>3.02424242424243</v>
      </c>
      <c r="AS158" s="1" t="n">
        <v>8</v>
      </c>
      <c r="AT158" s="1" t="n">
        <f aca="false">IF(AU158=AU157,AT157+AT$1,AT$3-0.5*AT$1*(COUNTIF(AU$11:AU$1000,AU158)-1))</f>
        <v>4.01739130434783</v>
      </c>
      <c r="AU158" s="1" t="n">
        <v>21</v>
      </c>
      <c r="AV158" s="1" t="n">
        <f aca="false">IF(AW158=AW157,AV157+AV$1,AV$3-0.5*AV$1*(COUNTIF(AW$11:AW$1000,AW158)-1))</f>
        <v>5</v>
      </c>
      <c r="AW158" s="1" t="n">
        <v>13</v>
      </c>
      <c r="AY158" s="1" t="n">
        <v>148</v>
      </c>
    </row>
    <row r="159" customFormat="false" ht="16" hidden="false" customHeight="false" outlineLevel="0" collapsed="false">
      <c r="A159" s="1" t="n">
        <v>149</v>
      </c>
      <c r="B159" s="1" t="n">
        <v>-1</v>
      </c>
      <c r="C159" s="1" t="n">
        <v>-1</v>
      </c>
      <c r="D159" s="1" t="n">
        <f aca="false">IF(E159=E158,D158+D$1,D$3-0.5*D$1*(COUNTIF(E$11:E$1000,E159)-1))</f>
        <v>2.34698795180723</v>
      </c>
      <c r="E159" s="1" t="n">
        <v>2</v>
      </c>
      <c r="F159" s="1" t="n">
        <v>-1</v>
      </c>
      <c r="G159" s="1" t="n">
        <v>-1</v>
      </c>
      <c r="H159" s="1" t="n">
        <f aca="false">IF(I159=I158,H158+H$1,H$3-0.5*H$1*(COUNTIF(I$11:I$1000,I159)-1))</f>
        <v>4.08484848484848</v>
      </c>
      <c r="I159" s="1" t="n">
        <v>4</v>
      </c>
      <c r="J159" s="1" t="n">
        <v>-1</v>
      </c>
      <c r="K159" s="1" t="n">
        <v>-1</v>
      </c>
      <c r="L159" s="1" t="n">
        <f aca="false">IF(M159=M158,L158+L$1,L$3-0.5*L$1*(COUNTIF(M$11:M$1000,M159)-1))</f>
        <v>5.91052631578947</v>
      </c>
      <c r="M159" s="1" t="n">
        <v>4</v>
      </c>
      <c r="O159" s="1" t="n">
        <v>-1</v>
      </c>
      <c r="P159" s="1" t="n">
        <v>-1</v>
      </c>
      <c r="Q159" s="1" t="n">
        <f aca="false">IF(R159=R158,Q158+Q$1,Q$3-0.5*Q$1*(COUNTIF(R$11:R$1000,R159)-1))</f>
        <v>1.90952380952381</v>
      </c>
      <c r="R159" s="1" t="n">
        <v>3</v>
      </c>
      <c r="S159" s="1" t="n">
        <v>-1</v>
      </c>
      <c r="T159" s="1" t="n">
        <v>-1</v>
      </c>
      <c r="U159" s="1" t="n">
        <f aca="false">IF(V159=V158,U158+U$1,U$3-0.5*U$1*(COUNTIF(V$11:V$1000,V159)-1))</f>
        <v>3.96078431372549</v>
      </c>
      <c r="V159" s="1" t="n">
        <v>6</v>
      </c>
      <c r="W159" s="1" t="n">
        <v>-1</v>
      </c>
      <c r="X159" s="1" t="n">
        <v>-1</v>
      </c>
      <c r="Y159" s="1" t="n">
        <f aca="false">IF(Z159=Z158,Y158+Y$1,Y$3-0.5*Y$1*(COUNTIF(Z$11:Z$1000,Z159)-1))</f>
        <v>6.19487179487179</v>
      </c>
      <c r="Z159" s="1" t="n">
        <v>6</v>
      </c>
      <c r="AB159" s="1" t="n">
        <v>149</v>
      </c>
      <c r="AC159" s="1" t="n">
        <f aca="false">IF(AD159=AD158,AC158+AC$1,AC$3-0.5*AC$1*(COUNTIF(AD$11:AD$1000,AD159)-1))</f>
        <v>1.04571428571429</v>
      </c>
      <c r="AD159" s="1" t="n">
        <v>2</v>
      </c>
      <c r="AE159" s="1" t="n">
        <f aca="false">IF(AF159=AF158,AE158+AE$1,AE$3-0.5*AE$1*(COUNTIF(AF$11:AF$1000,AF159)-1))</f>
        <v>2.04615384615384</v>
      </c>
      <c r="AF159" s="1" t="n">
        <v>4</v>
      </c>
      <c r="AG159" s="1" t="n">
        <f aca="false">IF(AH159=AH158,AG158+AG$1,AG$3-0.5*AG$1*(COUNTIF(AH$11:AH$1000,AH159)-1))</f>
        <v>3.27924528301887</v>
      </c>
      <c r="AH159" s="1" t="n">
        <v>4</v>
      </c>
      <c r="AI159" s="1" t="n">
        <f aca="false">IF(AJ159=AJ158,AI158+AI$1,AI$3-0.5*AI$1*(COUNTIF(AJ$11:AJ$1000,AJ159)-1))</f>
        <v>3.97714285714286</v>
      </c>
      <c r="AJ159" s="1" t="n">
        <v>14</v>
      </c>
      <c r="AK159" s="1" t="n">
        <f aca="false">IF(AL159=AL158,AK158+AK$1,AK$3-0.5*AK$1*(COUNTIF(AL$11:AL$1000,AL159)-1))</f>
        <v>5.02033898305084</v>
      </c>
      <c r="AL159" s="1" t="n">
        <v>6</v>
      </c>
      <c r="AN159" s="1" t="n">
        <f aca="false">IF(AO159=AO158,AN158+AN$1,AN$3-0.5*AN$1*(COUNTIF(AO$11:AO$1000,AO159)-1))</f>
        <v>1.14230769230769</v>
      </c>
      <c r="AO159" s="1" t="n">
        <v>2</v>
      </c>
      <c r="AP159" s="1" t="n">
        <f aca="false">IF(AQ159=AQ158,AP158+AP$1,AP$3-0.5*AP$1*(COUNTIF(AQ$11:AQ$1000,AQ159)-1))</f>
        <v>2.39148936170213</v>
      </c>
      <c r="AQ159" s="1" t="n">
        <v>4</v>
      </c>
      <c r="AR159" s="1" t="n">
        <f aca="false">IF(AS159=AS158,AR158+AR$1,AR$3-0.5*AR$1*(COUNTIF(AS$11:AS$1000,AS159)-1))</f>
        <v>3.04848484848485</v>
      </c>
      <c r="AS159" s="1" t="n">
        <v>8</v>
      </c>
      <c r="AT159" s="1" t="n">
        <f aca="false">IF(AU159=AU158,AT158+AT$1,AT$3-0.5*AT$1*(COUNTIF(AU$11:AU$1000,AU159)-1))</f>
        <v>4.05217391304348</v>
      </c>
      <c r="AU159" s="1" t="n">
        <v>21</v>
      </c>
      <c r="AV159" s="1" t="n">
        <f aca="false">IF(AW159=AW158,AV158+AV$1,AV$3-0.5*AV$1*(COUNTIF(AW$11:AW$1000,AW159)-1))</f>
        <v>5.02857142857143</v>
      </c>
      <c r="AW159" s="1" t="n">
        <v>13</v>
      </c>
      <c r="AY159" s="1" t="n">
        <v>149</v>
      </c>
    </row>
    <row r="160" customFormat="false" ht="16" hidden="false" customHeight="false" outlineLevel="0" collapsed="false">
      <c r="A160" s="1" t="n">
        <v>150</v>
      </c>
      <c r="B160" s="1" t="n">
        <v>-1</v>
      </c>
      <c r="C160" s="1" t="n">
        <v>-1</v>
      </c>
      <c r="D160" s="1" t="n">
        <f aca="false">IF(E160=E159,D159+D$1,D$3-0.5*D$1*(COUNTIF(E$11:E$1000,E160)-1))</f>
        <v>2.35662650602409</v>
      </c>
      <c r="E160" s="1" t="n">
        <v>2</v>
      </c>
      <c r="F160" s="1" t="n">
        <v>-1</v>
      </c>
      <c r="G160" s="1" t="n">
        <v>-1</v>
      </c>
      <c r="H160" s="1" t="n">
        <f aca="false">IF(I160=I159,H159+H$1,H$3-0.5*H$1*(COUNTIF(I$11:I$1000,I160)-1))</f>
        <v>4.0969696969697</v>
      </c>
      <c r="I160" s="1" t="n">
        <v>4</v>
      </c>
      <c r="J160" s="1" t="n">
        <v>-1</v>
      </c>
      <c r="K160" s="1" t="n">
        <v>-1</v>
      </c>
      <c r="L160" s="1" t="n">
        <f aca="false">IF(M160=M159,L159+L$1,L$3-0.5*L$1*(COUNTIF(M$11:M$1000,M160)-1))</f>
        <v>5.92105263157894</v>
      </c>
      <c r="M160" s="1" t="n">
        <v>4</v>
      </c>
      <c r="O160" s="1" t="n">
        <v>-1</v>
      </c>
      <c r="P160" s="1" t="n">
        <v>-1</v>
      </c>
      <c r="Q160" s="1" t="n">
        <f aca="false">IF(R160=R159,Q159+Q$1,Q$3-0.5*Q$1*(COUNTIF(R$11:R$1000,R160)-1))</f>
        <v>1.91904761904762</v>
      </c>
      <c r="R160" s="1" t="n">
        <v>3</v>
      </c>
      <c r="S160" s="1" t="n">
        <v>-1</v>
      </c>
      <c r="T160" s="1" t="n">
        <v>-1</v>
      </c>
      <c r="U160" s="1" t="n">
        <f aca="false">IF(V160=V159,U159+U$1,U$3-0.5*U$1*(COUNTIF(V$11:V$1000,V160)-1))</f>
        <v>3.97647058823529</v>
      </c>
      <c r="V160" s="1" t="n">
        <v>6</v>
      </c>
      <c r="W160" s="1" t="n">
        <v>-1</v>
      </c>
      <c r="X160" s="1" t="n">
        <v>-1</v>
      </c>
      <c r="Y160" s="1" t="n">
        <f aca="false">IF(Z160=Z159,Y159+Y$1,Y$3-0.5*Y$1*(COUNTIF(Z$11:Z$1000,Z160)-1))</f>
        <v>6.21538461538461</v>
      </c>
      <c r="Z160" s="1" t="n">
        <v>6</v>
      </c>
      <c r="AB160" s="1" t="n">
        <v>150</v>
      </c>
      <c r="AC160" s="1" t="n">
        <f aca="false">IF(AD160=AD159,AC159+AC$1,AC$3-0.5*AC$1*(COUNTIF(AD$11:AD$1000,AD160)-1))</f>
        <v>1.05333333333333</v>
      </c>
      <c r="AD160" s="1" t="n">
        <v>2</v>
      </c>
      <c r="AE160" s="1" t="n">
        <f aca="false">IF(AF160=AF159,AE159+AE$1,AE$3-0.5*AE$1*(COUNTIF(AF$11:AF$1000,AF160)-1))</f>
        <v>2.06153846153846</v>
      </c>
      <c r="AF160" s="1" t="n">
        <v>4</v>
      </c>
      <c r="AG160" s="1" t="n">
        <f aca="false">IF(AH160=AH159,AG159+AG$1,AG$3-0.5*AG$1*(COUNTIF(AH$11:AH$1000,AH160)-1))</f>
        <v>2.88679245283019</v>
      </c>
      <c r="AH160" s="1" t="n">
        <v>5</v>
      </c>
      <c r="AI160" s="1" t="n">
        <f aca="false">IF(AJ160=AJ159,AI159+AI$1,AI$3-0.5*AI$1*(COUNTIF(AJ$11:AJ$1000,AJ160)-1))</f>
        <v>4</v>
      </c>
      <c r="AJ160" s="1" t="n">
        <v>14</v>
      </c>
      <c r="AK160" s="1" t="n">
        <f aca="false">IF(AL160=AL159,AK159+AK$1,AK$3-0.5*AK$1*(COUNTIF(AL$11:AL$1000,AL160)-1))</f>
        <v>5.03389830508474</v>
      </c>
      <c r="AL160" s="1" t="n">
        <v>6</v>
      </c>
      <c r="AN160" s="1" t="n">
        <f aca="false">IF(AO160=AO159,AN159+AN$1,AN$3-0.5*AN$1*(COUNTIF(AO$11:AO$1000,AO160)-1))</f>
        <v>1.15</v>
      </c>
      <c r="AO160" s="1" t="n">
        <v>2</v>
      </c>
      <c r="AP160" s="1" t="n">
        <f aca="false">IF(AQ160=AQ159,AP159+AP$1,AP$3-0.5*AP$1*(COUNTIF(AQ$11:AQ$1000,AQ160)-1))</f>
        <v>1.89787234042553</v>
      </c>
      <c r="AQ160" s="1" t="n">
        <v>5</v>
      </c>
      <c r="AR160" s="1" t="n">
        <f aca="false">IF(AS160=AS159,AR159+AR$1,AR$3-0.5*AR$1*(COUNTIF(AS$11:AS$1000,AS160)-1))</f>
        <v>3.07272727272727</v>
      </c>
      <c r="AS160" s="1" t="n">
        <v>8</v>
      </c>
      <c r="AT160" s="1" t="n">
        <f aca="false">IF(AU160=AU159,AT159+AT$1,AT$3-0.5*AT$1*(COUNTIF(AU$11:AU$1000,AU160)-1))</f>
        <v>4</v>
      </c>
      <c r="AU160" s="1" t="n">
        <v>22</v>
      </c>
      <c r="AV160" s="1" t="n">
        <f aca="false">IF(AW160=AW159,AV159+AV$1,AV$3-0.5*AV$1*(COUNTIF(AW$11:AW$1000,AW160)-1))</f>
        <v>4.87142857142857</v>
      </c>
      <c r="AW160" s="1" t="n">
        <v>14</v>
      </c>
      <c r="AY160" s="1" t="n">
        <v>150</v>
      </c>
    </row>
    <row r="161" customFormat="false" ht="16" hidden="false" customHeight="false" outlineLevel="0" collapsed="false">
      <c r="A161" s="1" t="n">
        <v>151</v>
      </c>
      <c r="B161" s="1" t="n">
        <v>-1</v>
      </c>
      <c r="C161" s="1" t="n">
        <v>-1</v>
      </c>
      <c r="D161" s="1" t="n">
        <f aca="false">IF(E161=E160,D160+D$1,D$3-0.5*D$1*(COUNTIF(E$11:E$1000,E161)-1))</f>
        <v>2.36626506024096</v>
      </c>
      <c r="E161" s="1" t="n">
        <v>2</v>
      </c>
      <c r="F161" s="1" t="n">
        <v>-1</v>
      </c>
      <c r="G161" s="1" t="n">
        <v>-1</v>
      </c>
      <c r="H161" s="1" t="n">
        <f aca="false">IF(I161=I160,H160+H$1,H$3-0.5*H$1*(COUNTIF(I$11:I$1000,I161)-1))</f>
        <v>4.10909090909091</v>
      </c>
      <c r="I161" s="1" t="n">
        <v>4</v>
      </c>
      <c r="J161" s="1" t="n">
        <v>-1</v>
      </c>
      <c r="K161" s="1" t="n">
        <v>-1</v>
      </c>
      <c r="L161" s="1" t="n">
        <f aca="false">IF(M161=M160,L160+L$1,L$3-0.5*L$1*(COUNTIF(M$11:M$1000,M161)-1))</f>
        <v>5.93157894736842</v>
      </c>
      <c r="M161" s="1" t="n">
        <v>4</v>
      </c>
      <c r="O161" s="1" t="n">
        <v>-1</v>
      </c>
      <c r="P161" s="1" t="n">
        <v>-1</v>
      </c>
      <c r="Q161" s="1" t="n">
        <f aca="false">IF(R161=R160,Q160+Q$1,Q$3-0.5*Q$1*(COUNTIF(R$11:R$1000,R161)-1))</f>
        <v>1.92857142857143</v>
      </c>
      <c r="R161" s="1" t="n">
        <v>3</v>
      </c>
      <c r="S161" s="1" t="n">
        <v>-1</v>
      </c>
      <c r="T161" s="1" t="n">
        <v>-1</v>
      </c>
      <c r="U161" s="1" t="n">
        <f aca="false">IF(V161=V160,U160+U$1,U$3-0.5*U$1*(COUNTIF(V$11:V$1000,V161)-1))</f>
        <v>3.9921568627451</v>
      </c>
      <c r="V161" s="1" t="n">
        <v>6</v>
      </c>
      <c r="W161" s="1" t="n">
        <v>-1</v>
      </c>
      <c r="X161" s="1" t="n">
        <v>-1</v>
      </c>
      <c r="Y161" s="1" t="n">
        <f aca="false">IF(Z161=Z160,Y160+Y$1,Y$3-0.5*Y$1*(COUNTIF(Z$11:Z$1000,Z161)-1))</f>
        <v>6.23589743589743</v>
      </c>
      <c r="Z161" s="1" t="n">
        <v>6</v>
      </c>
      <c r="AB161" s="1" t="n">
        <v>151</v>
      </c>
      <c r="AC161" s="1" t="n">
        <f aca="false">IF(AD161=AD160,AC160+AC$1,AC$3-0.5*AC$1*(COUNTIF(AD$11:AD$1000,AD161)-1))</f>
        <v>1.06095238095238</v>
      </c>
      <c r="AD161" s="1" t="n">
        <v>2</v>
      </c>
      <c r="AE161" s="1" t="n">
        <f aca="false">IF(AF161=AF160,AE160+AE$1,AE$3-0.5*AE$1*(COUNTIF(AF$11:AF$1000,AF161)-1))</f>
        <v>2.07692307692308</v>
      </c>
      <c r="AF161" s="1" t="n">
        <v>4</v>
      </c>
      <c r="AG161" s="1" t="n">
        <f aca="false">IF(AH161=AH160,AG160+AG$1,AG$3-0.5*AG$1*(COUNTIF(AH$11:AH$1000,AH161)-1))</f>
        <v>2.90188679245283</v>
      </c>
      <c r="AH161" s="1" t="n">
        <v>5</v>
      </c>
      <c r="AI161" s="1" t="n">
        <f aca="false">IF(AJ161=AJ160,AI160+AI$1,AI$3-0.5*AI$1*(COUNTIF(AJ$11:AJ$1000,AJ161)-1))</f>
        <v>4.02285714285714</v>
      </c>
      <c r="AJ161" s="1" t="n">
        <v>14</v>
      </c>
      <c r="AK161" s="1" t="n">
        <f aca="false">IF(AL161=AL160,AK160+AK$1,AK$3-0.5*AK$1*(COUNTIF(AL$11:AL$1000,AL161)-1))</f>
        <v>5.04745762711864</v>
      </c>
      <c r="AL161" s="1" t="n">
        <v>6</v>
      </c>
      <c r="AN161" s="1" t="n">
        <f aca="false">IF(AO161=AO160,AN160+AN$1,AN$3-0.5*AN$1*(COUNTIF(AO$11:AO$1000,AO161)-1))</f>
        <v>1.15769230769231</v>
      </c>
      <c r="AO161" s="1" t="n">
        <v>2</v>
      </c>
      <c r="AP161" s="1" t="n">
        <f aca="false">IF(AQ161=AQ160,AP160+AP$1,AP$3-0.5*AP$1*(COUNTIF(AQ$11:AQ$1000,AQ161)-1))</f>
        <v>1.91489361702128</v>
      </c>
      <c r="AQ161" s="1" t="n">
        <v>5</v>
      </c>
      <c r="AR161" s="1" t="n">
        <f aca="false">IF(AS161=AS160,AR160+AR$1,AR$3-0.5*AR$1*(COUNTIF(AS$11:AS$1000,AS161)-1))</f>
        <v>3.0969696969697</v>
      </c>
      <c r="AS161" s="1" t="n">
        <v>8</v>
      </c>
      <c r="AT161" s="1" t="n">
        <f aca="false">IF(AU161=AU160,AT160+AT$1,AT$3-0.5*AT$1*(COUNTIF(AU$11:AU$1000,AU161)-1))</f>
        <v>4</v>
      </c>
      <c r="AU161" s="1" t="n">
        <v>24</v>
      </c>
      <c r="AV161" s="1" t="n">
        <f aca="false">IF(AW161=AW160,AV160+AV$1,AV$3-0.5*AV$1*(COUNTIF(AW$11:AW$1000,AW161)-1))</f>
        <v>4.9</v>
      </c>
      <c r="AW161" s="1" t="n">
        <v>14</v>
      </c>
      <c r="AY161" s="1" t="n">
        <v>151</v>
      </c>
    </row>
    <row r="162" customFormat="false" ht="16" hidden="false" customHeight="false" outlineLevel="0" collapsed="false">
      <c r="A162" s="1" t="n">
        <v>152</v>
      </c>
      <c r="B162" s="1" t="n">
        <v>-1</v>
      </c>
      <c r="C162" s="1" t="n">
        <v>-1</v>
      </c>
      <c r="D162" s="1" t="n">
        <f aca="false">IF(E162=E161,D161+D$1,D$3-0.5*D$1*(COUNTIF(E$11:E$1000,E162)-1))</f>
        <v>2.37590361445783</v>
      </c>
      <c r="E162" s="1" t="n">
        <v>2</v>
      </c>
      <c r="F162" s="1" t="n">
        <v>-1</v>
      </c>
      <c r="G162" s="1" t="n">
        <v>-1</v>
      </c>
      <c r="H162" s="1" t="n">
        <f aca="false">IF(I162=I161,H161+H$1,H$3-0.5*H$1*(COUNTIF(I$11:I$1000,I162)-1))</f>
        <v>3.97575757575758</v>
      </c>
      <c r="I162" s="1" t="n">
        <v>5</v>
      </c>
      <c r="J162" s="1" t="n">
        <v>-1</v>
      </c>
      <c r="K162" s="1" t="n">
        <v>-1</v>
      </c>
      <c r="L162" s="1" t="n">
        <f aca="false">IF(M162=M161,L161+L$1,L$3-0.5*L$1*(COUNTIF(M$11:M$1000,M162)-1))</f>
        <v>5.94210526315789</v>
      </c>
      <c r="M162" s="1" t="n">
        <v>4</v>
      </c>
      <c r="O162" s="1" t="n">
        <v>-1</v>
      </c>
      <c r="P162" s="1" t="n">
        <v>-1</v>
      </c>
      <c r="Q162" s="1" t="n">
        <f aca="false">IF(R162=R161,Q161+Q$1,Q$3-0.5*Q$1*(COUNTIF(R$11:R$1000,R162)-1))</f>
        <v>1.93809523809524</v>
      </c>
      <c r="R162" s="1" t="n">
        <v>3</v>
      </c>
      <c r="S162" s="1" t="n">
        <v>-1</v>
      </c>
      <c r="T162" s="1" t="n">
        <v>-1</v>
      </c>
      <c r="U162" s="1" t="n">
        <f aca="false">IF(V162=V161,U161+U$1,U$3-0.5*U$1*(COUNTIF(V$11:V$1000,V162)-1))</f>
        <v>4.0078431372549</v>
      </c>
      <c r="V162" s="1" t="n">
        <v>6</v>
      </c>
      <c r="W162" s="1" t="n">
        <v>-1</v>
      </c>
      <c r="X162" s="1" t="n">
        <v>-1</v>
      </c>
      <c r="Y162" s="1" t="n">
        <f aca="false">IF(Z162=Z161,Y161+Y$1,Y$3-0.5*Y$1*(COUNTIF(Z$11:Z$1000,Z162)-1))</f>
        <v>6.25641025641025</v>
      </c>
      <c r="Z162" s="1" t="n">
        <v>6</v>
      </c>
      <c r="AB162" s="1" t="n">
        <v>152</v>
      </c>
      <c r="AC162" s="1" t="n">
        <f aca="false">IF(AD162=AD161,AC161+AC$1,AC$3-0.5*AC$1*(COUNTIF(AD$11:AD$1000,AD162)-1))</f>
        <v>1.06857142857143</v>
      </c>
      <c r="AD162" s="1" t="n">
        <v>2</v>
      </c>
      <c r="AE162" s="1" t="n">
        <f aca="false">IF(AF162=AF161,AE161+AE$1,AE$3-0.5*AE$1*(COUNTIF(AF$11:AF$1000,AF162)-1))</f>
        <v>2.09230769230769</v>
      </c>
      <c r="AF162" s="1" t="n">
        <v>4</v>
      </c>
      <c r="AG162" s="1" t="n">
        <f aca="false">IF(AH162=AH161,AG161+AG$1,AG$3-0.5*AG$1*(COUNTIF(AH$11:AH$1000,AH162)-1))</f>
        <v>2.91698113207547</v>
      </c>
      <c r="AH162" s="1" t="n">
        <v>5</v>
      </c>
      <c r="AI162" s="1" t="n">
        <f aca="false">IF(AJ162=AJ161,AI161+AI$1,AI$3-0.5*AI$1*(COUNTIF(AJ$11:AJ$1000,AJ162)-1))</f>
        <v>3.98857142857143</v>
      </c>
      <c r="AJ162" s="1" t="n">
        <v>16</v>
      </c>
      <c r="AK162" s="1" t="n">
        <f aca="false">IF(AL162=AL161,AK161+AK$1,AK$3-0.5*AK$1*(COUNTIF(AL$11:AL$1000,AL162)-1))</f>
        <v>5.06101694915254</v>
      </c>
      <c r="AL162" s="1" t="n">
        <v>6</v>
      </c>
      <c r="AN162" s="1" t="n">
        <f aca="false">IF(AO162=AO161,AN161+AN$1,AN$3-0.5*AN$1*(COUNTIF(AO$11:AO$1000,AO162)-1))</f>
        <v>1.16538461538461</v>
      </c>
      <c r="AO162" s="1" t="n">
        <v>2</v>
      </c>
      <c r="AP162" s="1" t="n">
        <f aca="false">IF(AQ162=AQ161,AP161+AP$1,AP$3-0.5*AP$1*(COUNTIF(AQ$11:AQ$1000,AQ162)-1))</f>
        <v>1.93191489361702</v>
      </c>
      <c r="AQ162" s="1" t="n">
        <v>5</v>
      </c>
      <c r="AR162" s="1" t="n">
        <f aca="false">IF(AS162=AS161,AR161+AR$1,AR$3-0.5*AR$1*(COUNTIF(AS$11:AS$1000,AS162)-1))</f>
        <v>3.12121212121212</v>
      </c>
      <c r="AS162" s="1" t="n">
        <v>8</v>
      </c>
      <c r="AT162" s="1" t="n">
        <f aca="false">IF(AU162=AU161,AT161+AT$1,AT$3-0.5*AT$1*(COUNTIF(AU$11:AU$1000,AU162)-1))</f>
        <v>3.96521739130435</v>
      </c>
      <c r="AU162" s="1" t="n">
        <v>26</v>
      </c>
      <c r="AV162" s="1" t="n">
        <f aca="false">IF(AW162=AW161,AV161+AV$1,AV$3-0.5*AV$1*(COUNTIF(AW$11:AW$1000,AW162)-1))</f>
        <v>4.92857142857143</v>
      </c>
      <c r="AW162" s="1" t="n">
        <v>14</v>
      </c>
      <c r="AY162" s="1" t="n">
        <v>152</v>
      </c>
    </row>
    <row r="163" customFormat="false" ht="16" hidden="false" customHeight="false" outlineLevel="0" collapsed="false">
      <c r="A163" s="1" t="n">
        <v>153</v>
      </c>
      <c r="B163" s="1" t="n">
        <v>-1</v>
      </c>
      <c r="C163" s="1" t="n">
        <v>-1</v>
      </c>
      <c r="D163" s="1" t="n">
        <f aca="false">IF(E163=E162,D162+D$1,D$3-0.5*D$1*(COUNTIF(E$11:E$1000,E163)-1))</f>
        <v>2.3855421686747</v>
      </c>
      <c r="E163" s="1" t="n">
        <v>2</v>
      </c>
      <c r="F163" s="1" t="n">
        <v>-1</v>
      </c>
      <c r="G163" s="1" t="n">
        <v>-1</v>
      </c>
      <c r="H163" s="1" t="n">
        <f aca="false">IF(I163=I162,H162+H$1,H$3-0.5*H$1*(COUNTIF(I$11:I$1000,I163)-1))</f>
        <v>3.98787878787879</v>
      </c>
      <c r="I163" s="1" t="n">
        <v>5</v>
      </c>
      <c r="J163" s="1" t="n">
        <v>-1</v>
      </c>
      <c r="K163" s="1" t="n">
        <v>-1</v>
      </c>
      <c r="L163" s="1" t="n">
        <f aca="false">IF(M163=M162,L162+L$1,L$3-0.5*L$1*(COUNTIF(M$11:M$1000,M163)-1))</f>
        <v>5.95263157894736</v>
      </c>
      <c r="M163" s="1" t="n">
        <v>4</v>
      </c>
      <c r="O163" s="1" t="n">
        <v>-1</v>
      </c>
      <c r="P163" s="1" t="n">
        <v>-1</v>
      </c>
      <c r="Q163" s="1" t="n">
        <f aca="false">IF(R163=R162,Q162+Q$1,Q$3-0.5*Q$1*(COUNTIF(R$11:R$1000,R163)-1))</f>
        <v>1.94761904761905</v>
      </c>
      <c r="R163" s="1" t="n">
        <v>3</v>
      </c>
      <c r="S163" s="1" t="n">
        <v>-1</v>
      </c>
      <c r="T163" s="1" t="n">
        <v>-1</v>
      </c>
      <c r="U163" s="1" t="n">
        <f aca="false">IF(V163=V162,U162+U$1,U$3-0.5*U$1*(COUNTIF(V$11:V$1000,V163)-1))</f>
        <v>4.02352941176471</v>
      </c>
      <c r="V163" s="1" t="n">
        <v>6</v>
      </c>
      <c r="W163" s="1" t="n">
        <v>-1</v>
      </c>
      <c r="X163" s="1" t="n">
        <v>-1</v>
      </c>
      <c r="Y163" s="1" t="n">
        <f aca="false">IF(Z163=Z162,Y162+Y$1,Y$3-0.5*Y$1*(COUNTIF(Z$11:Z$1000,Z163)-1))</f>
        <v>6.27692307692308</v>
      </c>
      <c r="Z163" s="1" t="n">
        <v>6</v>
      </c>
      <c r="AB163" s="1" t="n">
        <v>153</v>
      </c>
      <c r="AC163" s="1" t="n">
        <f aca="false">IF(AD163=AD162,AC162+AC$1,AC$3-0.5*AC$1*(COUNTIF(AD$11:AD$1000,AD163)-1))</f>
        <v>1.07619047619048</v>
      </c>
      <c r="AD163" s="1" t="n">
        <v>2</v>
      </c>
      <c r="AE163" s="1" t="n">
        <f aca="false">IF(AF163=AF162,AE162+AE$1,AE$3-0.5*AE$1*(COUNTIF(AF$11:AF$1000,AF163)-1))</f>
        <v>2.10769230769231</v>
      </c>
      <c r="AF163" s="1" t="n">
        <v>4</v>
      </c>
      <c r="AG163" s="1" t="n">
        <f aca="false">IF(AH163=AH162,AG162+AG$1,AG$3-0.5*AG$1*(COUNTIF(AH$11:AH$1000,AH163)-1))</f>
        <v>2.93207547169811</v>
      </c>
      <c r="AH163" s="1" t="n">
        <v>5</v>
      </c>
      <c r="AI163" s="1" t="n">
        <f aca="false">IF(AJ163=AJ162,AI162+AI$1,AI$3-0.5*AI$1*(COUNTIF(AJ$11:AJ$1000,AJ163)-1))</f>
        <v>4.01142857142857</v>
      </c>
      <c r="AJ163" s="1" t="n">
        <v>16</v>
      </c>
      <c r="AK163" s="1" t="n">
        <f aca="false">IF(AL163=AL162,AK162+AK$1,AK$3-0.5*AK$1*(COUNTIF(AL$11:AL$1000,AL163)-1))</f>
        <v>5.07457627118644</v>
      </c>
      <c r="AL163" s="1" t="n">
        <v>6</v>
      </c>
      <c r="AN163" s="1" t="n">
        <f aca="false">IF(AO163=AO162,AN162+AN$1,AN$3-0.5*AN$1*(COUNTIF(AO$11:AO$1000,AO163)-1))</f>
        <v>1.17307692307692</v>
      </c>
      <c r="AO163" s="1" t="n">
        <v>2</v>
      </c>
      <c r="AP163" s="1" t="n">
        <f aca="false">IF(AQ163=AQ162,AP162+AP$1,AP$3-0.5*AP$1*(COUNTIF(AQ$11:AQ$1000,AQ163)-1))</f>
        <v>1.94893617021277</v>
      </c>
      <c r="AQ163" s="1" t="n">
        <v>5</v>
      </c>
      <c r="AR163" s="1" t="n">
        <f aca="false">IF(AS163=AS162,AR162+AR$1,AR$3-0.5*AR$1*(COUNTIF(AS$11:AS$1000,AS163)-1))</f>
        <v>3.14545454545455</v>
      </c>
      <c r="AS163" s="1" t="n">
        <v>8</v>
      </c>
      <c r="AT163" s="1" t="n">
        <f aca="false">IF(AU163=AU162,AT162+AT$1,AT$3-0.5*AT$1*(COUNTIF(AU$11:AU$1000,AU163)-1))</f>
        <v>4</v>
      </c>
      <c r="AU163" s="1" t="n">
        <v>26</v>
      </c>
      <c r="AV163" s="1" t="n">
        <f aca="false">IF(AW163=AW162,AV162+AV$1,AV$3-0.5*AV$1*(COUNTIF(AW$11:AW$1000,AW163)-1))</f>
        <v>4.95714285714286</v>
      </c>
      <c r="AW163" s="1" t="n">
        <v>14</v>
      </c>
      <c r="AY163" s="1" t="n">
        <v>153</v>
      </c>
    </row>
    <row r="164" customFormat="false" ht="16" hidden="false" customHeight="false" outlineLevel="0" collapsed="false">
      <c r="A164" s="1" t="n">
        <v>154</v>
      </c>
      <c r="B164" s="1" t="n">
        <v>-1</v>
      </c>
      <c r="C164" s="1" t="n">
        <v>-1</v>
      </c>
      <c r="D164" s="1" t="n">
        <f aca="false">IF(E164=E163,D163+D$1,D$3-0.5*D$1*(COUNTIF(E$11:E$1000,E164)-1))</f>
        <v>2.39518072289156</v>
      </c>
      <c r="E164" s="1" t="n">
        <v>2</v>
      </c>
      <c r="F164" s="1" t="n">
        <v>-1</v>
      </c>
      <c r="G164" s="1" t="n">
        <v>-1</v>
      </c>
      <c r="H164" s="1" t="n">
        <f aca="false">IF(I164=I163,H163+H$1,H$3-0.5*H$1*(COUNTIF(I$11:I$1000,I164)-1))</f>
        <v>4</v>
      </c>
      <c r="I164" s="1" t="n">
        <v>5</v>
      </c>
      <c r="J164" s="1" t="n">
        <v>-1</v>
      </c>
      <c r="K164" s="1" t="n">
        <v>-1</v>
      </c>
      <c r="L164" s="1" t="n">
        <f aca="false">IF(M164=M163,L163+L$1,L$3-0.5*L$1*(COUNTIF(M$11:M$1000,M164)-1))</f>
        <v>5.96315789473684</v>
      </c>
      <c r="M164" s="1" t="n">
        <v>4</v>
      </c>
      <c r="O164" s="1" t="n">
        <v>-1</v>
      </c>
      <c r="P164" s="1" t="n">
        <v>-1</v>
      </c>
      <c r="Q164" s="1" t="n">
        <f aca="false">IF(R164=R163,Q163+Q$1,Q$3-0.5*Q$1*(COUNTIF(R$11:R$1000,R164)-1))</f>
        <v>1.95714285714286</v>
      </c>
      <c r="R164" s="1" t="n">
        <v>3</v>
      </c>
      <c r="S164" s="1" t="n">
        <v>-1</v>
      </c>
      <c r="T164" s="1" t="n">
        <v>-1</v>
      </c>
      <c r="U164" s="1" t="n">
        <f aca="false">IF(V164=V163,U163+U$1,U$3-0.5*U$1*(COUNTIF(V$11:V$1000,V164)-1))</f>
        <v>4.03921568627451</v>
      </c>
      <c r="V164" s="1" t="n">
        <v>6</v>
      </c>
      <c r="W164" s="1" t="n">
        <v>-1</v>
      </c>
      <c r="X164" s="1" t="n">
        <v>-1</v>
      </c>
      <c r="Y164" s="1" t="n">
        <f aca="false">IF(Z164=Z163,Y163+Y$1,Y$3-0.5*Y$1*(COUNTIF(Z$11:Z$1000,Z164)-1))</f>
        <v>6.2974358974359</v>
      </c>
      <c r="Z164" s="1" t="n">
        <v>6</v>
      </c>
      <c r="AB164" s="1" t="n">
        <v>154</v>
      </c>
      <c r="AC164" s="1" t="n">
        <f aca="false">IF(AD164=AD163,AC163+AC$1,AC$3-0.5*AC$1*(COUNTIF(AD$11:AD$1000,AD164)-1))</f>
        <v>1.08380952380952</v>
      </c>
      <c r="AD164" s="1" t="n">
        <v>2</v>
      </c>
      <c r="AE164" s="1" t="n">
        <f aca="false">IF(AF164=AF163,AE163+AE$1,AE$3-0.5*AE$1*(COUNTIF(AF$11:AF$1000,AF164)-1))</f>
        <v>2.12307692307692</v>
      </c>
      <c r="AF164" s="1" t="n">
        <v>4</v>
      </c>
      <c r="AG164" s="1" t="n">
        <f aca="false">IF(AH164=AH163,AG163+AG$1,AG$3-0.5*AG$1*(COUNTIF(AH$11:AH$1000,AH164)-1))</f>
        <v>2.94716981132075</v>
      </c>
      <c r="AH164" s="1" t="n">
        <v>5</v>
      </c>
      <c r="AI164" s="1" t="n">
        <f aca="false">IF(AJ164=AJ163,AI163+AI$1,AI$3-0.5*AI$1*(COUNTIF(AJ$11:AJ$1000,AJ164)-1))</f>
        <v>4</v>
      </c>
      <c r="AJ164" s="1" t="n">
        <v>18</v>
      </c>
      <c r="AK164" s="1" t="n">
        <f aca="false">IF(AL164=AL163,AK163+AK$1,AK$3-0.5*AK$1*(COUNTIF(AL$11:AL$1000,AL164)-1))</f>
        <v>5.08813559322033</v>
      </c>
      <c r="AL164" s="1" t="n">
        <v>6</v>
      </c>
      <c r="AN164" s="1" t="n">
        <f aca="false">IF(AO164=AO163,AN163+AN$1,AN$3-0.5*AN$1*(COUNTIF(AO$11:AO$1000,AO164)-1))</f>
        <v>1.18076923076923</v>
      </c>
      <c r="AO164" s="1" t="n">
        <v>2</v>
      </c>
      <c r="AP164" s="1" t="n">
        <f aca="false">IF(AQ164=AQ163,AP163+AP$1,AP$3-0.5*AP$1*(COUNTIF(AQ$11:AQ$1000,AQ164)-1))</f>
        <v>1.96595744680851</v>
      </c>
      <c r="AQ164" s="1" t="n">
        <v>5</v>
      </c>
      <c r="AR164" s="1" t="n">
        <f aca="false">IF(AS164=AS163,AR163+AR$1,AR$3-0.5*AR$1*(COUNTIF(AS$11:AS$1000,AS164)-1))</f>
        <v>3.16969696969697</v>
      </c>
      <c r="AS164" s="1" t="n">
        <v>8</v>
      </c>
      <c r="AT164" s="1" t="n">
        <f aca="false">IF(AU164=AU163,AT163+AT$1,AT$3-0.5*AT$1*(COUNTIF(AU$11:AU$1000,AU164)-1))</f>
        <v>4.03478260869565</v>
      </c>
      <c r="AU164" s="1" t="n">
        <v>26</v>
      </c>
      <c r="AV164" s="1" t="n">
        <f aca="false">IF(AW164=AW163,AV163+AV$1,AV$3-0.5*AV$1*(COUNTIF(AW$11:AW$1000,AW164)-1))</f>
        <v>4.98571428571429</v>
      </c>
      <c r="AW164" s="1" t="n">
        <v>14</v>
      </c>
      <c r="AY164" s="1" t="n">
        <v>154</v>
      </c>
    </row>
    <row r="165" customFormat="false" ht="16" hidden="false" customHeight="false" outlineLevel="0" collapsed="false">
      <c r="A165" s="1" t="n">
        <v>155</v>
      </c>
      <c r="B165" s="1" t="n">
        <v>-1</v>
      </c>
      <c r="C165" s="1" t="n">
        <v>-1</v>
      </c>
      <c r="D165" s="1" t="n">
        <f aca="false">IF(E165=E164,D164+D$1,D$3-0.5*D$1*(COUNTIF(E$11:E$1000,E165)-1))</f>
        <v>1.92771084337349</v>
      </c>
      <c r="E165" s="1" t="n">
        <v>3</v>
      </c>
      <c r="F165" s="1" t="n">
        <v>-1</v>
      </c>
      <c r="G165" s="1" t="n">
        <v>-1</v>
      </c>
      <c r="H165" s="1" t="n">
        <f aca="false">IF(I165=I164,H164+H$1,H$3-0.5*H$1*(COUNTIF(I$11:I$1000,I165)-1))</f>
        <v>4.01212121212121</v>
      </c>
      <c r="I165" s="1" t="n">
        <v>5</v>
      </c>
      <c r="J165" s="1" t="n">
        <v>-1</v>
      </c>
      <c r="K165" s="1" t="n">
        <v>-1</v>
      </c>
      <c r="L165" s="1" t="n">
        <f aca="false">IF(M165=M164,L164+L$1,L$3-0.5*L$1*(COUNTIF(M$11:M$1000,M165)-1))</f>
        <v>5.97368421052631</v>
      </c>
      <c r="M165" s="1" t="n">
        <v>4</v>
      </c>
      <c r="O165" s="1" t="n">
        <v>-1</v>
      </c>
      <c r="P165" s="1" t="n">
        <v>-1</v>
      </c>
      <c r="Q165" s="1" t="n">
        <f aca="false">IF(R165=R164,Q164+Q$1,Q$3-0.5*Q$1*(COUNTIF(R$11:R$1000,R165)-1))</f>
        <v>1.96666666666667</v>
      </c>
      <c r="R165" s="1" t="n">
        <v>3</v>
      </c>
      <c r="S165" s="1" t="n">
        <v>-1</v>
      </c>
      <c r="T165" s="1" t="n">
        <v>-1</v>
      </c>
      <c r="U165" s="1" t="n">
        <f aca="false">IF(V165=V164,U164+U$1,U$3-0.5*U$1*(COUNTIF(V$11:V$1000,V165)-1))</f>
        <v>4.05490196078431</v>
      </c>
      <c r="V165" s="1" t="n">
        <v>6</v>
      </c>
      <c r="W165" s="1" t="n">
        <v>-1</v>
      </c>
      <c r="X165" s="1" t="n">
        <v>-1</v>
      </c>
      <c r="Y165" s="1" t="n">
        <f aca="false">IF(Z165=Z164,Y164+Y$1,Y$3-0.5*Y$1*(COUNTIF(Z$11:Z$1000,Z165)-1))</f>
        <v>5.87692307692308</v>
      </c>
      <c r="Z165" s="1" t="n">
        <v>7</v>
      </c>
      <c r="AB165" s="1" t="n">
        <v>155</v>
      </c>
      <c r="AC165" s="1" t="n">
        <f aca="false">IF(AD165=AD164,AC164+AC$1,AC$3-0.5*AC$1*(COUNTIF(AD$11:AD$1000,AD165)-1))</f>
        <v>1.09142857142857</v>
      </c>
      <c r="AD165" s="1" t="n">
        <v>2</v>
      </c>
      <c r="AE165" s="1" t="n">
        <f aca="false">IF(AF165=AF164,AE164+AE$1,AE$3-0.5*AE$1*(COUNTIF(AF$11:AF$1000,AF165)-1))</f>
        <v>2.13846153846154</v>
      </c>
      <c r="AF165" s="1" t="n">
        <v>4</v>
      </c>
      <c r="AG165" s="1" t="n">
        <f aca="false">IF(AH165=AH164,AG164+AG$1,AG$3-0.5*AG$1*(COUNTIF(AH$11:AH$1000,AH165)-1))</f>
        <v>2.9622641509434</v>
      </c>
      <c r="AH165" s="1" t="n">
        <v>5</v>
      </c>
      <c r="AI165" s="1" t="n">
        <f aca="false">IF(AJ165=AJ164,AI164+AI$1,AI$3-0.5*AI$1*(COUNTIF(AJ$11:AJ$1000,AJ165)-1))</f>
        <v>3.98857142857143</v>
      </c>
      <c r="AJ165" s="1" t="n">
        <v>20</v>
      </c>
      <c r="AK165" s="1" t="n">
        <f aca="false">IF(AL165=AL164,AK164+AK$1,AK$3-0.5*AK$1*(COUNTIF(AL$11:AL$1000,AL165)-1))</f>
        <v>5.10169491525423</v>
      </c>
      <c r="AL165" s="1" t="n">
        <v>6</v>
      </c>
      <c r="AN165" s="1" t="n">
        <f aca="false">IF(AO165=AO164,AN164+AN$1,AN$3-0.5*AN$1*(COUNTIF(AO$11:AO$1000,AO165)-1))</f>
        <v>1.18846153846154</v>
      </c>
      <c r="AO165" s="1" t="n">
        <v>2</v>
      </c>
      <c r="AP165" s="1" t="n">
        <f aca="false">IF(AQ165=AQ164,AP164+AP$1,AP$3-0.5*AP$1*(COUNTIF(AQ$11:AQ$1000,AQ165)-1))</f>
        <v>1.98297872340426</v>
      </c>
      <c r="AQ165" s="1" t="n">
        <v>5</v>
      </c>
      <c r="AR165" s="1" t="n">
        <f aca="false">IF(AS165=AS164,AR164+AR$1,AR$3-0.5*AR$1*(COUNTIF(AS$11:AS$1000,AS165)-1))</f>
        <v>3.1939393939394</v>
      </c>
      <c r="AS165" s="1" t="n">
        <v>8</v>
      </c>
      <c r="AT165" s="1" t="n">
        <f aca="false">IF(AU165=AU164,AT164+AT$1,AT$3-0.5*AT$1*(COUNTIF(AU$11:AU$1000,AU165)-1))</f>
        <v>4</v>
      </c>
      <c r="AU165" s="1" t="n">
        <v>28</v>
      </c>
      <c r="AV165" s="1" t="n">
        <f aca="false">IF(AW165=AW164,AV164+AV$1,AV$3-0.5*AV$1*(COUNTIF(AW$11:AW$1000,AW165)-1))</f>
        <v>5.01428571428571</v>
      </c>
      <c r="AW165" s="1" t="n">
        <v>14</v>
      </c>
      <c r="AY165" s="1" t="n">
        <v>155</v>
      </c>
    </row>
    <row r="166" customFormat="false" ht="16" hidden="false" customHeight="false" outlineLevel="0" collapsed="false">
      <c r="A166" s="1" t="n">
        <v>156</v>
      </c>
      <c r="B166" s="1" t="n">
        <v>-1</v>
      </c>
      <c r="C166" s="1" t="n">
        <v>-1</v>
      </c>
      <c r="D166" s="1" t="n">
        <f aca="false">IF(E166=E165,D165+D$1,D$3-0.5*D$1*(COUNTIF(E$11:E$1000,E166)-1))</f>
        <v>1.93734939759036</v>
      </c>
      <c r="E166" s="1" t="n">
        <v>3</v>
      </c>
      <c r="F166" s="1" t="n">
        <v>-1</v>
      </c>
      <c r="G166" s="1" t="n">
        <v>-1</v>
      </c>
      <c r="H166" s="1" t="n">
        <f aca="false">IF(I166=I165,H165+H$1,H$3-0.5*H$1*(COUNTIF(I$11:I$1000,I166)-1))</f>
        <v>4.02424242424242</v>
      </c>
      <c r="I166" s="1" t="n">
        <v>5</v>
      </c>
      <c r="J166" s="1" t="n">
        <v>-1</v>
      </c>
      <c r="K166" s="1" t="n">
        <v>-1</v>
      </c>
      <c r="L166" s="1" t="n">
        <f aca="false">IF(M166=M165,L165+L$1,L$3-0.5*L$1*(COUNTIF(M$11:M$1000,M166)-1))</f>
        <v>5.98421052631578</v>
      </c>
      <c r="M166" s="1" t="n">
        <v>4</v>
      </c>
      <c r="O166" s="1" t="n">
        <v>-1</v>
      </c>
      <c r="P166" s="1" t="n">
        <v>-1</v>
      </c>
      <c r="Q166" s="1" t="n">
        <f aca="false">IF(R166=R165,Q165+Q$1,Q$3-0.5*Q$1*(COUNTIF(R$11:R$1000,R166)-1))</f>
        <v>1.97619047619048</v>
      </c>
      <c r="R166" s="1" t="n">
        <v>3</v>
      </c>
      <c r="S166" s="1" t="n">
        <v>-1</v>
      </c>
      <c r="T166" s="1" t="n">
        <v>-1</v>
      </c>
      <c r="U166" s="1" t="n">
        <f aca="false">IF(V166=V165,U165+U$1,U$3-0.5*U$1*(COUNTIF(V$11:V$1000,V166)-1))</f>
        <v>4.07058823529412</v>
      </c>
      <c r="V166" s="1" t="n">
        <v>6</v>
      </c>
      <c r="W166" s="1" t="n">
        <v>-1</v>
      </c>
      <c r="X166" s="1" t="n">
        <v>-1</v>
      </c>
      <c r="Y166" s="1" t="n">
        <f aca="false">IF(Z166=Z165,Y165+Y$1,Y$3-0.5*Y$1*(COUNTIF(Z$11:Z$1000,Z166)-1))</f>
        <v>5.8974358974359</v>
      </c>
      <c r="Z166" s="1" t="n">
        <v>7</v>
      </c>
      <c r="AB166" s="1" t="n">
        <v>156</v>
      </c>
      <c r="AC166" s="1" t="n">
        <f aca="false">IF(AD166=AD165,AC165+AC$1,AC$3-0.5*AC$1*(COUNTIF(AD$11:AD$1000,AD166)-1))</f>
        <v>1.09904761904762</v>
      </c>
      <c r="AD166" s="1" t="n">
        <v>2</v>
      </c>
      <c r="AE166" s="1" t="n">
        <f aca="false">IF(AF166=AF165,AE165+AE$1,AE$3-0.5*AE$1*(COUNTIF(AF$11:AF$1000,AF166)-1))</f>
        <v>2.15384615384615</v>
      </c>
      <c r="AF166" s="1" t="n">
        <v>4</v>
      </c>
      <c r="AG166" s="1" t="n">
        <f aca="false">IF(AH166=AH165,AG165+AG$1,AG$3-0.5*AG$1*(COUNTIF(AH$11:AH$1000,AH166)-1))</f>
        <v>2.97735849056604</v>
      </c>
      <c r="AH166" s="1" t="n">
        <v>5</v>
      </c>
      <c r="AI166" s="1" t="n">
        <f aca="false">IF(AJ166=AJ165,AI165+AI$1,AI$3-0.5*AI$1*(COUNTIF(AJ$11:AJ$1000,AJ166)-1))</f>
        <v>4.01142857142857</v>
      </c>
      <c r="AJ166" s="1" t="n">
        <v>20</v>
      </c>
      <c r="AK166" s="1" t="n">
        <f aca="false">IF(AL166=AL165,AK165+AK$1,AK$3-0.5*AK$1*(COUNTIF(AL$11:AL$1000,AL166)-1))</f>
        <v>5.11525423728813</v>
      </c>
      <c r="AL166" s="1" t="n">
        <v>6</v>
      </c>
      <c r="AN166" s="1" t="n">
        <f aca="false">IF(AO166=AO165,AN165+AN$1,AN$3-0.5*AN$1*(COUNTIF(AO$11:AO$1000,AO166)-1))</f>
        <v>1.19615384615384</v>
      </c>
      <c r="AO166" s="1" t="n">
        <v>2</v>
      </c>
      <c r="AP166" s="1" t="n">
        <f aca="false">IF(AQ166=AQ165,AP165+AP$1,AP$3-0.5*AP$1*(COUNTIF(AQ$11:AQ$1000,AQ166)-1))</f>
        <v>2</v>
      </c>
      <c r="AQ166" s="1" t="n">
        <v>5</v>
      </c>
      <c r="AR166" s="1" t="n">
        <f aca="false">IF(AS166=AS165,AR165+AR$1,AR$3-0.5*AR$1*(COUNTIF(AS$11:AS$1000,AS166)-1))</f>
        <v>3.21818181818182</v>
      </c>
      <c r="AS166" s="1" t="n">
        <v>8</v>
      </c>
      <c r="AT166" s="1" t="n">
        <f aca="false">IF(AU166=AU165,AT165+AT$1,AT$3-0.5*AT$1*(COUNTIF(AU$11:AU$1000,AU166)-1))</f>
        <v>4</v>
      </c>
      <c r="AU166" s="1" t="n">
        <v>38</v>
      </c>
      <c r="AV166" s="1" t="n">
        <f aca="false">IF(AW166=AW165,AV165+AV$1,AV$3-0.5*AV$1*(COUNTIF(AW$11:AW$1000,AW166)-1))</f>
        <v>5.04285714285714</v>
      </c>
      <c r="AW166" s="1" t="n">
        <v>14</v>
      </c>
      <c r="AY166" s="1" t="n">
        <v>156</v>
      </c>
    </row>
    <row r="167" customFormat="false" ht="16" hidden="false" customHeight="false" outlineLevel="0" collapsed="false">
      <c r="A167" s="1" t="n">
        <v>157</v>
      </c>
      <c r="B167" s="1" t="n">
        <v>-1</v>
      </c>
      <c r="C167" s="1" t="n">
        <v>-1</v>
      </c>
      <c r="D167" s="1" t="n">
        <f aca="false">IF(E167=E166,D166+D$1,D$3-0.5*D$1*(COUNTIF(E$11:E$1000,E167)-1))</f>
        <v>1.94698795180723</v>
      </c>
      <c r="E167" s="1" t="n">
        <v>3</v>
      </c>
      <c r="F167" s="1" t="n">
        <v>-1</v>
      </c>
      <c r="G167" s="1" t="n">
        <v>-1</v>
      </c>
      <c r="H167" s="1" t="n">
        <f aca="false">IF(I167=I166,H166+H$1,H$3-0.5*H$1*(COUNTIF(I$11:I$1000,I167)-1))</f>
        <v>3.99393939393939</v>
      </c>
      <c r="I167" s="1" t="n">
        <v>6</v>
      </c>
      <c r="J167" s="1" t="n">
        <v>-1</v>
      </c>
      <c r="K167" s="1" t="n">
        <v>-1</v>
      </c>
      <c r="L167" s="1" t="n">
        <f aca="false">IF(M167=M166,L166+L$1,L$3-0.5*L$1*(COUNTIF(M$11:M$1000,M167)-1))</f>
        <v>5.99473684210526</v>
      </c>
      <c r="M167" s="1" t="n">
        <v>4</v>
      </c>
      <c r="O167" s="1" t="n">
        <v>-1</v>
      </c>
      <c r="P167" s="1" t="n">
        <v>-1</v>
      </c>
      <c r="Q167" s="1" t="n">
        <f aca="false">IF(R167=R166,Q166+Q$1,Q$3-0.5*Q$1*(COUNTIF(R$11:R$1000,R167)-1))</f>
        <v>1.98571428571429</v>
      </c>
      <c r="R167" s="1" t="n">
        <v>3</v>
      </c>
      <c r="S167" s="1" t="n">
        <v>-1</v>
      </c>
      <c r="T167" s="1" t="n">
        <v>-1</v>
      </c>
      <c r="U167" s="1" t="n">
        <f aca="false">IF(V167=V166,U166+U$1,U$3-0.5*U$1*(COUNTIF(V$11:V$1000,V167)-1))</f>
        <v>4.08627450980392</v>
      </c>
      <c r="V167" s="1" t="n">
        <v>6</v>
      </c>
      <c r="W167" s="1" t="n">
        <v>-1</v>
      </c>
      <c r="X167" s="1" t="n">
        <v>-1</v>
      </c>
      <c r="Y167" s="1" t="n">
        <f aca="false">IF(Z167=Z166,Y166+Y$1,Y$3-0.5*Y$1*(COUNTIF(Z$11:Z$1000,Z167)-1))</f>
        <v>5.91794871794872</v>
      </c>
      <c r="Z167" s="1" t="n">
        <v>7</v>
      </c>
      <c r="AB167" s="1" t="n">
        <v>157</v>
      </c>
      <c r="AC167" s="1" t="n">
        <f aca="false">IF(AD167=AD166,AC166+AC$1,AC$3-0.5*AC$1*(COUNTIF(AD$11:AD$1000,AD167)-1))</f>
        <v>1.10666666666667</v>
      </c>
      <c r="AD167" s="1" t="n">
        <v>2</v>
      </c>
      <c r="AE167" s="1" t="n">
        <f aca="false">IF(AF167=AF166,AE166+AE$1,AE$3-0.5*AE$1*(COUNTIF(AF$11:AF$1000,AF167)-1))</f>
        <v>2.16923076923077</v>
      </c>
      <c r="AF167" s="1" t="n">
        <v>4</v>
      </c>
      <c r="AG167" s="1" t="n">
        <f aca="false">IF(AH167=AH166,AG166+AG$1,AG$3-0.5*AG$1*(COUNTIF(AH$11:AH$1000,AH167)-1))</f>
        <v>2.99245283018868</v>
      </c>
      <c r="AH167" s="1" t="n">
        <v>5</v>
      </c>
      <c r="AI167" s="1" t="n">
        <f aca="false">IF(AJ167=AJ166,AI166+AI$1,AI$3-0.5*AI$1*(COUNTIF(AJ$11:AJ$1000,AJ167)-1))</f>
        <v>4</v>
      </c>
      <c r="AJ167" s="1" t="n">
        <v>34</v>
      </c>
      <c r="AK167" s="1" t="n">
        <f aca="false">IF(AL167=AL166,AK166+AK$1,AK$3-0.5*AK$1*(COUNTIF(AL$11:AL$1000,AL167)-1))</f>
        <v>5.12881355932203</v>
      </c>
      <c r="AL167" s="1" t="n">
        <v>6</v>
      </c>
      <c r="AN167" s="1" t="n">
        <f aca="false">IF(AO167=AO166,AN166+AN$1,AN$3-0.5*AN$1*(COUNTIF(AO$11:AO$1000,AO167)-1))</f>
        <v>1.20384615384615</v>
      </c>
      <c r="AO167" s="1" t="n">
        <v>2</v>
      </c>
      <c r="AP167" s="1" t="n">
        <f aca="false">IF(AQ167=AQ166,AP166+AP$1,AP$3-0.5*AP$1*(COUNTIF(AQ$11:AQ$1000,AQ167)-1))</f>
        <v>2.01702127659574</v>
      </c>
      <c r="AQ167" s="1" t="n">
        <v>5</v>
      </c>
      <c r="AR167" s="1" t="n">
        <f aca="false">IF(AS167=AS166,AR166+AR$1,AR$3-0.5*AR$1*(COUNTIF(AS$11:AS$1000,AS167)-1))</f>
        <v>3.24242424242425</v>
      </c>
      <c r="AS167" s="1" t="n">
        <v>8</v>
      </c>
      <c r="AT167" s="1" t="n">
        <f aca="false">IF(AU167=AU166,AT166+AT$1,AT$3-0.5*AT$1*(COUNTIF(AU$11:AU$1000,AU167)-1))</f>
        <v>4</v>
      </c>
      <c r="AU167" s="1" t="n">
        <v>56</v>
      </c>
      <c r="AV167" s="1" t="n">
        <f aca="false">IF(AW167=AW166,AV166+AV$1,AV$3-0.5*AV$1*(COUNTIF(AW$11:AW$1000,AW167)-1))</f>
        <v>5.07142857142857</v>
      </c>
      <c r="AW167" s="1" t="n">
        <v>14</v>
      </c>
      <c r="AY167" s="1" t="n">
        <v>157</v>
      </c>
    </row>
    <row r="168" customFormat="false" ht="16" hidden="false" customHeight="false" outlineLevel="0" collapsed="false">
      <c r="A168" s="1" t="n">
        <v>158</v>
      </c>
      <c r="B168" s="1" t="n">
        <v>-1</v>
      </c>
      <c r="C168" s="1" t="n">
        <v>-1</v>
      </c>
      <c r="D168" s="1" t="n">
        <f aca="false">IF(E168=E167,D167+D$1,D$3-0.5*D$1*(COUNTIF(E$11:E$1000,E168)-1))</f>
        <v>1.9566265060241</v>
      </c>
      <c r="E168" s="1" t="n">
        <v>3</v>
      </c>
      <c r="F168" s="1" t="n">
        <v>-1</v>
      </c>
      <c r="G168" s="1" t="n">
        <v>-1</v>
      </c>
      <c r="H168" s="1" t="n">
        <f aca="false">IF(I168=I167,H167+H$1,H$3-0.5*H$1*(COUNTIF(I$11:I$1000,I168)-1))</f>
        <v>4.00606060606061</v>
      </c>
      <c r="I168" s="1" t="n">
        <v>6</v>
      </c>
      <c r="J168" s="1" t="n">
        <v>-1</v>
      </c>
      <c r="K168" s="1" t="n">
        <v>-1</v>
      </c>
      <c r="L168" s="1" t="n">
        <f aca="false">IF(M168=M167,L167+L$1,L$3-0.5*L$1*(COUNTIF(M$11:M$1000,M168)-1))</f>
        <v>6.00526315789473</v>
      </c>
      <c r="M168" s="1" t="n">
        <v>4</v>
      </c>
      <c r="O168" s="1" t="n">
        <v>-1</v>
      </c>
      <c r="P168" s="1" t="n">
        <v>-1</v>
      </c>
      <c r="Q168" s="1" t="n">
        <f aca="false">IF(R168=R167,Q167+Q$1,Q$3-0.5*Q$1*(COUNTIF(R$11:R$1000,R168)-1))</f>
        <v>1.99523809523809</v>
      </c>
      <c r="R168" s="1" t="n">
        <v>3</v>
      </c>
      <c r="S168" s="1" t="n">
        <v>-1</v>
      </c>
      <c r="T168" s="1" t="n">
        <v>-1</v>
      </c>
      <c r="U168" s="1" t="n">
        <f aca="false">IF(V168=V167,U167+U$1,U$3-0.5*U$1*(COUNTIF(V$11:V$1000,V168)-1))</f>
        <v>4</v>
      </c>
      <c r="V168" s="1" t="n">
        <v>8</v>
      </c>
      <c r="W168" s="1" t="n">
        <v>-1</v>
      </c>
      <c r="X168" s="1" t="n">
        <v>-1</v>
      </c>
      <c r="Y168" s="1" t="n">
        <f aca="false">IF(Z168=Z167,Y167+Y$1,Y$3-0.5*Y$1*(COUNTIF(Z$11:Z$1000,Z168)-1))</f>
        <v>5.93846153846154</v>
      </c>
      <c r="Z168" s="1" t="n">
        <v>7</v>
      </c>
      <c r="AB168" s="1" t="n">
        <v>158</v>
      </c>
      <c r="AC168" s="1" t="n">
        <f aca="false">IF(AD168=AD167,AC167+AC$1,AC$3-0.5*AC$1*(COUNTIF(AD$11:AD$1000,AD168)-1))</f>
        <v>1.11428571428572</v>
      </c>
      <c r="AD168" s="1" t="n">
        <v>2</v>
      </c>
      <c r="AE168" s="1" t="n">
        <f aca="false">IF(AF168=AF167,AE167+AE$1,AE$3-0.5*AE$1*(COUNTIF(AF$11:AF$1000,AF168)-1))</f>
        <v>2.18461538461538</v>
      </c>
      <c r="AF168" s="1" t="n">
        <v>4</v>
      </c>
      <c r="AG168" s="1" t="n">
        <f aca="false">IF(AH168=AH167,AG167+AG$1,AG$3-0.5*AG$1*(COUNTIF(AH$11:AH$1000,AH168)-1))</f>
        <v>3.00754716981132</v>
      </c>
      <c r="AH168" s="1" t="n">
        <v>5</v>
      </c>
      <c r="AI168" s="1" t="n">
        <v>-1</v>
      </c>
      <c r="AJ168" s="1" t="n">
        <v>-1</v>
      </c>
      <c r="AK168" s="1" t="n">
        <f aca="false">IF(AL168=AL167,AK167+AK$1,AK$3-0.5*AK$1*(COUNTIF(AL$11:AL$1000,AL168)-1))</f>
        <v>5.14237288135593</v>
      </c>
      <c r="AL168" s="1" t="n">
        <v>6</v>
      </c>
      <c r="AN168" s="1" t="n">
        <f aca="false">IF(AO168=AO167,AN167+AN$1,AN$3-0.5*AN$1*(COUNTIF(AO$11:AO$1000,AO168)-1))</f>
        <v>1.21153846153846</v>
      </c>
      <c r="AO168" s="1" t="n">
        <v>2</v>
      </c>
      <c r="AP168" s="1" t="n">
        <f aca="false">IF(AQ168=AQ167,AP167+AP$1,AP$3-0.5*AP$1*(COUNTIF(AQ$11:AQ$1000,AQ168)-1))</f>
        <v>2.03404255319149</v>
      </c>
      <c r="AQ168" s="1" t="n">
        <v>5</v>
      </c>
      <c r="AR168" s="1" t="n">
        <f aca="false">IF(AS168=AS167,AR167+AR$1,AR$3-0.5*AR$1*(COUNTIF(AS$11:AS$1000,AS168)-1))</f>
        <v>2.91515151515151</v>
      </c>
      <c r="AS168" s="1" t="n">
        <v>9</v>
      </c>
      <c r="AT168" s="1" t="n">
        <v>-1</v>
      </c>
      <c r="AU168" s="1" t="n">
        <v>-1</v>
      </c>
      <c r="AV168" s="1" t="n">
        <f aca="false">IF(AW168=AW167,AV167+AV$1,AV$3-0.5*AV$1*(COUNTIF(AW$11:AW$1000,AW168)-1))</f>
        <v>5.1</v>
      </c>
      <c r="AW168" s="1" t="n">
        <v>14</v>
      </c>
      <c r="AY168" s="1" t="n">
        <v>158</v>
      </c>
    </row>
    <row r="169" customFormat="false" ht="16" hidden="false" customHeight="false" outlineLevel="0" collapsed="false">
      <c r="A169" s="1" t="n">
        <v>159</v>
      </c>
      <c r="B169" s="1" t="n">
        <v>-1</v>
      </c>
      <c r="C169" s="1" t="n">
        <v>-1</v>
      </c>
      <c r="D169" s="1" t="n">
        <f aca="false">IF(E169=E168,D168+D$1,D$3-0.5*D$1*(COUNTIF(E$11:E$1000,E169)-1))</f>
        <v>1.96626506024096</v>
      </c>
      <c r="E169" s="1" t="n">
        <v>3</v>
      </c>
      <c r="F169" s="1" t="n">
        <v>-1</v>
      </c>
      <c r="G169" s="1" t="n">
        <v>-1</v>
      </c>
      <c r="H169" s="1" t="n">
        <f aca="false">IF(I169=I168,H168+H$1,H$3-0.5*H$1*(COUNTIF(I$11:I$1000,I169)-1))</f>
        <v>4</v>
      </c>
      <c r="I169" s="1" t="n">
        <v>8</v>
      </c>
      <c r="J169" s="1" t="n">
        <v>-1</v>
      </c>
      <c r="K169" s="1" t="n">
        <v>-1</v>
      </c>
      <c r="L169" s="1" t="n">
        <f aca="false">IF(M169=M168,L168+L$1,L$3-0.5*L$1*(COUNTIF(M$11:M$1000,M169)-1))</f>
        <v>6.0157894736842</v>
      </c>
      <c r="M169" s="1" t="n">
        <v>4</v>
      </c>
      <c r="O169" s="1" t="n">
        <v>-1</v>
      </c>
      <c r="P169" s="1" t="n">
        <v>-1</v>
      </c>
      <c r="Q169" s="1" t="n">
        <f aca="false">IF(R169=R168,Q168+Q$1,Q$3-0.5*Q$1*(COUNTIF(R$11:R$1000,R169)-1))</f>
        <v>2.0047619047619</v>
      </c>
      <c r="R169" s="1" t="n">
        <v>3</v>
      </c>
      <c r="S169" s="1" t="n">
        <v>-1</v>
      </c>
      <c r="T169" s="1" t="n">
        <v>-1</v>
      </c>
      <c r="U169" s="1" t="n">
        <f aca="false">IF(V169=V168,U168+U$1,U$3-0.5*U$1*(COUNTIF(V$11:V$1000,V169)-1))</f>
        <v>4</v>
      </c>
      <c r="V169" s="1" t="n">
        <v>12</v>
      </c>
      <c r="W169" s="1" t="n">
        <v>-1</v>
      </c>
      <c r="X169" s="1" t="n">
        <v>-1</v>
      </c>
      <c r="Y169" s="1" t="n">
        <f aca="false">IF(Z169=Z168,Y168+Y$1,Y$3-0.5*Y$1*(COUNTIF(Z$11:Z$1000,Z169)-1))</f>
        <v>5.95897435897436</v>
      </c>
      <c r="Z169" s="1" t="n">
        <v>7</v>
      </c>
      <c r="AB169" s="1" t="n">
        <v>159</v>
      </c>
      <c r="AC169" s="1" t="n">
        <f aca="false">IF(AD169=AD168,AC168+AC$1,AC$3-0.5*AC$1*(COUNTIF(AD$11:AD$1000,AD169)-1))</f>
        <v>1.12190476190476</v>
      </c>
      <c r="AD169" s="1" t="n">
        <v>2</v>
      </c>
      <c r="AE169" s="1" t="n">
        <f aca="false">IF(AF169=AF168,AE168+AE$1,AE$3-0.5*AE$1*(COUNTIF(AF$11:AF$1000,AF169)-1))</f>
        <v>2.2</v>
      </c>
      <c r="AF169" s="1" t="n">
        <v>4</v>
      </c>
      <c r="AG169" s="1" t="n">
        <f aca="false">IF(AH169=AH168,AG168+AG$1,AG$3-0.5*AG$1*(COUNTIF(AH$11:AH$1000,AH169)-1))</f>
        <v>3.02264150943396</v>
      </c>
      <c r="AH169" s="1" t="n">
        <v>5</v>
      </c>
      <c r="AI169" s="1" t="n">
        <v>-1</v>
      </c>
      <c r="AJ169" s="1" t="n">
        <v>-1</v>
      </c>
      <c r="AK169" s="1" t="n">
        <f aca="false">IF(AL169=AL168,AK168+AK$1,AK$3-0.5*AK$1*(COUNTIF(AL$11:AL$1000,AL169)-1))</f>
        <v>5.15593220338983</v>
      </c>
      <c r="AL169" s="1" t="n">
        <v>6</v>
      </c>
      <c r="AN169" s="1" t="n">
        <f aca="false">IF(AO169=AO168,AN168+AN$1,AN$3-0.5*AN$1*(COUNTIF(AO$11:AO$1000,AO169)-1))</f>
        <v>1.21923076923077</v>
      </c>
      <c r="AO169" s="1" t="n">
        <v>2</v>
      </c>
      <c r="AP169" s="1" t="n">
        <f aca="false">IF(AQ169=AQ168,AP168+AP$1,AP$3-0.5*AP$1*(COUNTIF(AQ$11:AQ$1000,AQ169)-1))</f>
        <v>2.05106382978723</v>
      </c>
      <c r="AQ169" s="1" t="n">
        <v>5</v>
      </c>
      <c r="AR169" s="1" t="n">
        <f aca="false">IF(AS169=AS168,AR168+AR$1,AR$3-0.5*AR$1*(COUNTIF(AS$11:AS$1000,AS169)-1))</f>
        <v>2.93939393939394</v>
      </c>
      <c r="AS169" s="1" t="n">
        <v>9</v>
      </c>
      <c r="AT169" s="1" t="n">
        <v>-1</v>
      </c>
      <c r="AU169" s="1" t="n">
        <v>-1</v>
      </c>
      <c r="AV169" s="1" t="n">
        <f aca="false">IF(AW169=AW168,AV168+AV$1,AV$3-0.5*AV$1*(COUNTIF(AW$11:AW$1000,AW169)-1))</f>
        <v>5.12857142857143</v>
      </c>
      <c r="AW169" s="1" t="n">
        <v>14</v>
      </c>
      <c r="AY169" s="1" t="n">
        <v>159</v>
      </c>
    </row>
    <row r="170" customFormat="false" ht="16" hidden="false" customHeight="false" outlineLevel="0" collapsed="false">
      <c r="A170" s="1" t="n">
        <v>160</v>
      </c>
      <c r="B170" s="1" t="n">
        <v>-1</v>
      </c>
      <c r="C170" s="1" t="n">
        <v>-1</v>
      </c>
      <c r="D170" s="1" t="n">
        <f aca="false">IF(E170=E169,D169+D$1,D$3-0.5*D$1*(COUNTIF(E$11:E$1000,E170)-1))</f>
        <v>1.97590361445783</v>
      </c>
      <c r="E170" s="1" t="n">
        <v>3</v>
      </c>
      <c r="F170" s="1" t="n">
        <v>-1</v>
      </c>
      <c r="G170" s="1" t="n">
        <v>-1</v>
      </c>
      <c r="H170" s="1" t="n">
        <v>-1</v>
      </c>
      <c r="I170" s="1" t="n">
        <v>-1</v>
      </c>
      <c r="J170" s="1" t="n">
        <v>-1</v>
      </c>
      <c r="K170" s="1" t="n">
        <v>-1</v>
      </c>
      <c r="L170" s="1" t="n">
        <f aca="false">IF(M170=M169,L169+L$1,L$3-0.5*L$1*(COUNTIF(M$11:M$1000,M170)-1))</f>
        <v>6.02631578947368</v>
      </c>
      <c r="M170" s="1" t="n">
        <v>4</v>
      </c>
      <c r="O170" s="1" t="n">
        <v>-1</v>
      </c>
      <c r="P170" s="1" t="n">
        <v>-1</v>
      </c>
      <c r="Q170" s="1" t="n">
        <f aca="false">IF(R170=R169,Q169+Q$1,Q$3-0.5*Q$1*(COUNTIF(R$11:R$1000,R170)-1))</f>
        <v>2.01428571428571</v>
      </c>
      <c r="R170" s="1" t="n">
        <v>3</v>
      </c>
      <c r="S170" s="1" t="n">
        <v>-1</v>
      </c>
      <c r="T170" s="1" t="n">
        <v>-1</v>
      </c>
      <c r="U170" s="1" t="n">
        <v>-1</v>
      </c>
      <c r="V170" s="1" t="n">
        <v>-1</v>
      </c>
      <c r="W170" s="1" t="n">
        <v>-1</v>
      </c>
      <c r="X170" s="1" t="n">
        <v>-1</v>
      </c>
      <c r="Y170" s="1" t="n">
        <f aca="false">IF(Z170=Z169,Y169+Y$1,Y$3-0.5*Y$1*(COUNTIF(Z$11:Z$1000,Z170)-1))</f>
        <v>5.97948717948718</v>
      </c>
      <c r="Z170" s="1" t="n">
        <v>7</v>
      </c>
      <c r="AB170" s="1" t="n">
        <v>160</v>
      </c>
      <c r="AC170" s="1" t="n">
        <f aca="false">IF(AD170=AD169,AC169+AC$1,AC$3-0.5*AC$1*(COUNTIF(AD$11:AD$1000,AD170)-1))</f>
        <v>1.12952380952381</v>
      </c>
      <c r="AD170" s="1" t="n">
        <v>2</v>
      </c>
      <c r="AE170" s="1" t="n">
        <f aca="false">IF(AF170=AF169,AE169+AE$1,AE$3-0.5*AE$1*(COUNTIF(AF$11:AF$1000,AF170)-1))</f>
        <v>2.21538461538461</v>
      </c>
      <c r="AF170" s="1" t="n">
        <v>4</v>
      </c>
      <c r="AG170" s="1" t="n">
        <f aca="false">IF(AH170=AH169,AG169+AG$1,AG$3-0.5*AG$1*(COUNTIF(AH$11:AH$1000,AH170)-1))</f>
        <v>3.0377358490566</v>
      </c>
      <c r="AH170" s="1" t="n">
        <v>5</v>
      </c>
      <c r="AI170" s="1" t="n">
        <v>-1</v>
      </c>
      <c r="AJ170" s="1" t="n">
        <v>-1</v>
      </c>
      <c r="AK170" s="1" t="n">
        <f aca="false">IF(AL170=AL169,AK169+AK$1,AK$3-0.5*AK$1*(COUNTIF(AL$11:AL$1000,AL170)-1))</f>
        <v>5.16949152542372</v>
      </c>
      <c r="AL170" s="1" t="n">
        <v>6</v>
      </c>
      <c r="AN170" s="1" t="n">
        <f aca="false">IF(AO170=AO169,AN169+AN$1,AN$3-0.5*AN$1*(COUNTIF(AO$11:AO$1000,AO170)-1))</f>
        <v>1.22692307692307</v>
      </c>
      <c r="AO170" s="1" t="n">
        <v>2</v>
      </c>
      <c r="AP170" s="1" t="n">
        <f aca="false">IF(AQ170=AQ169,AP169+AP$1,AP$3-0.5*AP$1*(COUNTIF(AQ$11:AQ$1000,AQ170)-1))</f>
        <v>2.06808510638298</v>
      </c>
      <c r="AQ170" s="1" t="n">
        <v>5</v>
      </c>
      <c r="AR170" s="1" t="n">
        <f aca="false">IF(AS170=AS169,AR169+AR$1,AR$3-0.5*AR$1*(COUNTIF(AS$11:AS$1000,AS170)-1))</f>
        <v>2.96363636363636</v>
      </c>
      <c r="AS170" s="1" t="n">
        <v>9</v>
      </c>
      <c r="AT170" s="1" t="n">
        <v>-1</v>
      </c>
      <c r="AU170" s="1" t="n">
        <v>-1</v>
      </c>
      <c r="AV170" s="1" t="n">
        <f aca="false">IF(AW170=AW169,AV169+AV$1,AV$3-0.5*AV$1*(COUNTIF(AW$11:AW$1000,AW170)-1))</f>
        <v>4.9</v>
      </c>
      <c r="AW170" s="1" t="n">
        <v>16</v>
      </c>
      <c r="AY170" s="1" t="n">
        <v>160</v>
      </c>
    </row>
    <row r="171" customFormat="false" ht="16" hidden="false" customHeight="false" outlineLevel="0" collapsed="false">
      <c r="A171" s="1" t="n">
        <v>161</v>
      </c>
      <c r="B171" s="1" t="n">
        <v>-1</v>
      </c>
      <c r="C171" s="1" t="n">
        <v>-1</v>
      </c>
      <c r="D171" s="1" t="n">
        <f aca="false">IF(E171=E170,D170+D$1,D$3-0.5*D$1*(COUNTIF(E$11:E$1000,E171)-1))</f>
        <v>1.9855421686747</v>
      </c>
      <c r="E171" s="1" t="n">
        <v>3</v>
      </c>
      <c r="F171" s="1" t="n">
        <v>-1</v>
      </c>
      <c r="G171" s="1" t="n">
        <v>-1</v>
      </c>
      <c r="H171" s="1" t="n">
        <v>-1</v>
      </c>
      <c r="I171" s="1" t="n">
        <v>-1</v>
      </c>
      <c r="J171" s="1" t="n">
        <v>-1</v>
      </c>
      <c r="K171" s="1" t="n">
        <v>-1</v>
      </c>
      <c r="L171" s="1" t="n">
        <f aca="false">IF(M171=M170,L170+L$1,L$3-0.5*L$1*(COUNTIF(M$11:M$1000,M171)-1))</f>
        <v>6.03684210526315</v>
      </c>
      <c r="M171" s="1" t="n">
        <v>4</v>
      </c>
      <c r="O171" s="1" t="n">
        <v>-1</v>
      </c>
      <c r="P171" s="1" t="n">
        <v>-1</v>
      </c>
      <c r="Q171" s="1" t="n">
        <f aca="false">IF(R171=R170,Q170+Q$1,Q$3-0.5*Q$1*(COUNTIF(R$11:R$1000,R171)-1))</f>
        <v>2.02380952380952</v>
      </c>
      <c r="R171" s="1" t="n">
        <v>3</v>
      </c>
      <c r="S171" s="1" t="n">
        <v>-1</v>
      </c>
      <c r="T171" s="1" t="n">
        <v>-1</v>
      </c>
      <c r="U171" s="1" t="n">
        <v>-1</v>
      </c>
      <c r="V171" s="1" t="n">
        <v>-1</v>
      </c>
      <c r="W171" s="1" t="n">
        <v>-1</v>
      </c>
      <c r="X171" s="1" t="n">
        <v>-1</v>
      </c>
      <c r="Y171" s="1" t="n">
        <f aca="false">IF(Z171=Z170,Y170+Y$1,Y$3-0.5*Y$1*(COUNTIF(Z$11:Z$1000,Z171)-1))</f>
        <v>6</v>
      </c>
      <c r="Z171" s="1" t="n">
        <v>7</v>
      </c>
      <c r="AB171" s="1" t="n">
        <v>161</v>
      </c>
      <c r="AC171" s="1" t="n">
        <f aca="false">IF(AD171=AD170,AC170+AC$1,AC$3-0.5*AC$1*(COUNTIF(AD$11:AD$1000,AD171)-1))</f>
        <v>1.13714285714286</v>
      </c>
      <c r="AD171" s="1" t="n">
        <v>2</v>
      </c>
      <c r="AE171" s="1" t="n">
        <f aca="false">IF(AF171=AF170,AE170+AE$1,AE$3-0.5*AE$1*(COUNTIF(AF$11:AF$1000,AF171)-1))</f>
        <v>2.23076923076923</v>
      </c>
      <c r="AF171" s="1" t="n">
        <v>4</v>
      </c>
      <c r="AG171" s="1" t="n">
        <f aca="false">IF(AH171=AH170,AG170+AG$1,AG$3-0.5*AG$1*(COUNTIF(AH$11:AH$1000,AH171)-1))</f>
        <v>3.05283018867925</v>
      </c>
      <c r="AH171" s="1" t="n">
        <v>5</v>
      </c>
      <c r="AI171" s="1" t="n">
        <v>-1</v>
      </c>
      <c r="AJ171" s="1" t="n">
        <v>-1</v>
      </c>
      <c r="AK171" s="1" t="n">
        <f aca="false">IF(AL171=AL170,AK170+AK$1,AK$3-0.5*AK$1*(COUNTIF(AL$11:AL$1000,AL171)-1))</f>
        <v>5</v>
      </c>
      <c r="AL171" s="1" t="n">
        <v>7</v>
      </c>
      <c r="AN171" s="1" t="n">
        <f aca="false">IF(AO171=AO170,AN170+AN$1,AN$3-0.5*AN$1*(COUNTIF(AO$11:AO$1000,AO171)-1))</f>
        <v>1.23461538461538</v>
      </c>
      <c r="AO171" s="1" t="n">
        <v>2</v>
      </c>
      <c r="AP171" s="1" t="n">
        <f aca="false">IF(AQ171=AQ170,AP170+AP$1,AP$3-0.5*AP$1*(COUNTIF(AQ$11:AQ$1000,AQ171)-1))</f>
        <v>2.08510638297872</v>
      </c>
      <c r="AQ171" s="1" t="n">
        <v>5</v>
      </c>
      <c r="AR171" s="1" t="n">
        <f aca="false">IF(AS171=AS170,AR170+AR$1,AR$3-0.5*AR$1*(COUNTIF(AS$11:AS$1000,AS171)-1))</f>
        <v>2.98787878787879</v>
      </c>
      <c r="AS171" s="1" t="n">
        <v>9</v>
      </c>
      <c r="AT171" s="1" t="n">
        <v>-1</v>
      </c>
      <c r="AU171" s="1" t="n">
        <v>-1</v>
      </c>
      <c r="AV171" s="1" t="n">
        <f aca="false">IF(AW171=AW170,AV170+AV$1,AV$3-0.5*AV$1*(COUNTIF(AW$11:AW$1000,AW171)-1))</f>
        <v>4.92857142857143</v>
      </c>
      <c r="AW171" s="1" t="n">
        <v>16</v>
      </c>
      <c r="AY171" s="1" t="n">
        <v>161</v>
      </c>
    </row>
    <row r="172" customFormat="false" ht="16" hidden="false" customHeight="false" outlineLevel="0" collapsed="false">
      <c r="A172" s="1" t="n">
        <v>162</v>
      </c>
      <c r="B172" s="1" t="n">
        <v>-1</v>
      </c>
      <c r="C172" s="1" t="n">
        <v>-1</v>
      </c>
      <c r="D172" s="1" t="n">
        <f aca="false">IF(E172=E171,D171+D$1,D$3-0.5*D$1*(COUNTIF(E$11:E$1000,E172)-1))</f>
        <v>1.99518072289157</v>
      </c>
      <c r="E172" s="1" t="n">
        <v>3</v>
      </c>
      <c r="F172" s="1" t="n">
        <v>-1</v>
      </c>
      <c r="G172" s="1" t="n">
        <v>-1</v>
      </c>
      <c r="H172" s="1" t="n">
        <v>-1</v>
      </c>
      <c r="I172" s="1" t="n">
        <v>-1</v>
      </c>
      <c r="J172" s="1" t="n">
        <v>-1</v>
      </c>
      <c r="K172" s="1" t="n">
        <v>-1</v>
      </c>
      <c r="L172" s="1" t="n">
        <f aca="false">IF(M172=M171,L171+L$1,L$3-0.5*L$1*(COUNTIF(M$11:M$1000,M172)-1))</f>
        <v>6.04736842105262</v>
      </c>
      <c r="M172" s="1" t="n">
        <v>4</v>
      </c>
      <c r="O172" s="1" t="n">
        <v>-1</v>
      </c>
      <c r="P172" s="1" t="n">
        <v>-1</v>
      </c>
      <c r="Q172" s="1" t="n">
        <f aca="false">IF(R172=R171,Q171+Q$1,Q$3-0.5*Q$1*(COUNTIF(R$11:R$1000,R172)-1))</f>
        <v>2.03333333333333</v>
      </c>
      <c r="R172" s="1" t="n">
        <v>3</v>
      </c>
      <c r="S172" s="1" t="n">
        <v>-1</v>
      </c>
      <c r="T172" s="1" t="n">
        <v>-1</v>
      </c>
      <c r="U172" s="1" t="n">
        <v>-1</v>
      </c>
      <c r="V172" s="1" t="n">
        <v>-1</v>
      </c>
      <c r="W172" s="1" t="n">
        <v>-1</v>
      </c>
      <c r="X172" s="1" t="n">
        <v>-1</v>
      </c>
      <c r="Y172" s="1" t="n">
        <f aca="false">IF(Z172=Z171,Y171+Y$1,Y$3-0.5*Y$1*(COUNTIF(Z$11:Z$1000,Z172)-1))</f>
        <v>6.02051282051282</v>
      </c>
      <c r="Z172" s="1" t="n">
        <v>7</v>
      </c>
      <c r="AB172" s="1" t="n">
        <v>162</v>
      </c>
      <c r="AC172" s="1" t="n">
        <f aca="false">IF(AD172=AD171,AC171+AC$1,AC$3-0.5*AC$1*(COUNTIF(AD$11:AD$1000,AD172)-1))</f>
        <v>1.14476190476191</v>
      </c>
      <c r="AD172" s="1" t="n">
        <v>2</v>
      </c>
      <c r="AE172" s="1" t="n">
        <f aca="false">IF(AF172=AF171,AE171+AE$1,AE$3-0.5*AE$1*(COUNTIF(AF$11:AF$1000,AF172)-1))</f>
        <v>2.24615384615384</v>
      </c>
      <c r="AF172" s="1" t="n">
        <v>4</v>
      </c>
      <c r="AG172" s="1" t="n">
        <f aca="false">IF(AH172=AH171,AG171+AG$1,AG$3-0.5*AG$1*(COUNTIF(AH$11:AH$1000,AH172)-1))</f>
        <v>3.06792452830189</v>
      </c>
      <c r="AH172" s="1" t="n">
        <v>5</v>
      </c>
      <c r="AI172" s="1" t="n">
        <v>-1</v>
      </c>
      <c r="AJ172" s="1" t="n">
        <v>-1</v>
      </c>
      <c r="AK172" s="1" t="n">
        <f aca="false">IF(AL172=AL171,AK171+AK$1,AK$3-0.5*AK$1*(COUNTIF(AL$11:AL$1000,AL172)-1))</f>
        <v>4.91186440677966</v>
      </c>
      <c r="AL172" s="1" t="n">
        <v>8</v>
      </c>
      <c r="AN172" s="1" t="n">
        <f aca="false">IF(AO172=AO171,AN171+AN$1,AN$3-0.5*AN$1*(COUNTIF(AO$11:AO$1000,AO172)-1))</f>
        <v>1.24230769230769</v>
      </c>
      <c r="AO172" s="1" t="n">
        <v>2</v>
      </c>
      <c r="AP172" s="1" t="n">
        <f aca="false">IF(AQ172=AQ171,AP171+AP$1,AP$3-0.5*AP$1*(COUNTIF(AQ$11:AQ$1000,AQ172)-1))</f>
        <v>2.10212765957447</v>
      </c>
      <c r="AQ172" s="1" t="n">
        <v>5</v>
      </c>
      <c r="AR172" s="1" t="n">
        <f aca="false">IF(AS172=AS171,AR171+AR$1,AR$3-0.5*AR$1*(COUNTIF(AS$11:AS$1000,AS172)-1))</f>
        <v>3.01212121212121</v>
      </c>
      <c r="AS172" s="1" t="n">
        <v>9</v>
      </c>
      <c r="AT172" s="1" t="n">
        <v>-1</v>
      </c>
      <c r="AU172" s="1" t="n">
        <v>-1</v>
      </c>
      <c r="AV172" s="1" t="n">
        <f aca="false">IF(AW172=AW171,AV171+AV$1,AV$3-0.5*AV$1*(COUNTIF(AW$11:AW$1000,AW172)-1))</f>
        <v>4.95714285714286</v>
      </c>
      <c r="AW172" s="1" t="n">
        <v>16</v>
      </c>
      <c r="AY172" s="1" t="n">
        <v>162</v>
      </c>
    </row>
    <row r="173" customFormat="false" ht="16" hidden="false" customHeight="false" outlineLevel="0" collapsed="false">
      <c r="A173" s="1" t="n">
        <v>163</v>
      </c>
      <c r="B173" s="1" t="n">
        <v>-1</v>
      </c>
      <c r="C173" s="1" t="n">
        <v>-1</v>
      </c>
      <c r="D173" s="1" t="n">
        <f aca="false">IF(E173=E172,D172+D$1,D$3-0.5*D$1*(COUNTIF(E$11:E$1000,E173)-1))</f>
        <v>2.00481927710843</v>
      </c>
      <c r="E173" s="1" t="n">
        <v>3</v>
      </c>
      <c r="F173" s="1" t="n">
        <v>-1</v>
      </c>
      <c r="G173" s="1" t="n">
        <v>-1</v>
      </c>
      <c r="H173" s="1" t="n">
        <v>-1</v>
      </c>
      <c r="I173" s="1" t="n">
        <v>-1</v>
      </c>
      <c r="J173" s="1" t="n">
        <v>-1</v>
      </c>
      <c r="K173" s="1" t="n">
        <v>-1</v>
      </c>
      <c r="L173" s="1" t="n">
        <f aca="false">IF(M173=M172,L172+L$1,L$3-0.5*L$1*(COUNTIF(M$11:M$1000,M173)-1))</f>
        <v>6.0578947368421</v>
      </c>
      <c r="M173" s="1" t="n">
        <v>4</v>
      </c>
      <c r="O173" s="1" t="n">
        <v>-1</v>
      </c>
      <c r="P173" s="1" t="n">
        <v>-1</v>
      </c>
      <c r="Q173" s="1" t="n">
        <f aca="false">IF(R173=R172,Q172+Q$1,Q$3-0.5*Q$1*(COUNTIF(R$11:R$1000,R173)-1))</f>
        <v>2.04285714285714</v>
      </c>
      <c r="R173" s="1" t="n">
        <v>3</v>
      </c>
      <c r="S173" s="1" t="n">
        <v>-1</v>
      </c>
      <c r="T173" s="1" t="n">
        <v>-1</v>
      </c>
      <c r="U173" s="1" t="n">
        <v>-1</v>
      </c>
      <c r="V173" s="1" t="n">
        <v>-1</v>
      </c>
      <c r="W173" s="1" t="n">
        <v>-1</v>
      </c>
      <c r="X173" s="1" t="n">
        <v>-1</v>
      </c>
      <c r="Y173" s="1" t="n">
        <f aca="false">IF(Z173=Z172,Y172+Y$1,Y$3-0.5*Y$1*(COUNTIF(Z$11:Z$1000,Z173)-1))</f>
        <v>6.04102564102564</v>
      </c>
      <c r="Z173" s="1" t="n">
        <v>7</v>
      </c>
      <c r="AB173" s="1" t="n">
        <v>163</v>
      </c>
      <c r="AC173" s="1" t="n">
        <f aca="false">IF(AD173=AD172,AC172+AC$1,AC$3-0.5*AC$1*(COUNTIF(AD$11:AD$1000,AD173)-1))</f>
        <v>1.15238095238095</v>
      </c>
      <c r="AD173" s="1" t="n">
        <v>2</v>
      </c>
      <c r="AE173" s="1" t="n">
        <f aca="false">IF(AF173=AF172,AE172+AE$1,AE$3-0.5*AE$1*(COUNTIF(AF$11:AF$1000,AF173)-1))</f>
        <v>2.26153846153846</v>
      </c>
      <c r="AF173" s="1" t="n">
        <v>4</v>
      </c>
      <c r="AG173" s="1" t="n">
        <f aca="false">IF(AH173=AH172,AG172+AG$1,AG$3-0.5*AG$1*(COUNTIF(AH$11:AH$1000,AH173)-1))</f>
        <v>3.08301886792453</v>
      </c>
      <c r="AH173" s="1" t="n">
        <v>5</v>
      </c>
      <c r="AI173" s="1" t="n">
        <v>-1</v>
      </c>
      <c r="AJ173" s="1" t="n">
        <v>-1</v>
      </c>
      <c r="AK173" s="1" t="n">
        <f aca="false">IF(AL173=AL172,AK172+AK$1,AK$3-0.5*AK$1*(COUNTIF(AL$11:AL$1000,AL173)-1))</f>
        <v>4.92542372881356</v>
      </c>
      <c r="AL173" s="1" t="n">
        <v>8</v>
      </c>
      <c r="AN173" s="1" t="n">
        <f aca="false">IF(AO173=AO172,AN172+AN$1,AN$3-0.5*AN$1*(COUNTIF(AO$11:AO$1000,AO173)-1))</f>
        <v>1.25</v>
      </c>
      <c r="AO173" s="1" t="n">
        <v>2</v>
      </c>
      <c r="AP173" s="1" t="n">
        <f aca="false">IF(AQ173=AQ172,AP172+AP$1,AP$3-0.5*AP$1*(COUNTIF(AQ$11:AQ$1000,AQ173)-1))</f>
        <v>1.86382978723404</v>
      </c>
      <c r="AQ173" s="1" t="n">
        <v>6</v>
      </c>
      <c r="AR173" s="1" t="n">
        <f aca="false">IF(AS173=AS172,AR172+AR$1,AR$3-0.5*AR$1*(COUNTIF(AS$11:AS$1000,AS173)-1))</f>
        <v>3.03636363636364</v>
      </c>
      <c r="AS173" s="1" t="n">
        <v>9</v>
      </c>
      <c r="AT173" s="1" t="n">
        <v>-1</v>
      </c>
      <c r="AU173" s="1" t="n">
        <v>-1</v>
      </c>
      <c r="AV173" s="1" t="n">
        <f aca="false">IF(AW173=AW172,AV172+AV$1,AV$3-0.5*AV$1*(COUNTIF(AW$11:AW$1000,AW173)-1))</f>
        <v>4.98571428571429</v>
      </c>
      <c r="AW173" s="1" t="n">
        <v>16</v>
      </c>
      <c r="AY173" s="1" t="n">
        <v>163</v>
      </c>
    </row>
    <row r="174" customFormat="false" ht="16" hidden="false" customHeight="false" outlineLevel="0" collapsed="false">
      <c r="A174" s="1" t="n">
        <v>164</v>
      </c>
      <c r="B174" s="1" t="n">
        <v>-1</v>
      </c>
      <c r="C174" s="1" t="n">
        <v>-1</v>
      </c>
      <c r="D174" s="1" t="n">
        <f aca="false">IF(E174=E173,D173+D$1,D$3-0.5*D$1*(COUNTIF(E$11:E$1000,E174)-1))</f>
        <v>2.0144578313253</v>
      </c>
      <c r="E174" s="1" t="n">
        <v>3</v>
      </c>
      <c r="F174" s="1" t="n">
        <v>-1</v>
      </c>
      <c r="G174" s="1" t="n">
        <v>-1</v>
      </c>
      <c r="H174" s="1" t="n">
        <v>-1</v>
      </c>
      <c r="I174" s="1" t="n">
        <v>-1</v>
      </c>
      <c r="J174" s="1" t="n">
        <v>-1</v>
      </c>
      <c r="K174" s="1" t="n">
        <v>-1</v>
      </c>
      <c r="L174" s="1" t="n">
        <f aca="false">IF(M174=M173,L173+L$1,L$3-0.5*L$1*(COUNTIF(M$11:M$1000,M174)-1))</f>
        <v>6.06842105263157</v>
      </c>
      <c r="M174" s="1" t="n">
        <v>4</v>
      </c>
      <c r="O174" s="1" t="n">
        <v>-1</v>
      </c>
      <c r="P174" s="1" t="n">
        <v>-1</v>
      </c>
      <c r="Q174" s="1" t="n">
        <f aca="false">IF(R174=R173,Q173+Q$1,Q$3-0.5*Q$1*(COUNTIF(R$11:R$1000,R174)-1))</f>
        <v>2.05238095238095</v>
      </c>
      <c r="R174" s="1" t="n">
        <v>3</v>
      </c>
      <c r="S174" s="1" t="n">
        <v>-1</v>
      </c>
      <c r="T174" s="1" t="n">
        <v>-1</v>
      </c>
      <c r="U174" s="1" t="n">
        <v>-1</v>
      </c>
      <c r="V174" s="1" t="n">
        <v>-1</v>
      </c>
      <c r="W174" s="1" t="n">
        <v>-1</v>
      </c>
      <c r="X174" s="1" t="n">
        <v>-1</v>
      </c>
      <c r="Y174" s="1" t="n">
        <f aca="false">IF(Z174=Z173,Y173+Y$1,Y$3-0.5*Y$1*(COUNTIF(Z$11:Z$1000,Z174)-1))</f>
        <v>6.06153846153846</v>
      </c>
      <c r="Z174" s="1" t="n">
        <v>7</v>
      </c>
      <c r="AB174" s="1" t="n">
        <v>164</v>
      </c>
      <c r="AC174" s="1" t="n">
        <f aca="false">IF(AD174=AD173,AC173+AC$1,AC$3-0.5*AC$1*(COUNTIF(AD$11:AD$1000,AD174)-1))</f>
        <v>1.16</v>
      </c>
      <c r="AD174" s="1" t="n">
        <v>2</v>
      </c>
      <c r="AE174" s="1" t="n">
        <f aca="false">IF(AF174=AF173,AE173+AE$1,AE$3-0.5*AE$1*(COUNTIF(AF$11:AF$1000,AF174)-1))</f>
        <v>2.27692307692307</v>
      </c>
      <c r="AF174" s="1" t="n">
        <v>4</v>
      </c>
      <c r="AG174" s="1" t="n">
        <f aca="false">IF(AH174=AH173,AG173+AG$1,AG$3-0.5*AG$1*(COUNTIF(AH$11:AH$1000,AH174)-1))</f>
        <v>3.09811320754717</v>
      </c>
      <c r="AH174" s="1" t="n">
        <v>5</v>
      </c>
      <c r="AI174" s="1" t="n">
        <v>-1</v>
      </c>
      <c r="AJ174" s="1" t="n">
        <v>-1</v>
      </c>
      <c r="AK174" s="1" t="n">
        <f aca="false">IF(AL174=AL173,AK173+AK$1,AK$3-0.5*AK$1*(COUNTIF(AL$11:AL$1000,AL174)-1))</f>
        <v>4.93898305084746</v>
      </c>
      <c r="AL174" s="1" t="n">
        <v>8</v>
      </c>
      <c r="AN174" s="1" t="n">
        <f aca="false">IF(AO174=AO173,AN173+AN$1,AN$3-0.5*AN$1*(COUNTIF(AO$11:AO$1000,AO174)-1))</f>
        <v>1.25769230769231</v>
      </c>
      <c r="AO174" s="1" t="n">
        <v>2</v>
      </c>
      <c r="AP174" s="1" t="n">
        <f aca="false">IF(AQ174=AQ173,AP173+AP$1,AP$3-0.5*AP$1*(COUNTIF(AQ$11:AQ$1000,AQ174)-1))</f>
        <v>1.88085106382979</v>
      </c>
      <c r="AQ174" s="1" t="n">
        <v>6</v>
      </c>
      <c r="AR174" s="1" t="n">
        <f aca="false">IF(AS174=AS173,AR173+AR$1,AR$3-0.5*AR$1*(COUNTIF(AS$11:AS$1000,AS174)-1))</f>
        <v>3.06060606060606</v>
      </c>
      <c r="AS174" s="1" t="n">
        <v>9</v>
      </c>
      <c r="AT174" s="1" t="n">
        <v>-1</v>
      </c>
      <c r="AU174" s="1" t="n">
        <v>-1</v>
      </c>
      <c r="AV174" s="1" t="n">
        <f aca="false">IF(AW174=AW173,AV173+AV$1,AV$3-0.5*AV$1*(COUNTIF(AW$11:AW$1000,AW174)-1))</f>
        <v>5.01428571428571</v>
      </c>
      <c r="AW174" s="1" t="n">
        <v>16</v>
      </c>
      <c r="AY174" s="1" t="n">
        <v>164</v>
      </c>
    </row>
    <row r="175" customFormat="false" ht="16" hidden="false" customHeight="false" outlineLevel="0" collapsed="false">
      <c r="A175" s="1" t="n">
        <v>165</v>
      </c>
      <c r="B175" s="1" t="n">
        <v>-1</v>
      </c>
      <c r="C175" s="1" t="n">
        <v>-1</v>
      </c>
      <c r="D175" s="1" t="n">
        <f aca="false">IF(E175=E174,D174+D$1,D$3-0.5*D$1*(COUNTIF(E$11:E$1000,E175)-1))</f>
        <v>2.02409638554217</v>
      </c>
      <c r="E175" s="1" t="n">
        <v>3</v>
      </c>
      <c r="F175" s="1" t="n">
        <v>-1</v>
      </c>
      <c r="G175" s="1" t="n">
        <v>-1</v>
      </c>
      <c r="H175" s="1" t="n">
        <v>-1</v>
      </c>
      <c r="I175" s="1" t="n">
        <v>-1</v>
      </c>
      <c r="J175" s="1" t="n">
        <v>-1</v>
      </c>
      <c r="K175" s="1" t="n">
        <v>-1</v>
      </c>
      <c r="L175" s="1" t="n">
        <f aca="false">IF(M175=M174,L174+L$1,L$3-0.5*L$1*(COUNTIF(M$11:M$1000,M175)-1))</f>
        <v>6.07894736842104</v>
      </c>
      <c r="M175" s="1" t="n">
        <v>4</v>
      </c>
      <c r="O175" s="1" t="n">
        <v>-1</v>
      </c>
      <c r="P175" s="1" t="n">
        <v>-1</v>
      </c>
      <c r="Q175" s="1" t="n">
        <f aca="false">IF(R175=R174,Q174+Q$1,Q$3-0.5*Q$1*(COUNTIF(R$11:R$1000,R175)-1))</f>
        <v>2.06190476190476</v>
      </c>
      <c r="R175" s="1" t="n">
        <v>3</v>
      </c>
      <c r="S175" s="1" t="n">
        <v>-1</v>
      </c>
      <c r="T175" s="1" t="n">
        <v>-1</v>
      </c>
      <c r="U175" s="1" t="n">
        <v>-1</v>
      </c>
      <c r="V175" s="1" t="n">
        <v>-1</v>
      </c>
      <c r="W175" s="1" t="n">
        <v>-1</v>
      </c>
      <c r="X175" s="1" t="n">
        <v>-1</v>
      </c>
      <c r="Y175" s="1" t="n">
        <f aca="false">IF(Z175=Z174,Y174+Y$1,Y$3-0.5*Y$1*(COUNTIF(Z$11:Z$1000,Z175)-1))</f>
        <v>6.08205128205128</v>
      </c>
      <c r="Z175" s="1" t="n">
        <v>7</v>
      </c>
      <c r="AB175" s="1" t="n">
        <v>165</v>
      </c>
      <c r="AC175" s="1" t="n">
        <f aca="false">IF(AD175=AD174,AC174+AC$1,AC$3-0.5*AC$1*(COUNTIF(AD$11:AD$1000,AD175)-1))</f>
        <v>1.16761904761905</v>
      </c>
      <c r="AD175" s="1" t="n">
        <v>2</v>
      </c>
      <c r="AE175" s="1" t="n">
        <f aca="false">IF(AF175=AF174,AE174+AE$1,AE$3-0.5*AE$1*(COUNTIF(AF$11:AF$1000,AF175)-1))</f>
        <v>2.29230769230769</v>
      </c>
      <c r="AF175" s="1" t="n">
        <v>4</v>
      </c>
      <c r="AG175" s="1" t="n">
        <f aca="false">IF(AH175=AH174,AG174+AG$1,AG$3-0.5*AG$1*(COUNTIF(AH$11:AH$1000,AH175)-1))</f>
        <v>3.11320754716981</v>
      </c>
      <c r="AH175" s="1" t="n">
        <v>5</v>
      </c>
      <c r="AI175" s="1" t="n">
        <v>-1</v>
      </c>
      <c r="AJ175" s="1" t="n">
        <v>-1</v>
      </c>
      <c r="AK175" s="1" t="n">
        <f aca="false">IF(AL175=AL174,AK174+AK$1,AK$3-0.5*AK$1*(COUNTIF(AL$11:AL$1000,AL175)-1))</f>
        <v>4.95254237288136</v>
      </c>
      <c r="AL175" s="1" t="n">
        <v>8</v>
      </c>
      <c r="AN175" s="1" t="n">
        <f aca="false">IF(AO175=AO174,AN174+AN$1,AN$3-0.5*AN$1*(COUNTIF(AO$11:AO$1000,AO175)-1))</f>
        <v>1.26538461538461</v>
      </c>
      <c r="AO175" s="1" t="n">
        <v>2</v>
      </c>
      <c r="AP175" s="1" t="n">
        <f aca="false">IF(AQ175=AQ174,AP174+AP$1,AP$3-0.5*AP$1*(COUNTIF(AQ$11:AQ$1000,AQ175)-1))</f>
        <v>1.89787234042553</v>
      </c>
      <c r="AQ175" s="1" t="n">
        <v>6</v>
      </c>
      <c r="AR175" s="1" t="n">
        <f aca="false">IF(AS175=AS174,AR174+AR$1,AR$3-0.5*AR$1*(COUNTIF(AS$11:AS$1000,AS175)-1))</f>
        <v>3.08484848484849</v>
      </c>
      <c r="AS175" s="1" t="n">
        <v>9</v>
      </c>
      <c r="AT175" s="1" t="n">
        <v>-1</v>
      </c>
      <c r="AU175" s="1" t="n">
        <v>-1</v>
      </c>
      <c r="AV175" s="1" t="n">
        <f aca="false">IF(AW175=AW174,AV174+AV$1,AV$3-0.5*AV$1*(COUNTIF(AW$11:AW$1000,AW175)-1))</f>
        <v>5.04285714285714</v>
      </c>
      <c r="AW175" s="1" t="n">
        <v>16</v>
      </c>
      <c r="AY175" s="1" t="n">
        <v>165</v>
      </c>
    </row>
    <row r="176" customFormat="false" ht="16" hidden="false" customHeight="false" outlineLevel="0" collapsed="false">
      <c r="A176" s="1" t="n">
        <v>166</v>
      </c>
      <c r="B176" s="1" t="n">
        <v>-1</v>
      </c>
      <c r="C176" s="1" t="n">
        <v>-1</v>
      </c>
      <c r="D176" s="1" t="n">
        <f aca="false">IF(E176=E175,D175+D$1,D$3-0.5*D$1*(COUNTIF(E$11:E$1000,E176)-1))</f>
        <v>2.03373493975904</v>
      </c>
      <c r="E176" s="1" t="n">
        <v>3</v>
      </c>
      <c r="F176" s="1" t="n">
        <v>-1</v>
      </c>
      <c r="G176" s="1" t="n">
        <v>-1</v>
      </c>
      <c r="H176" s="1" t="n">
        <v>-1</v>
      </c>
      <c r="I176" s="1" t="n">
        <v>-1</v>
      </c>
      <c r="J176" s="1" t="n">
        <v>-1</v>
      </c>
      <c r="K176" s="1" t="n">
        <v>-1</v>
      </c>
      <c r="L176" s="1" t="n">
        <f aca="false">IF(M176=M175,L175+L$1,L$3-0.5*L$1*(COUNTIF(M$11:M$1000,M176)-1))</f>
        <v>6.08947368421052</v>
      </c>
      <c r="M176" s="1" t="n">
        <v>4</v>
      </c>
      <c r="O176" s="1" t="n">
        <v>-1</v>
      </c>
      <c r="P176" s="1" t="n">
        <v>-1</v>
      </c>
      <c r="Q176" s="1" t="n">
        <f aca="false">IF(R176=R175,Q175+Q$1,Q$3-0.5*Q$1*(COUNTIF(R$11:R$1000,R176)-1))</f>
        <v>2.07142857142857</v>
      </c>
      <c r="R176" s="1" t="n">
        <v>3</v>
      </c>
      <c r="S176" s="1" t="n">
        <v>-1</v>
      </c>
      <c r="T176" s="1" t="n">
        <v>-1</v>
      </c>
      <c r="U176" s="1" t="n">
        <v>-1</v>
      </c>
      <c r="V176" s="1" t="n">
        <v>-1</v>
      </c>
      <c r="W176" s="1" t="n">
        <v>-1</v>
      </c>
      <c r="X176" s="1" t="n">
        <v>-1</v>
      </c>
      <c r="Y176" s="1" t="n">
        <f aca="false">IF(Z176=Z175,Y175+Y$1,Y$3-0.5*Y$1*(COUNTIF(Z$11:Z$1000,Z176)-1))</f>
        <v>6.1025641025641</v>
      </c>
      <c r="Z176" s="1" t="n">
        <v>7</v>
      </c>
      <c r="AB176" s="1" t="n">
        <v>166</v>
      </c>
      <c r="AC176" s="1" t="n">
        <f aca="false">IF(AD176=AD175,AC175+AC$1,AC$3-0.5*AC$1*(COUNTIF(AD$11:AD$1000,AD176)-1))</f>
        <v>1.1752380952381</v>
      </c>
      <c r="AD176" s="1" t="n">
        <v>2</v>
      </c>
      <c r="AE176" s="1" t="n">
        <f aca="false">IF(AF176=AF175,AE175+AE$1,AE$3-0.5*AE$1*(COUNTIF(AF$11:AF$1000,AF176)-1))</f>
        <v>2.30769230769231</v>
      </c>
      <c r="AF176" s="1" t="n">
        <v>4</v>
      </c>
      <c r="AG176" s="1" t="n">
        <f aca="false">IF(AH176=AH175,AG175+AG$1,AG$3-0.5*AG$1*(COUNTIF(AH$11:AH$1000,AH176)-1))</f>
        <v>2.87924528301887</v>
      </c>
      <c r="AH176" s="1" t="n">
        <v>6</v>
      </c>
      <c r="AI176" s="1" t="n">
        <v>-1</v>
      </c>
      <c r="AJ176" s="1" t="n">
        <v>-1</v>
      </c>
      <c r="AK176" s="1" t="n">
        <f aca="false">IF(AL176=AL175,AK175+AK$1,AK$3-0.5*AK$1*(COUNTIF(AL$11:AL$1000,AL176)-1))</f>
        <v>4.96610169491525</v>
      </c>
      <c r="AL176" s="1" t="n">
        <v>8</v>
      </c>
      <c r="AN176" s="1" t="n">
        <f aca="false">IF(AO176=AO175,AN175+AN$1,AN$3-0.5*AN$1*(COUNTIF(AO$11:AO$1000,AO176)-1))</f>
        <v>1.27307692307692</v>
      </c>
      <c r="AO176" s="1" t="n">
        <v>2</v>
      </c>
      <c r="AP176" s="1" t="n">
        <f aca="false">IF(AQ176=AQ175,AP175+AP$1,AP$3-0.5*AP$1*(COUNTIF(AQ$11:AQ$1000,AQ176)-1))</f>
        <v>1.91489361702128</v>
      </c>
      <c r="AQ176" s="1" t="n">
        <v>6</v>
      </c>
      <c r="AR176" s="1" t="n">
        <f aca="false">IF(AS176=AS175,AR175+AR$1,AR$3-0.5*AR$1*(COUNTIF(AS$11:AS$1000,AS176)-1))</f>
        <v>2.83030303030303</v>
      </c>
      <c r="AS176" s="1" t="n">
        <v>10</v>
      </c>
      <c r="AT176" s="1" t="n">
        <v>-1</v>
      </c>
      <c r="AU176" s="1" t="n">
        <v>-1</v>
      </c>
      <c r="AV176" s="1" t="n">
        <f aca="false">IF(AW176=AW175,AV175+AV$1,AV$3-0.5*AV$1*(COUNTIF(AW$11:AW$1000,AW176)-1))</f>
        <v>5.07142857142857</v>
      </c>
      <c r="AW176" s="1" t="n">
        <v>16</v>
      </c>
      <c r="AY176" s="1" t="n">
        <v>166</v>
      </c>
    </row>
    <row r="177" customFormat="false" ht="16" hidden="false" customHeight="false" outlineLevel="0" collapsed="false">
      <c r="A177" s="1" t="n">
        <v>167</v>
      </c>
      <c r="B177" s="1" t="n">
        <v>-1</v>
      </c>
      <c r="C177" s="1" t="n">
        <v>-1</v>
      </c>
      <c r="D177" s="1" t="n">
        <f aca="false">IF(E177=E176,D176+D$1,D$3-0.5*D$1*(COUNTIF(E$11:E$1000,E177)-1))</f>
        <v>2.0433734939759</v>
      </c>
      <c r="E177" s="1" t="n">
        <v>3</v>
      </c>
      <c r="F177" s="1" t="n">
        <v>-1</v>
      </c>
      <c r="G177" s="1" t="n">
        <v>-1</v>
      </c>
      <c r="H177" s="1" t="n">
        <v>-1</v>
      </c>
      <c r="I177" s="1" t="n">
        <v>-1</v>
      </c>
      <c r="J177" s="1" t="n">
        <v>-1</v>
      </c>
      <c r="K177" s="1" t="n">
        <v>-1</v>
      </c>
      <c r="L177" s="1" t="n">
        <f aca="false">IF(M177=M176,L176+L$1,L$3-0.5*L$1*(COUNTIF(M$11:M$1000,M177)-1))</f>
        <v>6.09999999999999</v>
      </c>
      <c r="M177" s="1" t="n">
        <v>4</v>
      </c>
      <c r="O177" s="1" t="n">
        <v>-1</v>
      </c>
      <c r="P177" s="1" t="n">
        <v>-1</v>
      </c>
      <c r="Q177" s="1" t="n">
        <f aca="false">IF(R177=R176,Q176+Q$1,Q$3-0.5*Q$1*(COUNTIF(R$11:R$1000,R177)-1))</f>
        <v>2.08095238095238</v>
      </c>
      <c r="R177" s="1" t="n">
        <v>3</v>
      </c>
      <c r="S177" s="1" t="n">
        <v>-1</v>
      </c>
      <c r="T177" s="1" t="n">
        <v>-1</v>
      </c>
      <c r="U177" s="1" t="n">
        <v>-1</v>
      </c>
      <c r="V177" s="1" t="n">
        <v>-1</v>
      </c>
      <c r="W177" s="1" t="n">
        <v>-1</v>
      </c>
      <c r="X177" s="1" t="n">
        <v>-1</v>
      </c>
      <c r="Y177" s="1" t="n">
        <f aca="false">IF(Z177=Z176,Y176+Y$1,Y$3-0.5*Y$1*(COUNTIF(Z$11:Z$1000,Z177)-1))</f>
        <v>6.12307692307692</v>
      </c>
      <c r="Z177" s="1" t="n">
        <v>7</v>
      </c>
      <c r="AB177" s="1" t="n">
        <v>167</v>
      </c>
      <c r="AC177" s="1" t="n">
        <f aca="false">IF(AD177=AD176,AC176+AC$1,AC$3-0.5*AC$1*(COUNTIF(AD$11:AD$1000,AD177)-1))</f>
        <v>1.18285714285714</v>
      </c>
      <c r="AD177" s="1" t="n">
        <v>2</v>
      </c>
      <c r="AE177" s="1" t="n">
        <f aca="false">IF(AF177=AF176,AE176+AE$1,AE$3-0.5*AE$1*(COUNTIF(AF$11:AF$1000,AF177)-1))</f>
        <v>1.92307692307692</v>
      </c>
      <c r="AF177" s="1" t="n">
        <v>5</v>
      </c>
      <c r="AG177" s="1" t="n">
        <f aca="false">IF(AH177=AH176,AG176+AG$1,AG$3-0.5*AG$1*(COUNTIF(AH$11:AH$1000,AH177)-1))</f>
        <v>2.89433962264151</v>
      </c>
      <c r="AH177" s="1" t="n">
        <v>6</v>
      </c>
      <c r="AI177" s="1" t="n">
        <v>-1</v>
      </c>
      <c r="AJ177" s="1" t="n">
        <v>-1</v>
      </c>
      <c r="AK177" s="1" t="n">
        <f aca="false">IF(AL177=AL176,AK176+AK$1,AK$3-0.5*AK$1*(COUNTIF(AL$11:AL$1000,AL177)-1))</f>
        <v>4.97966101694915</v>
      </c>
      <c r="AL177" s="1" t="n">
        <v>8</v>
      </c>
      <c r="AN177" s="1" t="n">
        <f aca="false">IF(AO177=AO176,AN176+AN$1,AN$3-0.5*AN$1*(COUNTIF(AO$11:AO$1000,AO177)-1))</f>
        <v>1.28076923076923</v>
      </c>
      <c r="AO177" s="1" t="n">
        <v>2</v>
      </c>
      <c r="AP177" s="1" t="n">
        <f aca="false">IF(AQ177=AQ176,AP176+AP$1,AP$3-0.5*AP$1*(COUNTIF(AQ$11:AQ$1000,AQ177)-1))</f>
        <v>1.93191489361702</v>
      </c>
      <c r="AQ177" s="1" t="n">
        <v>6</v>
      </c>
      <c r="AR177" s="1" t="n">
        <f aca="false">IF(AS177=AS176,AR176+AR$1,AR$3-0.5*AR$1*(COUNTIF(AS$11:AS$1000,AS177)-1))</f>
        <v>2.85454545454545</v>
      </c>
      <c r="AS177" s="1" t="n">
        <v>10</v>
      </c>
      <c r="AT177" s="1" t="n">
        <v>-1</v>
      </c>
      <c r="AU177" s="1" t="n">
        <v>-1</v>
      </c>
      <c r="AV177" s="1" t="n">
        <f aca="false">IF(AW177=AW176,AV176+AV$1,AV$3-0.5*AV$1*(COUNTIF(AW$11:AW$1000,AW177)-1))</f>
        <v>5.1</v>
      </c>
      <c r="AW177" s="1" t="n">
        <v>16</v>
      </c>
      <c r="AY177" s="1" t="n">
        <v>167</v>
      </c>
    </row>
    <row r="178" customFormat="false" ht="16" hidden="false" customHeight="false" outlineLevel="0" collapsed="false">
      <c r="A178" s="1" t="n">
        <v>168</v>
      </c>
      <c r="B178" s="1" t="n">
        <v>-1</v>
      </c>
      <c r="C178" s="1" t="n">
        <v>-1</v>
      </c>
      <c r="D178" s="1" t="n">
        <f aca="false">IF(E178=E177,D177+D$1,D$3-0.5*D$1*(COUNTIF(E$11:E$1000,E178)-1))</f>
        <v>2.05301204819277</v>
      </c>
      <c r="E178" s="1" t="n">
        <v>3</v>
      </c>
      <c r="F178" s="1" t="n">
        <v>-1</v>
      </c>
      <c r="G178" s="1" t="n">
        <v>-1</v>
      </c>
      <c r="H178" s="1" t="n">
        <v>-1</v>
      </c>
      <c r="I178" s="1" t="n">
        <v>-1</v>
      </c>
      <c r="J178" s="1" t="n">
        <v>-1</v>
      </c>
      <c r="K178" s="1" t="n">
        <v>-1</v>
      </c>
      <c r="L178" s="1" t="n">
        <f aca="false">IF(M178=M177,L177+L$1,L$3-0.5*L$1*(COUNTIF(M$11:M$1000,M178)-1))</f>
        <v>6.11052631578946</v>
      </c>
      <c r="M178" s="1" t="n">
        <v>4</v>
      </c>
      <c r="O178" s="1" t="n">
        <v>-1</v>
      </c>
      <c r="P178" s="1" t="n">
        <v>-1</v>
      </c>
      <c r="Q178" s="1" t="n">
        <f aca="false">IF(R178=R177,Q177+Q$1,Q$3-0.5*Q$1*(COUNTIF(R$11:R$1000,R178)-1))</f>
        <v>2.09047619047619</v>
      </c>
      <c r="R178" s="1" t="n">
        <v>3</v>
      </c>
      <c r="S178" s="1" t="n">
        <v>-1</v>
      </c>
      <c r="T178" s="1" t="n">
        <v>-1</v>
      </c>
      <c r="U178" s="1" t="n">
        <v>-1</v>
      </c>
      <c r="V178" s="1" t="n">
        <v>-1</v>
      </c>
      <c r="W178" s="1" t="n">
        <v>-1</v>
      </c>
      <c r="X178" s="1" t="n">
        <v>-1</v>
      </c>
      <c r="Y178" s="1" t="n">
        <f aca="false">IF(Z178=Z177,Y177+Y$1,Y$3-0.5*Y$1*(COUNTIF(Z$11:Z$1000,Z178)-1))</f>
        <v>5.90769230769231</v>
      </c>
      <c r="Z178" s="1" t="n">
        <v>8</v>
      </c>
      <c r="AB178" s="1" t="n">
        <v>168</v>
      </c>
      <c r="AC178" s="1" t="n">
        <f aca="false">IF(AD178=AD177,AC177+AC$1,AC$3-0.5*AC$1*(COUNTIF(AD$11:AD$1000,AD178)-1))</f>
        <v>1.19047619047619</v>
      </c>
      <c r="AD178" s="1" t="n">
        <v>2</v>
      </c>
      <c r="AE178" s="1" t="n">
        <f aca="false">IF(AF178=AF177,AE177+AE$1,AE$3-0.5*AE$1*(COUNTIF(AF$11:AF$1000,AF178)-1))</f>
        <v>1.93846153846154</v>
      </c>
      <c r="AF178" s="1" t="n">
        <v>5</v>
      </c>
      <c r="AG178" s="1" t="n">
        <f aca="false">IF(AH178=AH177,AG177+AG$1,AG$3-0.5*AG$1*(COUNTIF(AH$11:AH$1000,AH178)-1))</f>
        <v>2.90943396226415</v>
      </c>
      <c r="AH178" s="1" t="n">
        <v>6</v>
      </c>
      <c r="AI178" s="1" t="n">
        <v>-1</v>
      </c>
      <c r="AJ178" s="1" t="n">
        <v>-1</v>
      </c>
      <c r="AK178" s="1" t="n">
        <f aca="false">IF(AL178=AL177,AK177+AK$1,AK$3-0.5*AK$1*(COUNTIF(AL$11:AL$1000,AL178)-1))</f>
        <v>4.99322033898305</v>
      </c>
      <c r="AL178" s="1" t="n">
        <v>8</v>
      </c>
      <c r="AN178" s="1" t="n">
        <f aca="false">IF(AO178=AO177,AN177+AN$1,AN$3-0.5*AN$1*(COUNTIF(AO$11:AO$1000,AO178)-1))</f>
        <v>1.28846153846154</v>
      </c>
      <c r="AO178" s="1" t="n">
        <v>2</v>
      </c>
      <c r="AP178" s="1" t="n">
        <f aca="false">IF(AQ178=AQ177,AP177+AP$1,AP$3-0.5*AP$1*(COUNTIF(AQ$11:AQ$1000,AQ178)-1))</f>
        <v>1.94893617021277</v>
      </c>
      <c r="AQ178" s="1" t="n">
        <v>6</v>
      </c>
      <c r="AR178" s="1" t="n">
        <f aca="false">IF(AS178=AS177,AR177+AR$1,AR$3-0.5*AR$1*(COUNTIF(AS$11:AS$1000,AS178)-1))</f>
        <v>2.87878787878788</v>
      </c>
      <c r="AS178" s="1" t="n">
        <v>10</v>
      </c>
      <c r="AT178" s="1" t="n">
        <v>-1</v>
      </c>
      <c r="AU178" s="1" t="n">
        <v>-1</v>
      </c>
      <c r="AV178" s="1" t="n">
        <f aca="false">IF(AW178=AW177,AV177+AV$1,AV$3-0.5*AV$1*(COUNTIF(AW$11:AW$1000,AW178)-1))</f>
        <v>5</v>
      </c>
      <c r="AW178" s="1" t="n">
        <v>17</v>
      </c>
      <c r="AY178" s="1" t="n">
        <v>168</v>
      </c>
    </row>
    <row r="179" customFormat="false" ht="16" hidden="false" customHeight="false" outlineLevel="0" collapsed="false">
      <c r="A179" s="1" t="n">
        <v>169</v>
      </c>
      <c r="B179" s="1" t="n">
        <v>-1</v>
      </c>
      <c r="C179" s="1" t="n">
        <v>-1</v>
      </c>
      <c r="D179" s="1" t="n">
        <f aca="false">IF(E179=E178,D178+D$1,D$3-0.5*D$1*(COUNTIF(E$11:E$1000,E179)-1))</f>
        <v>2.06265060240964</v>
      </c>
      <c r="E179" s="1" t="n">
        <v>3</v>
      </c>
      <c r="F179" s="1" t="n">
        <v>-1</v>
      </c>
      <c r="G179" s="1" t="n">
        <v>-1</v>
      </c>
      <c r="H179" s="1" t="n">
        <v>-1</v>
      </c>
      <c r="I179" s="1" t="n">
        <v>-1</v>
      </c>
      <c r="J179" s="1" t="n">
        <v>-1</v>
      </c>
      <c r="K179" s="1" t="n">
        <v>-1</v>
      </c>
      <c r="L179" s="1" t="n">
        <f aca="false">IF(M179=M178,L178+L$1,L$3-0.5*L$1*(COUNTIF(M$11:M$1000,M179)-1))</f>
        <v>6.12105263157893</v>
      </c>
      <c r="M179" s="1" t="n">
        <v>4</v>
      </c>
      <c r="O179" s="1" t="n">
        <v>-1</v>
      </c>
      <c r="P179" s="1" t="n">
        <v>-1</v>
      </c>
      <c r="Q179" s="1" t="n">
        <f aca="false">IF(R179=R178,Q178+Q$1,Q$3-0.5*Q$1*(COUNTIF(R$11:R$1000,R179)-1))</f>
        <v>1.97142857142857</v>
      </c>
      <c r="R179" s="1" t="n">
        <v>4</v>
      </c>
      <c r="S179" s="1" t="n">
        <v>-1</v>
      </c>
      <c r="T179" s="1" t="n">
        <v>-1</v>
      </c>
      <c r="U179" s="1" t="n">
        <v>-1</v>
      </c>
      <c r="V179" s="1" t="n">
        <v>-1</v>
      </c>
      <c r="W179" s="1" t="n">
        <v>-1</v>
      </c>
      <c r="X179" s="1" t="n">
        <v>-1</v>
      </c>
      <c r="Y179" s="1" t="n">
        <f aca="false">IF(Z179=Z178,Y178+Y$1,Y$3-0.5*Y$1*(COUNTIF(Z$11:Z$1000,Z179)-1))</f>
        <v>5.92820512820513</v>
      </c>
      <c r="Z179" s="1" t="n">
        <v>8</v>
      </c>
      <c r="AB179" s="1" t="n">
        <v>169</v>
      </c>
      <c r="AC179" s="1" t="n">
        <f aca="false">IF(AD179=AD178,AC178+AC$1,AC$3-0.5*AC$1*(COUNTIF(AD$11:AD$1000,AD179)-1))</f>
        <v>1.19809523809524</v>
      </c>
      <c r="AD179" s="1" t="n">
        <v>2</v>
      </c>
      <c r="AE179" s="1" t="n">
        <f aca="false">IF(AF179=AF178,AE178+AE$1,AE$3-0.5*AE$1*(COUNTIF(AF$11:AF$1000,AF179)-1))</f>
        <v>1.95384615384615</v>
      </c>
      <c r="AF179" s="1" t="n">
        <v>5</v>
      </c>
      <c r="AG179" s="1" t="n">
        <f aca="false">IF(AH179=AH178,AG178+AG$1,AG$3-0.5*AG$1*(COUNTIF(AH$11:AH$1000,AH179)-1))</f>
        <v>2.92452830188679</v>
      </c>
      <c r="AH179" s="1" t="n">
        <v>6</v>
      </c>
      <c r="AI179" s="1" t="n">
        <v>-1</v>
      </c>
      <c r="AJ179" s="1" t="n">
        <v>-1</v>
      </c>
      <c r="AK179" s="1" t="n">
        <f aca="false">IF(AL179=AL178,AK178+AK$1,AK$3-0.5*AK$1*(COUNTIF(AL$11:AL$1000,AL179)-1))</f>
        <v>5.00677966101695</v>
      </c>
      <c r="AL179" s="1" t="n">
        <v>8</v>
      </c>
      <c r="AN179" s="1" t="n">
        <f aca="false">IF(AO179=AO178,AN178+AN$1,AN$3-0.5*AN$1*(COUNTIF(AO$11:AO$1000,AO179)-1))</f>
        <v>1.29615384615384</v>
      </c>
      <c r="AO179" s="1" t="n">
        <v>2</v>
      </c>
      <c r="AP179" s="1" t="n">
        <f aca="false">IF(AQ179=AQ178,AP178+AP$1,AP$3-0.5*AP$1*(COUNTIF(AQ$11:AQ$1000,AQ179)-1))</f>
        <v>1.96595744680851</v>
      </c>
      <c r="AQ179" s="1" t="n">
        <v>6</v>
      </c>
      <c r="AR179" s="1" t="n">
        <f aca="false">IF(AS179=AS178,AR178+AR$1,AR$3-0.5*AR$1*(COUNTIF(AS$11:AS$1000,AS179)-1))</f>
        <v>2.9030303030303</v>
      </c>
      <c r="AS179" s="1" t="n">
        <v>10</v>
      </c>
      <c r="AT179" s="1" t="n">
        <v>-1</v>
      </c>
      <c r="AU179" s="1" t="n">
        <v>-1</v>
      </c>
      <c r="AV179" s="1" t="n">
        <f aca="false">IF(AW179=AW178,AV178+AV$1,AV$3-0.5*AV$1*(COUNTIF(AW$11:AW$1000,AW179)-1))</f>
        <v>4.95714285714286</v>
      </c>
      <c r="AW179" s="1" t="n">
        <v>18</v>
      </c>
      <c r="AY179" s="1" t="n">
        <v>169</v>
      </c>
    </row>
    <row r="180" customFormat="false" ht="16" hidden="false" customHeight="false" outlineLevel="0" collapsed="false">
      <c r="A180" s="1" t="n">
        <v>170</v>
      </c>
      <c r="B180" s="1" t="n">
        <v>-1</v>
      </c>
      <c r="C180" s="1" t="n">
        <v>-1</v>
      </c>
      <c r="D180" s="1" t="n">
        <f aca="false">IF(E180=E179,D179+D$1,D$3-0.5*D$1*(COUNTIF(E$11:E$1000,E180)-1))</f>
        <v>2.07228915662651</v>
      </c>
      <c r="E180" s="1" t="n">
        <v>3</v>
      </c>
      <c r="F180" s="1" t="n">
        <v>-1</v>
      </c>
      <c r="G180" s="1" t="n">
        <v>-1</v>
      </c>
      <c r="H180" s="1" t="n">
        <v>-1</v>
      </c>
      <c r="I180" s="1" t="n">
        <v>-1</v>
      </c>
      <c r="J180" s="1" t="n">
        <v>-1</v>
      </c>
      <c r="K180" s="1" t="n">
        <v>-1</v>
      </c>
      <c r="L180" s="1" t="n">
        <f aca="false">IF(M180=M179,L179+L$1,L$3-0.5*L$1*(COUNTIF(M$11:M$1000,M180)-1))</f>
        <v>6.13157894736841</v>
      </c>
      <c r="M180" s="1" t="n">
        <v>4</v>
      </c>
      <c r="O180" s="1" t="n">
        <v>-1</v>
      </c>
      <c r="P180" s="1" t="n">
        <v>-1</v>
      </c>
      <c r="Q180" s="1" t="n">
        <f aca="false">IF(R180=R179,Q179+Q$1,Q$3-0.5*Q$1*(COUNTIF(R$11:R$1000,R180)-1))</f>
        <v>1.98095238095238</v>
      </c>
      <c r="R180" s="1" t="n">
        <v>4</v>
      </c>
      <c r="S180" s="1" t="n">
        <v>-1</v>
      </c>
      <c r="T180" s="1" t="n">
        <v>-1</v>
      </c>
      <c r="U180" s="1" t="n">
        <v>-1</v>
      </c>
      <c r="V180" s="1" t="n">
        <v>-1</v>
      </c>
      <c r="W180" s="1" t="n">
        <v>-1</v>
      </c>
      <c r="X180" s="1" t="n">
        <v>-1</v>
      </c>
      <c r="Y180" s="1" t="n">
        <f aca="false">IF(Z180=Z179,Y179+Y$1,Y$3-0.5*Y$1*(COUNTIF(Z$11:Z$1000,Z180)-1))</f>
        <v>5.94871794871795</v>
      </c>
      <c r="Z180" s="1" t="n">
        <v>8</v>
      </c>
      <c r="AB180" s="1" t="n">
        <v>170</v>
      </c>
      <c r="AC180" s="1" t="n">
        <f aca="false">IF(AD180=AD179,AC179+AC$1,AC$3-0.5*AC$1*(COUNTIF(AD$11:AD$1000,AD180)-1))</f>
        <v>1.20571428571429</v>
      </c>
      <c r="AD180" s="1" t="n">
        <v>2</v>
      </c>
      <c r="AE180" s="1" t="n">
        <f aca="false">IF(AF180=AF179,AE179+AE$1,AE$3-0.5*AE$1*(COUNTIF(AF$11:AF$1000,AF180)-1))</f>
        <v>1.96923076923077</v>
      </c>
      <c r="AF180" s="1" t="n">
        <v>5</v>
      </c>
      <c r="AG180" s="1" t="n">
        <f aca="false">IF(AH180=AH179,AG179+AG$1,AG$3-0.5*AG$1*(COUNTIF(AH$11:AH$1000,AH180)-1))</f>
        <v>2.93962264150943</v>
      </c>
      <c r="AH180" s="1" t="n">
        <v>6</v>
      </c>
      <c r="AI180" s="1" t="n">
        <v>-1</v>
      </c>
      <c r="AJ180" s="1" t="n">
        <v>-1</v>
      </c>
      <c r="AK180" s="1" t="n">
        <f aca="false">IF(AL180=AL179,AK179+AK$1,AK$3-0.5*AK$1*(COUNTIF(AL$11:AL$1000,AL180)-1))</f>
        <v>5.02033898305085</v>
      </c>
      <c r="AL180" s="1" t="n">
        <v>8</v>
      </c>
      <c r="AN180" s="1" t="n">
        <f aca="false">IF(AO180=AO179,AN179+AN$1,AN$3-0.5*AN$1*(COUNTIF(AO$11:AO$1000,AO180)-1))</f>
        <v>1.30384615384615</v>
      </c>
      <c r="AO180" s="1" t="n">
        <v>2</v>
      </c>
      <c r="AP180" s="1" t="n">
        <f aca="false">IF(AQ180=AQ179,AP179+AP$1,AP$3-0.5*AP$1*(COUNTIF(AQ$11:AQ$1000,AQ180)-1))</f>
        <v>1.98297872340426</v>
      </c>
      <c r="AQ180" s="1" t="n">
        <v>6</v>
      </c>
      <c r="AR180" s="1" t="n">
        <f aca="false">IF(AS180=AS179,AR179+AR$1,AR$3-0.5*AR$1*(COUNTIF(AS$11:AS$1000,AS180)-1))</f>
        <v>2.92727272727273</v>
      </c>
      <c r="AS180" s="1" t="n">
        <v>10</v>
      </c>
      <c r="AT180" s="1" t="n">
        <v>-1</v>
      </c>
      <c r="AU180" s="1" t="n">
        <v>-1</v>
      </c>
      <c r="AV180" s="1" t="n">
        <f aca="false">IF(AW180=AW179,AV179+AV$1,AV$3-0.5*AV$1*(COUNTIF(AW$11:AW$1000,AW180)-1))</f>
        <v>4.98571428571429</v>
      </c>
      <c r="AW180" s="1" t="n">
        <v>18</v>
      </c>
      <c r="AY180" s="1" t="n">
        <v>170</v>
      </c>
    </row>
    <row r="181" customFormat="false" ht="16" hidden="false" customHeight="false" outlineLevel="0" collapsed="false">
      <c r="A181" s="1" t="n">
        <v>171</v>
      </c>
      <c r="B181" s="1" t="n">
        <v>-1</v>
      </c>
      <c r="C181" s="1" t="n">
        <v>-1</v>
      </c>
      <c r="D181" s="1" t="n">
        <f aca="false">IF(E181=E180,D180+D$1,D$3-0.5*D$1*(COUNTIF(E$11:E$1000,E181)-1))</f>
        <v>1.98072289156627</v>
      </c>
      <c r="E181" s="1" t="n">
        <v>4</v>
      </c>
      <c r="F181" s="1" t="n">
        <v>-1</v>
      </c>
      <c r="G181" s="1" t="n">
        <v>-1</v>
      </c>
      <c r="H181" s="1" t="n">
        <v>-1</v>
      </c>
      <c r="I181" s="1" t="n">
        <v>-1</v>
      </c>
      <c r="J181" s="1" t="n">
        <v>-1</v>
      </c>
      <c r="K181" s="1" t="n">
        <v>-1</v>
      </c>
      <c r="L181" s="1" t="n">
        <f aca="false">IF(M181=M180,L180+L$1,L$3-0.5*L$1*(COUNTIF(M$11:M$1000,M181)-1))</f>
        <v>6.14210526315788</v>
      </c>
      <c r="M181" s="1" t="n">
        <v>4</v>
      </c>
      <c r="O181" s="1" t="n">
        <v>-1</v>
      </c>
      <c r="P181" s="1" t="n">
        <v>-1</v>
      </c>
      <c r="Q181" s="1" t="n">
        <f aca="false">IF(R181=R180,Q180+Q$1,Q$3-0.5*Q$1*(COUNTIF(R$11:R$1000,R181)-1))</f>
        <v>1.99047619047619</v>
      </c>
      <c r="R181" s="1" t="n">
        <v>4</v>
      </c>
      <c r="S181" s="1" t="n">
        <v>-1</v>
      </c>
      <c r="T181" s="1" t="n">
        <v>-1</v>
      </c>
      <c r="U181" s="1" t="n">
        <v>-1</v>
      </c>
      <c r="V181" s="1" t="n">
        <v>-1</v>
      </c>
      <c r="W181" s="1" t="n">
        <v>-1</v>
      </c>
      <c r="X181" s="1" t="n">
        <v>-1</v>
      </c>
      <c r="Y181" s="1" t="n">
        <f aca="false">IF(Z181=Z180,Y180+Y$1,Y$3-0.5*Y$1*(COUNTIF(Z$11:Z$1000,Z181)-1))</f>
        <v>5.96923076923077</v>
      </c>
      <c r="Z181" s="1" t="n">
        <v>8</v>
      </c>
      <c r="AB181" s="1" t="n">
        <v>171</v>
      </c>
      <c r="AC181" s="1" t="n">
        <f aca="false">IF(AD181=AD180,AC180+AC$1,AC$3-0.5*AC$1*(COUNTIF(AD$11:AD$1000,AD181)-1))</f>
        <v>1.21333333333333</v>
      </c>
      <c r="AD181" s="1" t="n">
        <v>2</v>
      </c>
      <c r="AE181" s="1" t="n">
        <f aca="false">IF(AF181=AF180,AE180+AE$1,AE$3-0.5*AE$1*(COUNTIF(AF$11:AF$1000,AF181)-1))</f>
        <v>1.98461538461538</v>
      </c>
      <c r="AF181" s="1" t="n">
        <v>5</v>
      </c>
      <c r="AG181" s="1" t="n">
        <f aca="false">IF(AH181=AH180,AG180+AG$1,AG$3-0.5*AG$1*(COUNTIF(AH$11:AH$1000,AH181)-1))</f>
        <v>2.95471698113208</v>
      </c>
      <c r="AH181" s="1" t="n">
        <v>6</v>
      </c>
      <c r="AI181" s="1" t="n">
        <v>-1</v>
      </c>
      <c r="AJ181" s="1" t="n">
        <v>-1</v>
      </c>
      <c r="AK181" s="1" t="n">
        <f aca="false">IF(AL181=AL180,AK180+AK$1,AK$3-0.5*AK$1*(COUNTIF(AL$11:AL$1000,AL181)-1))</f>
        <v>5.03389830508474</v>
      </c>
      <c r="AL181" s="1" t="n">
        <v>8</v>
      </c>
      <c r="AN181" s="1" t="n">
        <f aca="false">IF(AO181=AO180,AN180+AN$1,AN$3-0.5*AN$1*(COUNTIF(AO$11:AO$1000,AO181)-1))</f>
        <v>1.31153846153846</v>
      </c>
      <c r="AO181" s="1" t="n">
        <v>2</v>
      </c>
      <c r="AP181" s="1" t="n">
        <f aca="false">IF(AQ181=AQ180,AP180+AP$1,AP$3-0.5*AP$1*(COUNTIF(AQ$11:AQ$1000,AQ181)-1))</f>
        <v>2</v>
      </c>
      <c r="AQ181" s="1" t="n">
        <v>6</v>
      </c>
      <c r="AR181" s="1" t="n">
        <f aca="false">IF(AS181=AS180,AR180+AR$1,AR$3-0.5*AR$1*(COUNTIF(AS$11:AS$1000,AS181)-1))</f>
        <v>2.95151515151515</v>
      </c>
      <c r="AS181" s="1" t="n">
        <v>10</v>
      </c>
      <c r="AT181" s="1" t="n">
        <v>-1</v>
      </c>
      <c r="AU181" s="1" t="n">
        <v>-1</v>
      </c>
      <c r="AV181" s="1" t="n">
        <f aca="false">IF(AW181=AW180,AV180+AV$1,AV$3-0.5*AV$1*(COUNTIF(AW$11:AW$1000,AW181)-1))</f>
        <v>5.01428571428571</v>
      </c>
      <c r="AW181" s="1" t="n">
        <v>18</v>
      </c>
      <c r="AY181" s="1" t="n">
        <v>171</v>
      </c>
    </row>
    <row r="182" customFormat="false" ht="16" hidden="false" customHeight="false" outlineLevel="0" collapsed="false">
      <c r="A182" s="1" t="n">
        <v>172</v>
      </c>
      <c r="B182" s="1" t="n">
        <v>-1</v>
      </c>
      <c r="C182" s="1" t="n">
        <v>-1</v>
      </c>
      <c r="D182" s="1" t="n">
        <f aca="false">IF(E182=E181,D181+D$1,D$3-0.5*D$1*(COUNTIF(E$11:E$1000,E182)-1))</f>
        <v>1.99036144578313</v>
      </c>
      <c r="E182" s="1" t="n">
        <v>4</v>
      </c>
      <c r="F182" s="1" t="n">
        <v>-1</v>
      </c>
      <c r="G182" s="1" t="n">
        <v>-1</v>
      </c>
      <c r="H182" s="1" t="n">
        <v>-1</v>
      </c>
      <c r="I182" s="1" t="n">
        <v>-1</v>
      </c>
      <c r="J182" s="1" t="n">
        <v>-1</v>
      </c>
      <c r="K182" s="1" t="n">
        <v>-1</v>
      </c>
      <c r="L182" s="1" t="n">
        <f aca="false">IF(M182=M181,L181+L$1,L$3-0.5*L$1*(COUNTIF(M$11:M$1000,M182)-1))</f>
        <v>6.15263157894735</v>
      </c>
      <c r="M182" s="1" t="n">
        <v>4</v>
      </c>
      <c r="O182" s="1" t="n">
        <v>-1</v>
      </c>
      <c r="P182" s="1" t="n">
        <v>-1</v>
      </c>
      <c r="Q182" s="1" t="n">
        <f aca="false">IF(R182=R181,Q181+Q$1,Q$3-0.5*Q$1*(COUNTIF(R$11:R$1000,R182)-1))</f>
        <v>2</v>
      </c>
      <c r="R182" s="1" t="n">
        <v>4</v>
      </c>
      <c r="S182" s="1" t="n">
        <v>-1</v>
      </c>
      <c r="T182" s="1" t="n">
        <v>-1</v>
      </c>
      <c r="U182" s="1" t="n">
        <v>-1</v>
      </c>
      <c r="V182" s="1" t="n">
        <v>-1</v>
      </c>
      <c r="W182" s="1" t="n">
        <v>-1</v>
      </c>
      <c r="X182" s="1" t="n">
        <v>-1</v>
      </c>
      <c r="Y182" s="1" t="n">
        <f aca="false">IF(Z182=Z181,Y181+Y$1,Y$3-0.5*Y$1*(COUNTIF(Z$11:Z$1000,Z182)-1))</f>
        <v>5.98974358974359</v>
      </c>
      <c r="Z182" s="1" t="n">
        <v>8</v>
      </c>
      <c r="AB182" s="1" t="n">
        <v>172</v>
      </c>
      <c r="AC182" s="1" t="n">
        <f aca="false">IF(AD182=AD181,AC181+AC$1,AC$3-0.5*AC$1*(COUNTIF(AD$11:AD$1000,AD182)-1))</f>
        <v>1.22095238095238</v>
      </c>
      <c r="AD182" s="1" t="n">
        <v>2</v>
      </c>
      <c r="AE182" s="1" t="n">
        <f aca="false">IF(AF182=AF181,AE181+AE$1,AE$3-0.5*AE$1*(COUNTIF(AF$11:AF$1000,AF182)-1))</f>
        <v>2</v>
      </c>
      <c r="AF182" s="1" t="n">
        <v>5</v>
      </c>
      <c r="AG182" s="1" t="n">
        <f aca="false">IF(AH182=AH181,AG181+AG$1,AG$3-0.5*AG$1*(COUNTIF(AH$11:AH$1000,AH182)-1))</f>
        <v>2.96981132075472</v>
      </c>
      <c r="AH182" s="1" t="n">
        <v>6</v>
      </c>
      <c r="AI182" s="1" t="n">
        <v>-1</v>
      </c>
      <c r="AJ182" s="1" t="n">
        <v>-1</v>
      </c>
      <c r="AK182" s="1" t="n">
        <f aca="false">IF(AL182=AL181,AK181+AK$1,AK$3-0.5*AK$1*(COUNTIF(AL$11:AL$1000,AL182)-1))</f>
        <v>5.04745762711864</v>
      </c>
      <c r="AL182" s="1" t="n">
        <v>8</v>
      </c>
      <c r="AN182" s="1" t="n">
        <f aca="false">IF(AO182=AO181,AN181+AN$1,AN$3-0.5*AN$1*(COUNTIF(AO$11:AO$1000,AO182)-1))</f>
        <v>1.31923076923077</v>
      </c>
      <c r="AO182" s="1" t="n">
        <v>2</v>
      </c>
      <c r="AP182" s="1" t="n">
        <f aca="false">IF(AQ182=AQ181,AP181+AP$1,AP$3-0.5*AP$1*(COUNTIF(AQ$11:AQ$1000,AQ182)-1))</f>
        <v>2.01702127659574</v>
      </c>
      <c r="AQ182" s="1" t="n">
        <v>6</v>
      </c>
      <c r="AR182" s="1" t="n">
        <f aca="false">IF(AS182=AS181,AR181+AR$1,AR$3-0.5*AR$1*(COUNTIF(AS$11:AS$1000,AS182)-1))</f>
        <v>2.97575757575758</v>
      </c>
      <c r="AS182" s="1" t="n">
        <v>10</v>
      </c>
      <c r="AT182" s="1" t="n">
        <v>-1</v>
      </c>
      <c r="AU182" s="1" t="n">
        <v>-1</v>
      </c>
      <c r="AV182" s="1" t="n">
        <f aca="false">IF(AW182=AW181,AV181+AV$1,AV$3-0.5*AV$1*(COUNTIF(AW$11:AW$1000,AW182)-1))</f>
        <v>5.04285714285714</v>
      </c>
      <c r="AW182" s="1" t="n">
        <v>18</v>
      </c>
      <c r="AY182" s="1" t="n">
        <v>172</v>
      </c>
    </row>
    <row r="183" customFormat="false" ht="16" hidden="false" customHeight="false" outlineLevel="0" collapsed="false">
      <c r="A183" s="1" t="n">
        <v>173</v>
      </c>
      <c r="B183" s="1" t="n">
        <v>-1</v>
      </c>
      <c r="C183" s="1" t="n">
        <v>-1</v>
      </c>
      <c r="D183" s="1" t="n">
        <f aca="false">IF(E183=E182,D182+D$1,D$3-0.5*D$1*(COUNTIF(E$11:E$1000,E183)-1))</f>
        <v>2</v>
      </c>
      <c r="E183" s="1" t="n">
        <v>4</v>
      </c>
      <c r="F183" s="1" t="n">
        <v>-1</v>
      </c>
      <c r="G183" s="1" t="n">
        <v>-1</v>
      </c>
      <c r="H183" s="1" t="n">
        <v>-1</v>
      </c>
      <c r="I183" s="1" t="n">
        <v>-1</v>
      </c>
      <c r="J183" s="1" t="n">
        <v>-1</v>
      </c>
      <c r="K183" s="1" t="n">
        <v>-1</v>
      </c>
      <c r="L183" s="1" t="n">
        <f aca="false">IF(M183=M182,L182+L$1,L$3-0.5*L$1*(COUNTIF(M$11:M$1000,M183)-1))</f>
        <v>6.16315789473683</v>
      </c>
      <c r="M183" s="1" t="n">
        <v>4</v>
      </c>
      <c r="O183" s="1" t="n">
        <v>-1</v>
      </c>
      <c r="P183" s="1" t="n">
        <v>-1</v>
      </c>
      <c r="Q183" s="1" t="n">
        <f aca="false">IF(R183=R182,Q182+Q$1,Q$3-0.5*Q$1*(COUNTIF(R$11:R$1000,R183)-1))</f>
        <v>2.00952380952381</v>
      </c>
      <c r="R183" s="1" t="n">
        <v>4</v>
      </c>
      <c r="S183" s="1" t="n">
        <v>-1</v>
      </c>
      <c r="T183" s="1" t="n">
        <v>-1</v>
      </c>
      <c r="U183" s="1" t="n">
        <v>-1</v>
      </c>
      <c r="V183" s="1" t="n">
        <v>-1</v>
      </c>
      <c r="W183" s="1" t="n">
        <v>-1</v>
      </c>
      <c r="X183" s="1" t="n">
        <v>-1</v>
      </c>
      <c r="Y183" s="1" t="n">
        <f aca="false">IF(Z183=Z182,Y182+Y$1,Y$3-0.5*Y$1*(COUNTIF(Z$11:Z$1000,Z183)-1))</f>
        <v>6.01025641025641</v>
      </c>
      <c r="Z183" s="1" t="n">
        <v>8</v>
      </c>
      <c r="AB183" s="1" t="n">
        <v>173</v>
      </c>
      <c r="AC183" s="1" t="n">
        <f aca="false">IF(AD183=AD182,AC182+AC$1,AC$3-0.5*AC$1*(COUNTIF(AD$11:AD$1000,AD183)-1))</f>
        <v>1.22857142857143</v>
      </c>
      <c r="AD183" s="1" t="n">
        <v>2</v>
      </c>
      <c r="AE183" s="1" t="n">
        <f aca="false">IF(AF183=AF182,AE182+AE$1,AE$3-0.5*AE$1*(COUNTIF(AF$11:AF$1000,AF183)-1))</f>
        <v>2.01538461538462</v>
      </c>
      <c r="AF183" s="1" t="n">
        <v>5</v>
      </c>
      <c r="AG183" s="1" t="n">
        <f aca="false">IF(AH183=AH182,AG182+AG$1,AG$3-0.5*AG$1*(COUNTIF(AH$11:AH$1000,AH183)-1))</f>
        <v>2.98490566037736</v>
      </c>
      <c r="AH183" s="1" t="n">
        <v>6</v>
      </c>
      <c r="AI183" s="1" t="n">
        <v>-1</v>
      </c>
      <c r="AJ183" s="1" t="n">
        <v>-1</v>
      </c>
      <c r="AK183" s="1" t="n">
        <f aca="false">IF(AL183=AL182,AK182+AK$1,AK$3-0.5*AK$1*(COUNTIF(AL$11:AL$1000,AL183)-1))</f>
        <v>5.06101694915254</v>
      </c>
      <c r="AL183" s="1" t="n">
        <v>8</v>
      </c>
      <c r="AN183" s="1" t="n">
        <f aca="false">IF(AO183=AO182,AN182+AN$1,AN$3-0.5*AN$1*(COUNTIF(AO$11:AO$1000,AO183)-1))</f>
        <v>1.32692307692307</v>
      </c>
      <c r="AO183" s="1" t="n">
        <v>2</v>
      </c>
      <c r="AP183" s="1" t="n">
        <f aca="false">IF(AQ183=AQ182,AP182+AP$1,AP$3-0.5*AP$1*(COUNTIF(AQ$11:AQ$1000,AQ183)-1))</f>
        <v>2.03404255319149</v>
      </c>
      <c r="AQ183" s="1" t="n">
        <v>6</v>
      </c>
      <c r="AR183" s="1" t="n">
        <f aca="false">IF(AS183=AS182,AR182+AR$1,AR$3-0.5*AR$1*(COUNTIF(AS$11:AS$1000,AS183)-1))</f>
        <v>3</v>
      </c>
      <c r="AS183" s="1" t="n">
        <v>10</v>
      </c>
      <c r="AT183" s="1" t="n">
        <v>-1</v>
      </c>
      <c r="AU183" s="1" t="n">
        <v>-1</v>
      </c>
      <c r="AV183" s="1" t="n">
        <f aca="false">IF(AW183=AW182,AV182+AV$1,AV$3-0.5*AV$1*(COUNTIF(AW$11:AW$1000,AW183)-1))</f>
        <v>4.95714285714286</v>
      </c>
      <c r="AW183" s="1" t="n">
        <v>19</v>
      </c>
      <c r="AY183" s="1" t="n">
        <v>173</v>
      </c>
    </row>
    <row r="184" customFormat="false" ht="16" hidden="false" customHeight="false" outlineLevel="0" collapsed="false">
      <c r="A184" s="1" t="n">
        <v>174</v>
      </c>
      <c r="B184" s="1" t="n">
        <v>-1</v>
      </c>
      <c r="C184" s="1" t="n">
        <v>-1</v>
      </c>
      <c r="D184" s="1" t="n">
        <f aca="false">IF(E184=E183,D183+D$1,D$3-0.5*D$1*(COUNTIF(E$11:E$1000,E184)-1))</f>
        <v>2.00963855421687</v>
      </c>
      <c r="E184" s="1" t="n">
        <v>4</v>
      </c>
      <c r="F184" s="1" t="n">
        <v>-1</v>
      </c>
      <c r="G184" s="1" t="n">
        <v>-1</v>
      </c>
      <c r="H184" s="1" t="n">
        <v>-1</v>
      </c>
      <c r="I184" s="1" t="n">
        <v>-1</v>
      </c>
      <c r="J184" s="1" t="n">
        <v>-1</v>
      </c>
      <c r="K184" s="1" t="n">
        <v>-1</v>
      </c>
      <c r="L184" s="1" t="n">
        <f aca="false">IF(M184=M183,L183+L$1,L$3-0.5*L$1*(COUNTIF(M$11:M$1000,M184)-1))</f>
        <v>6.1736842105263</v>
      </c>
      <c r="M184" s="1" t="n">
        <v>4</v>
      </c>
      <c r="O184" s="1" t="n">
        <v>-1</v>
      </c>
      <c r="P184" s="1" t="n">
        <v>-1</v>
      </c>
      <c r="Q184" s="1" t="n">
        <f aca="false">IF(R184=R183,Q183+Q$1,Q$3-0.5*Q$1*(COUNTIF(R$11:R$1000,R184)-1))</f>
        <v>2.01904761904762</v>
      </c>
      <c r="R184" s="1" t="n">
        <v>4</v>
      </c>
      <c r="S184" s="1" t="n">
        <v>-1</v>
      </c>
      <c r="T184" s="1" t="n">
        <v>-1</v>
      </c>
      <c r="U184" s="1" t="n">
        <v>-1</v>
      </c>
      <c r="V184" s="1" t="n">
        <v>-1</v>
      </c>
      <c r="W184" s="1" t="n">
        <v>-1</v>
      </c>
      <c r="X184" s="1" t="n">
        <v>-1</v>
      </c>
      <c r="Y184" s="1" t="n">
        <f aca="false">IF(Z184=Z183,Y183+Y$1,Y$3-0.5*Y$1*(COUNTIF(Z$11:Z$1000,Z184)-1))</f>
        <v>6.03076923076923</v>
      </c>
      <c r="Z184" s="1" t="n">
        <v>8</v>
      </c>
      <c r="AB184" s="1" t="n">
        <v>174</v>
      </c>
      <c r="AC184" s="1" t="n">
        <f aca="false">IF(AD184=AD183,AC183+AC$1,AC$3-0.5*AC$1*(COUNTIF(AD$11:AD$1000,AD184)-1))</f>
        <v>1.23619047619048</v>
      </c>
      <c r="AD184" s="1" t="n">
        <v>2</v>
      </c>
      <c r="AE184" s="1" t="n">
        <f aca="false">IF(AF184=AF183,AE183+AE$1,AE$3-0.5*AE$1*(COUNTIF(AF$11:AF$1000,AF184)-1))</f>
        <v>2.03076923076923</v>
      </c>
      <c r="AF184" s="1" t="n">
        <v>5</v>
      </c>
      <c r="AG184" s="1" t="n">
        <f aca="false">IF(AH184=AH183,AG183+AG$1,AG$3-0.5*AG$1*(COUNTIF(AH$11:AH$1000,AH184)-1))</f>
        <v>3</v>
      </c>
      <c r="AH184" s="1" t="n">
        <v>6</v>
      </c>
      <c r="AI184" s="1" t="n">
        <v>-1</v>
      </c>
      <c r="AJ184" s="1" t="n">
        <v>-1</v>
      </c>
      <c r="AK184" s="1" t="n">
        <f aca="false">IF(AL184=AL183,AK183+AK$1,AK$3-0.5*AK$1*(COUNTIF(AL$11:AL$1000,AL184)-1))</f>
        <v>5.07457627118644</v>
      </c>
      <c r="AL184" s="1" t="n">
        <v>8</v>
      </c>
      <c r="AN184" s="1" t="n">
        <f aca="false">IF(AO184=AO183,AN183+AN$1,AN$3-0.5*AN$1*(COUNTIF(AO$11:AO$1000,AO184)-1))</f>
        <v>1.33461538461538</v>
      </c>
      <c r="AO184" s="1" t="n">
        <v>2</v>
      </c>
      <c r="AP184" s="1" t="n">
        <f aca="false">IF(AQ184=AQ183,AP183+AP$1,AP$3-0.5*AP$1*(COUNTIF(AQ$11:AQ$1000,AQ184)-1))</f>
        <v>2.05106382978723</v>
      </c>
      <c r="AQ184" s="1" t="n">
        <v>6</v>
      </c>
      <c r="AR184" s="1" t="n">
        <f aca="false">IF(AS184=AS183,AR183+AR$1,AR$3-0.5*AR$1*(COUNTIF(AS$11:AS$1000,AS184)-1))</f>
        <v>3.02424242424243</v>
      </c>
      <c r="AS184" s="1" t="n">
        <v>10</v>
      </c>
      <c r="AT184" s="1" t="n">
        <v>-1</v>
      </c>
      <c r="AU184" s="1" t="n">
        <v>-1</v>
      </c>
      <c r="AV184" s="1" t="n">
        <f aca="false">IF(AW184=AW183,AV183+AV$1,AV$3-0.5*AV$1*(COUNTIF(AW$11:AW$1000,AW184)-1))</f>
        <v>4.98571428571429</v>
      </c>
      <c r="AW184" s="1" t="n">
        <v>19</v>
      </c>
      <c r="AY184" s="1" t="n">
        <v>174</v>
      </c>
    </row>
    <row r="185" customFormat="false" ht="16" hidden="false" customHeight="false" outlineLevel="0" collapsed="false">
      <c r="A185" s="1" t="n">
        <v>175</v>
      </c>
      <c r="B185" s="1" t="n">
        <v>-1</v>
      </c>
      <c r="C185" s="1" t="n">
        <v>-1</v>
      </c>
      <c r="D185" s="1" t="n">
        <f aca="false">IF(E185=E184,D184+D$1,D$3-0.5*D$1*(COUNTIF(E$11:E$1000,E185)-1))</f>
        <v>2.01927710843373</v>
      </c>
      <c r="E185" s="1" t="n">
        <v>4</v>
      </c>
      <c r="F185" s="1" t="n">
        <v>-1</v>
      </c>
      <c r="G185" s="1" t="n">
        <v>-1</v>
      </c>
      <c r="H185" s="1" t="n">
        <v>-1</v>
      </c>
      <c r="I185" s="1" t="n">
        <v>-1</v>
      </c>
      <c r="J185" s="1" t="n">
        <v>-1</v>
      </c>
      <c r="K185" s="1" t="n">
        <v>-1</v>
      </c>
      <c r="L185" s="1" t="n">
        <f aca="false">IF(M185=M184,L184+L$1,L$3-0.5*L$1*(COUNTIF(M$11:M$1000,M185)-1))</f>
        <v>6.18421052631577</v>
      </c>
      <c r="M185" s="1" t="n">
        <v>4</v>
      </c>
      <c r="O185" s="1" t="n">
        <v>-1</v>
      </c>
      <c r="P185" s="1" t="n">
        <v>-1</v>
      </c>
      <c r="Q185" s="1" t="n">
        <f aca="false">IF(R185=R184,Q184+Q$1,Q$3-0.5*Q$1*(COUNTIF(R$11:R$1000,R185)-1))</f>
        <v>2.02857142857143</v>
      </c>
      <c r="R185" s="1" t="n">
        <v>4</v>
      </c>
      <c r="S185" s="1" t="n">
        <v>-1</v>
      </c>
      <c r="T185" s="1" t="n">
        <v>-1</v>
      </c>
      <c r="U185" s="1" t="n">
        <v>-1</v>
      </c>
      <c r="V185" s="1" t="n">
        <v>-1</v>
      </c>
      <c r="W185" s="1" t="n">
        <v>-1</v>
      </c>
      <c r="X185" s="1" t="n">
        <v>-1</v>
      </c>
      <c r="Y185" s="1" t="n">
        <f aca="false">IF(Z185=Z184,Y184+Y$1,Y$3-0.5*Y$1*(COUNTIF(Z$11:Z$1000,Z185)-1))</f>
        <v>6.05128205128205</v>
      </c>
      <c r="Z185" s="1" t="n">
        <v>8</v>
      </c>
      <c r="AB185" s="1" t="n">
        <v>175</v>
      </c>
      <c r="AC185" s="1" t="n">
        <f aca="false">IF(AD185=AD184,AC184+AC$1,AC$3-0.5*AC$1*(COUNTIF(AD$11:AD$1000,AD185)-1))</f>
        <v>1.24380952380953</v>
      </c>
      <c r="AD185" s="1" t="n">
        <v>2</v>
      </c>
      <c r="AE185" s="1" t="n">
        <f aca="false">IF(AF185=AF184,AE184+AE$1,AE$3-0.5*AE$1*(COUNTIF(AF$11:AF$1000,AF185)-1))</f>
        <v>2.04615384615385</v>
      </c>
      <c r="AF185" s="1" t="n">
        <v>5</v>
      </c>
      <c r="AG185" s="1" t="n">
        <f aca="false">IF(AH185=AH184,AG184+AG$1,AG$3-0.5*AG$1*(COUNTIF(AH$11:AH$1000,AH185)-1))</f>
        <v>3.01509433962264</v>
      </c>
      <c r="AH185" s="1" t="n">
        <v>6</v>
      </c>
      <c r="AI185" s="1" t="n">
        <v>-1</v>
      </c>
      <c r="AJ185" s="1" t="n">
        <v>-1</v>
      </c>
      <c r="AK185" s="1" t="n">
        <f aca="false">IF(AL185=AL184,AK184+AK$1,AK$3-0.5*AK$1*(COUNTIF(AL$11:AL$1000,AL185)-1))</f>
        <v>5.08813559322034</v>
      </c>
      <c r="AL185" s="1" t="n">
        <v>8</v>
      </c>
      <c r="AN185" s="1" t="n">
        <f aca="false">IF(AO185=AO184,AN184+AN$1,AN$3-0.5*AN$1*(COUNTIF(AO$11:AO$1000,AO185)-1))</f>
        <v>1.34230769230769</v>
      </c>
      <c r="AO185" s="1" t="n">
        <v>2</v>
      </c>
      <c r="AP185" s="1" t="n">
        <f aca="false">IF(AQ185=AQ184,AP184+AP$1,AP$3-0.5*AP$1*(COUNTIF(AQ$11:AQ$1000,AQ185)-1))</f>
        <v>2.06808510638298</v>
      </c>
      <c r="AQ185" s="1" t="n">
        <v>6</v>
      </c>
      <c r="AR185" s="1" t="n">
        <f aca="false">IF(AS185=AS184,AR184+AR$1,AR$3-0.5*AR$1*(COUNTIF(AS$11:AS$1000,AS185)-1))</f>
        <v>3.04848484848485</v>
      </c>
      <c r="AS185" s="1" t="n">
        <v>10</v>
      </c>
      <c r="AT185" s="1" t="n">
        <v>-1</v>
      </c>
      <c r="AU185" s="1" t="n">
        <v>-1</v>
      </c>
      <c r="AV185" s="1" t="n">
        <f aca="false">IF(AW185=AW184,AV184+AV$1,AV$3-0.5*AV$1*(COUNTIF(AW$11:AW$1000,AW185)-1))</f>
        <v>5.01428571428571</v>
      </c>
      <c r="AW185" s="1" t="n">
        <v>19</v>
      </c>
      <c r="AY185" s="1" t="n">
        <v>175</v>
      </c>
    </row>
    <row r="186" customFormat="false" ht="16" hidden="false" customHeight="false" outlineLevel="0" collapsed="false">
      <c r="A186" s="1" t="n">
        <v>176</v>
      </c>
      <c r="B186" s="1" t="n">
        <v>-1</v>
      </c>
      <c r="C186" s="1" t="n">
        <v>-1</v>
      </c>
      <c r="D186" s="1" t="n">
        <v>-1</v>
      </c>
      <c r="E186" s="1" t="n">
        <v>-1</v>
      </c>
      <c r="F186" s="1" t="n">
        <v>-1</v>
      </c>
      <c r="G186" s="1" t="n">
        <v>-1</v>
      </c>
      <c r="H186" s="1" t="n">
        <v>-1</v>
      </c>
      <c r="I186" s="1" t="n">
        <v>-1</v>
      </c>
      <c r="J186" s="1" t="n">
        <v>-1</v>
      </c>
      <c r="K186" s="1" t="n">
        <v>-1</v>
      </c>
      <c r="L186" s="1" t="n">
        <f aca="false">IF(M186=M185,L185+L$1,L$3-0.5*L$1*(COUNTIF(M$11:M$1000,M186)-1))</f>
        <v>6.19473684210525</v>
      </c>
      <c r="M186" s="1" t="n">
        <v>4</v>
      </c>
      <c r="O186" s="1" t="n">
        <v>-1</v>
      </c>
      <c r="P186" s="1" t="n">
        <v>-1</v>
      </c>
      <c r="Q186" s="1" t="n">
        <v>-1</v>
      </c>
      <c r="R186" s="1" t="n">
        <v>-1</v>
      </c>
      <c r="S186" s="1" t="n">
        <v>-1</v>
      </c>
      <c r="T186" s="1" t="n">
        <v>-1</v>
      </c>
      <c r="U186" s="1" t="n">
        <v>-1</v>
      </c>
      <c r="V186" s="1" t="n">
        <v>-1</v>
      </c>
      <c r="W186" s="1" t="n">
        <v>-1</v>
      </c>
      <c r="X186" s="1" t="n">
        <v>-1</v>
      </c>
      <c r="Y186" s="1" t="n">
        <f aca="false">IF(Z186=Z185,Y185+Y$1,Y$3-0.5*Y$1*(COUNTIF(Z$11:Z$1000,Z186)-1))</f>
        <v>6.07179487179487</v>
      </c>
      <c r="Z186" s="1" t="n">
        <v>8</v>
      </c>
      <c r="AB186" s="1" t="n">
        <v>176</v>
      </c>
      <c r="AC186" s="1" t="n">
        <f aca="false">IF(AD186=AD185,AC185+AC$1,AC$3-0.5*AC$1*(COUNTIF(AD$11:AD$1000,AD186)-1))</f>
        <v>1.25142857142857</v>
      </c>
      <c r="AD186" s="1" t="n">
        <v>2</v>
      </c>
      <c r="AE186" s="1" t="n">
        <f aca="false">IF(AF186=AF185,AE185+AE$1,AE$3-0.5*AE$1*(COUNTIF(AF$11:AF$1000,AF186)-1))</f>
        <v>2.06153846153846</v>
      </c>
      <c r="AF186" s="1" t="n">
        <v>5</v>
      </c>
      <c r="AG186" s="1" t="n">
        <f aca="false">IF(AH186=AH185,AG185+AG$1,AG$3-0.5*AG$1*(COUNTIF(AH$11:AH$1000,AH186)-1))</f>
        <v>3.03018867924528</v>
      </c>
      <c r="AH186" s="1" t="n">
        <v>6</v>
      </c>
      <c r="AI186" s="1" t="n">
        <v>-1</v>
      </c>
      <c r="AJ186" s="1" t="n">
        <v>-1</v>
      </c>
      <c r="AK186" s="1" t="n">
        <f aca="false">IF(AL186=AL185,AK185+AK$1,AK$3-0.5*AK$1*(COUNTIF(AL$11:AL$1000,AL186)-1))</f>
        <v>5</v>
      </c>
      <c r="AL186" s="1" t="n">
        <v>9</v>
      </c>
      <c r="AN186" s="1" t="n">
        <f aca="false">IF(AO186=AO185,AN185+AN$1,AN$3-0.5*AN$1*(COUNTIF(AO$11:AO$1000,AO186)-1))</f>
        <v>1.35</v>
      </c>
      <c r="AO186" s="1" t="n">
        <v>2</v>
      </c>
      <c r="AP186" s="1" t="n">
        <f aca="false">IF(AQ186=AQ185,AP185+AP$1,AP$3-0.5*AP$1*(COUNTIF(AQ$11:AQ$1000,AQ186)-1))</f>
        <v>2.08510638297872</v>
      </c>
      <c r="AQ186" s="1" t="n">
        <v>6</v>
      </c>
      <c r="AR186" s="1" t="n">
        <f aca="false">IF(AS186=AS185,AR185+AR$1,AR$3-0.5*AR$1*(COUNTIF(AS$11:AS$1000,AS186)-1))</f>
        <v>3.07272727272727</v>
      </c>
      <c r="AS186" s="1" t="n">
        <v>10</v>
      </c>
      <c r="AT186" s="1" t="n">
        <v>-1</v>
      </c>
      <c r="AU186" s="1" t="n">
        <v>-1</v>
      </c>
      <c r="AV186" s="1" t="n">
        <f aca="false">IF(AW186=AW185,AV185+AV$1,AV$3-0.5*AV$1*(COUNTIF(AW$11:AW$1000,AW186)-1))</f>
        <v>5.04285714285714</v>
      </c>
      <c r="AW186" s="1" t="n">
        <v>19</v>
      </c>
      <c r="AY186" s="1" t="n">
        <v>176</v>
      </c>
    </row>
    <row r="187" customFormat="false" ht="16" hidden="false" customHeight="false" outlineLevel="0" collapsed="false">
      <c r="A187" s="1" t="n">
        <v>177</v>
      </c>
      <c r="B187" s="1" t="n">
        <v>-1</v>
      </c>
      <c r="C187" s="1" t="n">
        <v>-1</v>
      </c>
      <c r="D187" s="1" t="n">
        <v>-1</v>
      </c>
      <c r="E187" s="1" t="n">
        <v>-1</v>
      </c>
      <c r="F187" s="1" t="n">
        <v>-1</v>
      </c>
      <c r="G187" s="1" t="n">
        <v>-1</v>
      </c>
      <c r="H187" s="1" t="n">
        <v>-1</v>
      </c>
      <c r="I187" s="1" t="n">
        <v>-1</v>
      </c>
      <c r="J187" s="1" t="n">
        <v>-1</v>
      </c>
      <c r="K187" s="1" t="n">
        <v>-1</v>
      </c>
      <c r="L187" s="1" t="n">
        <f aca="false">IF(M187=M186,L186+L$1,L$3-0.5*L$1*(COUNTIF(M$11:M$1000,M187)-1))</f>
        <v>5.97894736842105</v>
      </c>
      <c r="M187" s="1" t="n">
        <v>5</v>
      </c>
      <c r="O187" s="1" t="n">
        <v>-1</v>
      </c>
      <c r="P187" s="1" t="n">
        <v>-1</v>
      </c>
      <c r="Q187" s="1" t="n">
        <v>-1</v>
      </c>
      <c r="R187" s="1" t="n">
        <v>-1</v>
      </c>
      <c r="S187" s="1" t="n">
        <v>-1</v>
      </c>
      <c r="T187" s="1" t="n">
        <v>-1</v>
      </c>
      <c r="U187" s="1" t="n">
        <v>-1</v>
      </c>
      <c r="V187" s="1" t="n">
        <v>-1</v>
      </c>
      <c r="W187" s="1" t="n">
        <v>-1</v>
      </c>
      <c r="X187" s="1" t="n">
        <v>-1</v>
      </c>
      <c r="Y187" s="1" t="n">
        <f aca="false">IF(Z187=Z186,Y186+Y$1,Y$3-0.5*Y$1*(COUNTIF(Z$11:Z$1000,Z187)-1))</f>
        <v>6.09230769230769</v>
      </c>
      <c r="Z187" s="1" t="n">
        <v>8</v>
      </c>
      <c r="AB187" s="1" t="n">
        <v>177</v>
      </c>
      <c r="AC187" s="1" t="n">
        <f aca="false">IF(AD187=AD186,AC186+AC$1,AC$3-0.5*AC$1*(COUNTIF(AD$11:AD$1000,AD187)-1))</f>
        <v>1.25904761904762</v>
      </c>
      <c r="AD187" s="1" t="n">
        <v>2</v>
      </c>
      <c r="AE187" s="1" t="n">
        <f aca="false">IF(AF187=AF186,AE186+AE$1,AE$3-0.5*AE$1*(COUNTIF(AF$11:AF$1000,AF187)-1))</f>
        <v>2.07692307692308</v>
      </c>
      <c r="AF187" s="1" t="n">
        <v>5</v>
      </c>
      <c r="AG187" s="1" t="n">
        <f aca="false">IF(AH187=AH186,AG186+AG$1,AG$3-0.5*AG$1*(COUNTIF(AH$11:AH$1000,AH187)-1))</f>
        <v>3.04528301886792</v>
      </c>
      <c r="AH187" s="1" t="n">
        <v>6</v>
      </c>
      <c r="AI187" s="1" t="n">
        <v>-1</v>
      </c>
      <c r="AJ187" s="1" t="n">
        <v>-1</v>
      </c>
      <c r="AK187" s="1" t="n">
        <f aca="false">IF(AL187=AL186,AK186+AK$1,AK$3-0.5*AK$1*(COUNTIF(AL$11:AL$1000,AL187)-1))</f>
        <v>4.93898305084746</v>
      </c>
      <c r="AL187" s="1" t="n">
        <v>10</v>
      </c>
      <c r="AN187" s="1" t="n">
        <f aca="false">IF(AO187=AO186,AN186+AN$1,AN$3-0.5*AN$1*(COUNTIF(AO$11:AO$1000,AO187)-1))</f>
        <v>1.35769230769231</v>
      </c>
      <c r="AO187" s="1" t="n">
        <v>2</v>
      </c>
      <c r="AP187" s="1" t="n">
        <f aca="false">IF(AQ187=AQ186,AP186+AP$1,AP$3-0.5*AP$1*(COUNTIF(AQ$11:AQ$1000,AQ187)-1))</f>
        <v>2.10212765957447</v>
      </c>
      <c r="AQ187" s="1" t="n">
        <v>6</v>
      </c>
      <c r="AR187" s="1" t="n">
        <f aca="false">IF(AS187=AS186,AR186+AR$1,AR$3-0.5*AR$1*(COUNTIF(AS$11:AS$1000,AS187)-1))</f>
        <v>3.0969696969697</v>
      </c>
      <c r="AS187" s="1" t="n">
        <v>10</v>
      </c>
      <c r="AT187" s="1" t="n">
        <v>-1</v>
      </c>
      <c r="AU187" s="1" t="n">
        <v>-1</v>
      </c>
      <c r="AV187" s="1" t="n">
        <f aca="false">IF(AW187=AW186,AV186+AV$1,AV$3-0.5*AV$1*(COUNTIF(AW$11:AW$1000,AW187)-1))</f>
        <v>4.9</v>
      </c>
      <c r="AW187" s="1" t="n">
        <v>20</v>
      </c>
      <c r="AY187" s="1" t="n">
        <v>177</v>
      </c>
    </row>
    <row r="188" customFormat="false" ht="16" hidden="false" customHeight="false" outlineLevel="0" collapsed="false">
      <c r="A188" s="1" t="n">
        <v>178</v>
      </c>
      <c r="B188" s="1" t="n">
        <v>-1</v>
      </c>
      <c r="C188" s="1" t="n">
        <v>-1</v>
      </c>
      <c r="D188" s="1" t="n">
        <v>-1</v>
      </c>
      <c r="E188" s="1" t="n">
        <v>-1</v>
      </c>
      <c r="F188" s="1" t="n">
        <v>-1</v>
      </c>
      <c r="G188" s="1" t="n">
        <v>-1</v>
      </c>
      <c r="H188" s="1" t="n">
        <v>-1</v>
      </c>
      <c r="I188" s="1" t="n">
        <v>-1</v>
      </c>
      <c r="J188" s="1" t="n">
        <v>-1</v>
      </c>
      <c r="K188" s="1" t="n">
        <v>-1</v>
      </c>
      <c r="L188" s="1" t="n">
        <f aca="false">IF(M188=M187,L187+L$1,L$3-0.5*L$1*(COUNTIF(M$11:M$1000,M188)-1))</f>
        <v>5.98947368421053</v>
      </c>
      <c r="M188" s="1" t="n">
        <v>5</v>
      </c>
      <c r="O188" s="1" t="n">
        <v>-1</v>
      </c>
      <c r="P188" s="1" t="n">
        <v>-1</v>
      </c>
      <c r="Q188" s="1" t="n">
        <v>-1</v>
      </c>
      <c r="R188" s="1" t="n">
        <v>-1</v>
      </c>
      <c r="S188" s="1" t="n">
        <v>-1</v>
      </c>
      <c r="T188" s="1" t="n">
        <v>-1</v>
      </c>
      <c r="U188" s="1" t="n">
        <v>-1</v>
      </c>
      <c r="V188" s="1" t="n">
        <v>-1</v>
      </c>
      <c r="W188" s="1" t="n">
        <v>-1</v>
      </c>
      <c r="X188" s="1" t="n">
        <v>-1</v>
      </c>
      <c r="Y188" s="1" t="n">
        <f aca="false">IF(Z188=Z187,Y187+Y$1,Y$3-0.5*Y$1*(COUNTIF(Z$11:Z$1000,Z188)-1))</f>
        <v>5.94871794871795</v>
      </c>
      <c r="Z188" s="1" t="n">
        <v>9</v>
      </c>
      <c r="AB188" s="1" t="n">
        <v>178</v>
      </c>
      <c r="AC188" s="1" t="n">
        <f aca="false">IF(AD188=AD187,AC187+AC$1,AC$3-0.5*AC$1*(COUNTIF(AD$11:AD$1000,AD188)-1))</f>
        <v>1.26666666666667</v>
      </c>
      <c r="AD188" s="1" t="n">
        <v>2</v>
      </c>
      <c r="AE188" s="1" t="n">
        <f aca="false">IF(AF188=AF187,AE187+AE$1,AE$3-0.5*AE$1*(COUNTIF(AF$11:AF$1000,AF188)-1))</f>
        <v>1.93076923076923</v>
      </c>
      <c r="AF188" s="1" t="n">
        <v>6</v>
      </c>
      <c r="AG188" s="1" t="n">
        <f aca="false">IF(AH188=AH187,AG187+AG$1,AG$3-0.5*AG$1*(COUNTIF(AH$11:AH$1000,AH188)-1))</f>
        <v>3.06037735849057</v>
      </c>
      <c r="AH188" s="1" t="n">
        <v>6</v>
      </c>
      <c r="AI188" s="1" t="n">
        <v>-1</v>
      </c>
      <c r="AJ188" s="1" t="n">
        <v>-1</v>
      </c>
      <c r="AK188" s="1" t="n">
        <f aca="false">IF(AL188=AL187,AK187+AK$1,AK$3-0.5*AK$1*(COUNTIF(AL$11:AL$1000,AL188)-1))</f>
        <v>4.95254237288136</v>
      </c>
      <c r="AL188" s="1" t="n">
        <v>10</v>
      </c>
      <c r="AN188" s="1" t="n">
        <f aca="false">IF(AO188=AO187,AN187+AN$1,AN$3-0.5*AN$1*(COUNTIF(AO$11:AO$1000,AO188)-1))</f>
        <v>1.36538461538461</v>
      </c>
      <c r="AO188" s="1" t="n">
        <v>2</v>
      </c>
      <c r="AP188" s="1" t="n">
        <f aca="false">IF(AQ188=AQ187,AP187+AP$1,AP$3-0.5*AP$1*(COUNTIF(AQ$11:AQ$1000,AQ188)-1))</f>
        <v>2.11914893617021</v>
      </c>
      <c r="AQ188" s="1" t="n">
        <v>6</v>
      </c>
      <c r="AR188" s="1" t="n">
        <f aca="false">IF(AS188=AS187,AR187+AR$1,AR$3-0.5*AR$1*(COUNTIF(AS$11:AS$1000,AS188)-1))</f>
        <v>3.12121212121212</v>
      </c>
      <c r="AS188" s="1" t="n">
        <v>10</v>
      </c>
      <c r="AT188" s="1" t="n">
        <v>-1</v>
      </c>
      <c r="AU188" s="1" t="n">
        <v>-1</v>
      </c>
      <c r="AV188" s="1" t="n">
        <f aca="false">IF(AW188=AW187,AV187+AV$1,AV$3-0.5*AV$1*(COUNTIF(AW$11:AW$1000,AW188)-1))</f>
        <v>4.92857142857143</v>
      </c>
      <c r="AW188" s="1" t="n">
        <v>20</v>
      </c>
      <c r="AY188" s="1" t="n">
        <v>178</v>
      </c>
    </row>
    <row r="189" customFormat="false" ht="16" hidden="false" customHeight="false" outlineLevel="0" collapsed="false">
      <c r="A189" s="1" t="n">
        <v>179</v>
      </c>
      <c r="B189" s="1" t="n">
        <v>-1</v>
      </c>
      <c r="C189" s="1" t="n">
        <v>-1</v>
      </c>
      <c r="D189" s="1" t="n">
        <v>-1</v>
      </c>
      <c r="E189" s="1" t="n">
        <v>-1</v>
      </c>
      <c r="F189" s="1" t="n">
        <v>-1</v>
      </c>
      <c r="G189" s="1" t="n">
        <v>-1</v>
      </c>
      <c r="H189" s="1" t="n">
        <v>-1</v>
      </c>
      <c r="I189" s="1" t="n">
        <v>-1</v>
      </c>
      <c r="J189" s="1" t="n">
        <v>-1</v>
      </c>
      <c r="K189" s="1" t="n">
        <v>-1</v>
      </c>
      <c r="L189" s="1" t="n">
        <f aca="false">IF(M189=M188,L188+L$1,L$3-0.5*L$1*(COUNTIF(M$11:M$1000,M189)-1))</f>
        <v>6</v>
      </c>
      <c r="M189" s="1" t="n">
        <v>5</v>
      </c>
      <c r="O189" s="1" t="n">
        <v>-1</v>
      </c>
      <c r="P189" s="1" t="n">
        <v>-1</v>
      </c>
      <c r="Q189" s="1" t="n">
        <v>-1</v>
      </c>
      <c r="R189" s="1" t="n">
        <v>-1</v>
      </c>
      <c r="S189" s="1" t="n">
        <v>-1</v>
      </c>
      <c r="T189" s="1" t="n">
        <v>-1</v>
      </c>
      <c r="U189" s="1" t="n">
        <v>-1</v>
      </c>
      <c r="V189" s="1" t="n">
        <v>-1</v>
      </c>
      <c r="W189" s="1" t="n">
        <v>-1</v>
      </c>
      <c r="X189" s="1" t="n">
        <v>-1</v>
      </c>
      <c r="Y189" s="1" t="n">
        <f aca="false">IF(Z189=Z188,Y188+Y$1,Y$3-0.5*Y$1*(COUNTIF(Z$11:Z$1000,Z189)-1))</f>
        <v>5.96923076923077</v>
      </c>
      <c r="Z189" s="1" t="n">
        <v>9</v>
      </c>
      <c r="AB189" s="1" t="n">
        <v>179</v>
      </c>
      <c r="AC189" s="1" t="n">
        <f aca="false">IF(AD189=AD188,AC188+AC$1,AC$3-0.5*AC$1*(COUNTIF(AD$11:AD$1000,AD189)-1))</f>
        <v>1.27428571428572</v>
      </c>
      <c r="AD189" s="1" t="n">
        <v>2</v>
      </c>
      <c r="AE189" s="1" t="n">
        <f aca="false">IF(AF189=AF188,AE188+AE$1,AE$3-0.5*AE$1*(COUNTIF(AF$11:AF$1000,AF189)-1))</f>
        <v>1.94615384615385</v>
      </c>
      <c r="AF189" s="1" t="n">
        <v>6</v>
      </c>
      <c r="AG189" s="1" t="n">
        <f aca="false">IF(AH189=AH188,AG188+AG$1,AG$3-0.5*AG$1*(COUNTIF(AH$11:AH$1000,AH189)-1))</f>
        <v>3.07547169811321</v>
      </c>
      <c r="AH189" s="1" t="n">
        <v>6</v>
      </c>
      <c r="AI189" s="1" t="n">
        <v>-1</v>
      </c>
      <c r="AJ189" s="1" t="n">
        <v>-1</v>
      </c>
      <c r="AK189" s="1" t="n">
        <f aca="false">IF(AL189=AL188,AK188+AK$1,AK$3-0.5*AK$1*(COUNTIF(AL$11:AL$1000,AL189)-1))</f>
        <v>4.96610169491525</v>
      </c>
      <c r="AL189" s="1" t="n">
        <v>10</v>
      </c>
      <c r="AN189" s="1" t="n">
        <f aca="false">IF(AO189=AO188,AN188+AN$1,AN$3-0.5*AN$1*(COUNTIF(AO$11:AO$1000,AO189)-1))</f>
        <v>1.37307692307692</v>
      </c>
      <c r="AO189" s="1" t="n">
        <v>2</v>
      </c>
      <c r="AP189" s="1" t="n">
        <f aca="false">IF(AQ189=AQ188,AP188+AP$1,AP$3-0.5*AP$1*(COUNTIF(AQ$11:AQ$1000,AQ189)-1))</f>
        <v>2.13617021276596</v>
      </c>
      <c r="AQ189" s="1" t="n">
        <v>6</v>
      </c>
      <c r="AR189" s="1" t="n">
        <f aca="false">IF(AS189=AS188,AR188+AR$1,AR$3-0.5*AR$1*(COUNTIF(AS$11:AS$1000,AS189)-1))</f>
        <v>3.14545454545455</v>
      </c>
      <c r="AS189" s="1" t="n">
        <v>10</v>
      </c>
      <c r="AT189" s="1" t="n">
        <v>-1</v>
      </c>
      <c r="AU189" s="1" t="n">
        <v>-1</v>
      </c>
      <c r="AV189" s="1" t="n">
        <f aca="false">IF(AW189=AW188,AV188+AV$1,AV$3-0.5*AV$1*(COUNTIF(AW$11:AW$1000,AW189)-1))</f>
        <v>4.95714285714286</v>
      </c>
      <c r="AW189" s="1" t="n">
        <v>20</v>
      </c>
      <c r="AY189" s="1" t="n">
        <v>179</v>
      </c>
    </row>
    <row r="190" customFormat="false" ht="16" hidden="false" customHeight="false" outlineLevel="0" collapsed="false">
      <c r="A190" s="1" t="n">
        <v>180</v>
      </c>
      <c r="B190" s="1" t="n">
        <v>-1</v>
      </c>
      <c r="C190" s="1" t="n">
        <v>-1</v>
      </c>
      <c r="D190" s="1" t="n">
        <v>-1</v>
      </c>
      <c r="E190" s="1" t="n">
        <v>-1</v>
      </c>
      <c r="F190" s="1" t="n">
        <v>-1</v>
      </c>
      <c r="G190" s="1" t="n">
        <v>-1</v>
      </c>
      <c r="H190" s="1" t="n">
        <v>-1</v>
      </c>
      <c r="I190" s="1" t="n">
        <v>-1</v>
      </c>
      <c r="J190" s="1" t="n">
        <v>-1</v>
      </c>
      <c r="K190" s="1" t="n">
        <v>-1</v>
      </c>
      <c r="L190" s="1" t="n">
        <f aca="false">IF(M190=M189,L189+L$1,L$3-0.5*L$1*(COUNTIF(M$11:M$1000,M190)-1))</f>
        <v>6.01052631578947</v>
      </c>
      <c r="M190" s="1" t="n">
        <v>5</v>
      </c>
      <c r="O190" s="1" t="n">
        <v>-1</v>
      </c>
      <c r="P190" s="1" t="n">
        <v>-1</v>
      </c>
      <c r="Q190" s="1" t="n">
        <v>-1</v>
      </c>
      <c r="R190" s="1" t="n">
        <v>-1</v>
      </c>
      <c r="S190" s="1" t="n">
        <v>-1</v>
      </c>
      <c r="T190" s="1" t="n">
        <v>-1</v>
      </c>
      <c r="U190" s="1" t="n">
        <v>-1</v>
      </c>
      <c r="V190" s="1" t="n">
        <v>-1</v>
      </c>
      <c r="W190" s="1" t="n">
        <v>-1</v>
      </c>
      <c r="X190" s="1" t="n">
        <v>-1</v>
      </c>
      <c r="Y190" s="1" t="n">
        <f aca="false">IF(Z190=Z189,Y189+Y$1,Y$3-0.5*Y$1*(COUNTIF(Z$11:Z$1000,Z190)-1))</f>
        <v>5.98974358974359</v>
      </c>
      <c r="Z190" s="1" t="n">
        <v>9</v>
      </c>
      <c r="AB190" s="1" t="n">
        <v>180</v>
      </c>
      <c r="AC190" s="1" t="n">
        <f aca="false">IF(AD190=AD189,AC189+AC$1,AC$3-0.5*AC$1*(COUNTIF(AD$11:AD$1000,AD190)-1))</f>
        <v>1.28190476190476</v>
      </c>
      <c r="AD190" s="1" t="n">
        <v>2</v>
      </c>
      <c r="AE190" s="1" t="n">
        <f aca="false">IF(AF190=AF189,AE189+AE$1,AE$3-0.5*AE$1*(COUNTIF(AF$11:AF$1000,AF190)-1))</f>
        <v>1.96153846153846</v>
      </c>
      <c r="AF190" s="1" t="n">
        <v>6</v>
      </c>
      <c r="AG190" s="1" t="n">
        <f aca="false">IF(AH190=AH189,AG189+AG$1,AG$3-0.5*AG$1*(COUNTIF(AH$11:AH$1000,AH190)-1))</f>
        <v>3.09056603773585</v>
      </c>
      <c r="AH190" s="1" t="n">
        <v>6</v>
      </c>
      <c r="AI190" s="1" t="n">
        <v>-1</v>
      </c>
      <c r="AJ190" s="1" t="n">
        <v>-1</v>
      </c>
      <c r="AK190" s="1" t="n">
        <f aca="false">IF(AL190=AL189,AK189+AK$1,AK$3-0.5*AK$1*(COUNTIF(AL$11:AL$1000,AL190)-1))</f>
        <v>4.97966101694915</v>
      </c>
      <c r="AL190" s="1" t="n">
        <v>10</v>
      </c>
      <c r="AN190" s="1" t="n">
        <f aca="false">IF(AO190=AO189,AN189+AN$1,AN$3-0.5*AN$1*(COUNTIF(AO$11:AO$1000,AO190)-1))</f>
        <v>1.38076923076923</v>
      </c>
      <c r="AO190" s="1" t="n">
        <v>2</v>
      </c>
      <c r="AP190" s="1" t="n">
        <f aca="false">IF(AQ190=AQ189,AP189+AP$1,AP$3-0.5*AP$1*(COUNTIF(AQ$11:AQ$1000,AQ190)-1))</f>
        <v>1.94042553191489</v>
      </c>
      <c r="AQ190" s="1" t="n">
        <v>7</v>
      </c>
      <c r="AR190" s="1" t="n">
        <f aca="false">IF(AS190=AS189,AR189+AR$1,AR$3-0.5*AR$1*(COUNTIF(AS$11:AS$1000,AS190)-1))</f>
        <v>3.16969696969697</v>
      </c>
      <c r="AS190" s="1" t="n">
        <v>10</v>
      </c>
      <c r="AT190" s="1" t="n">
        <v>-1</v>
      </c>
      <c r="AU190" s="1" t="n">
        <v>-1</v>
      </c>
      <c r="AV190" s="1" t="n">
        <f aca="false">IF(AW190=AW189,AV189+AV$1,AV$3-0.5*AV$1*(COUNTIF(AW$11:AW$1000,AW190)-1))</f>
        <v>4.98571428571429</v>
      </c>
      <c r="AW190" s="1" t="n">
        <v>20</v>
      </c>
      <c r="AY190" s="1" t="n">
        <v>180</v>
      </c>
    </row>
    <row r="191" customFormat="false" ht="16" hidden="false" customHeight="false" outlineLevel="0" collapsed="false">
      <c r="A191" s="1" t="n">
        <v>181</v>
      </c>
      <c r="B191" s="1" t="n">
        <v>-1</v>
      </c>
      <c r="C191" s="1" t="n">
        <v>-1</v>
      </c>
      <c r="D191" s="1" t="n">
        <v>-1</v>
      </c>
      <c r="E191" s="1" t="n">
        <v>-1</v>
      </c>
      <c r="F191" s="1" t="n">
        <v>-1</v>
      </c>
      <c r="G191" s="1" t="n">
        <v>-1</v>
      </c>
      <c r="H191" s="1" t="n">
        <v>-1</v>
      </c>
      <c r="I191" s="1" t="n">
        <v>-1</v>
      </c>
      <c r="J191" s="1" t="n">
        <v>-1</v>
      </c>
      <c r="K191" s="1" t="n">
        <v>-1</v>
      </c>
      <c r="L191" s="1" t="n">
        <f aca="false">IF(M191=M190,L190+L$1,L$3-0.5*L$1*(COUNTIF(M$11:M$1000,M191)-1))</f>
        <v>6.02105263157895</v>
      </c>
      <c r="M191" s="1" t="n">
        <v>5</v>
      </c>
      <c r="O191" s="1" t="n">
        <v>-1</v>
      </c>
      <c r="P191" s="1" t="n">
        <v>-1</v>
      </c>
      <c r="Q191" s="1" t="n">
        <v>-1</v>
      </c>
      <c r="R191" s="1" t="n">
        <v>-1</v>
      </c>
      <c r="S191" s="1" t="n">
        <v>-1</v>
      </c>
      <c r="T191" s="1" t="n">
        <v>-1</v>
      </c>
      <c r="U191" s="1" t="n">
        <v>-1</v>
      </c>
      <c r="V191" s="1" t="n">
        <v>-1</v>
      </c>
      <c r="W191" s="1" t="n">
        <v>-1</v>
      </c>
      <c r="X191" s="1" t="n">
        <v>-1</v>
      </c>
      <c r="Y191" s="1" t="n">
        <f aca="false">IF(Z191=Z190,Y190+Y$1,Y$3-0.5*Y$1*(COUNTIF(Z$11:Z$1000,Z191)-1))</f>
        <v>6.01025641025641</v>
      </c>
      <c r="Z191" s="1" t="n">
        <v>9</v>
      </c>
      <c r="AB191" s="1" t="n">
        <v>181</v>
      </c>
      <c r="AC191" s="1" t="n">
        <f aca="false">IF(AD191=AD190,AC190+AC$1,AC$3-0.5*AC$1*(COUNTIF(AD$11:AD$1000,AD191)-1))</f>
        <v>1.28952380952381</v>
      </c>
      <c r="AD191" s="1" t="n">
        <v>2</v>
      </c>
      <c r="AE191" s="1" t="n">
        <f aca="false">IF(AF191=AF190,AE190+AE$1,AE$3-0.5*AE$1*(COUNTIF(AF$11:AF$1000,AF191)-1))</f>
        <v>1.97692307692308</v>
      </c>
      <c r="AF191" s="1" t="n">
        <v>6</v>
      </c>
      <c r="AG191" s="1" t="n">
        <f aca="false">IF(AH191=AH190,AG190+AG$1,AG$3-0.5*AG$1*(COUNTIF(AH$11:AH$1000,AH191)-1))</f>
        <v>3.10566037735849</v>
      </c>
      <c r="AH191" s="1" t="n">
        <v>6</v>
      </c>
      <c r="AI191" s="1" t="n">
        <v>-1</v>
      </c>
      <c r="AJ191" s="1" t="n">
        <v>-1</v>
      </c>
      <c r="AK191" s="1" t="n">
        <f aca="false">IF(AL191=AL190,AK190+AK$1,AK$3-0.5*AK$1*(COUNTIF(AL$11:AL$1000,AL191)-1))</f>
        <v>4.99322033898305</v>
      </c>
      <c r="AL191" s="1" t="n">
        <v>10</v>
      </c>
      <c r="AN191" s="1" t="n">
        <f aca="false">IF(AO191=AO190,AN190+AN$1,AN$3-0.5*AN$1*(COUNTIF(AO$11:AO$1000,AO191)-1))</f>
        <v>1.38846153846154</v>
      </c>
      <c r="AO191" s="1" t="n">
        <v>2</v>
      </c>
      <c r="AP191" s="1" t="n">
        <f aca="false">IF(AQ191=AQ190,AP190+AP$1,AP$3-0.5*AP$1*(COUNTIF(AQ$11:AQ$1000,AQ191)-1))</f>
        <v>1.95744680851064</v>
      </c>
      <c r="AQ191" s="1" t="n">
        <v>7</v>
      </c>
      <c r="AR191" s="1" t="n">
        <f aca="false">IF(AS191=AS190,AR190+AR$1,AR$3-0.5*AR$1*(COUNTIF(AS$11:AS$1000,AS191)-1))</f>
        <v>2.98787878787879</v>
      </c>
      <c r="AS191" s="1" t="n">
        <v>11</v>
      </c>
      <c r="AT191" s="1" t="n">
        <v>-1</v>
      </c>
      <c r="AU191" s="1" t="n">
        <v>-1</v>
      </c>
      <c r="AV191" s="1" t="n">
        <f aca="false">IF(AW191=AW190,AV190+AV$1,AV$3-0.5*AV$1*(COUNTIF(AW$11:AW$1000,AW191)-1))</f>
        <v>5.01428571428571</v>
      </c>
      <c r="AW191" s="1" t="n">
        <v>20</v>
      </c>
      <c r="AY191" s="1" t="n">
        <v>181</v>
      </c>
    </row>
    <row r="192" customFormat="false" ht="16" hidden="false" customHeight="false" outlineLevel="0" collapsed="false">
      <c r="A192" s="1" t="n">
        <v>182</v>
      </c>
      <c r="B192" s="1" t="n">
        <v>-1</v>
      </c>
      <c r="C192" s="1" t="n">
        <v>-1</v>
      </c>
      <c r="D192" s="1" t="n">
        <v>-1</v>
      </c>
      <c r="E192" s="1" t="n">
        <v>-1</v>
      </c>
      <c r="F192" s="1" t="n">
        <v>-1</v>
      </c>
      <c r="G192" s="1" t="n">
        <v>-1</v>
      </c>
      <c r="H192" s="1" t="n">
        <v>-1</v>
      </c>
      <c r="I192" s="1" t="n">
        <v>-1</v>
      </c>
      <c r="J192" s="1" t="n">
        <v>-1</v>
      </c>
      <c r="K192" s="1" t="n">
        <v>-1</v>
      </c>
      <c r="L192" s="1" t="n">
        <f aca="false">IF(M192=M191,L191+L$1,L$3-0.5*L$1*(COUNTIF(M$11:M$1000,M192)-1))</f>
        <v>5.95789473684211</v>
      </c>
      <c r="M192" s="1" t="n">
        <v>6</v>
      </c>
      <c r="O192" s="1" t="n">
        <v>-1</v>
      </c>
      <c r="P192" s="1" t="n">
        <v>-1</v>
      </c>
      <c r="Q192" s="1" t="n">
        <v>-1</v>
      </c>
      <c r="R192" s="1" t="n">
        <v>-1</v>
      </c>
      <c r="S192" s="1" t="n">
        <v>-1</v>
      </c>
      <c r="T192" s="1" t="n">
        <v>-1</v>
      </c>
      <c r="U192" s="1" t="n">
        <v>-1</v>
      </c>
      <c r="V192" s="1" t="n">
        <v>-1</v>
      </c>
      <c r="W192" s="1" t="n">
        <v>-1</v>
      </c>
      <c r="X192" s="1" t="n">
        <v>-1</v>
      </c>
      <c r="Y192" s="1" t="n">
        <f aca="false">IF(Z192=Z191,Y191+Y$1,Y$3-0.5*Y$1*(COUNTIF(Z$11:Z$1000,Z192)-1))</f>
        <v>6.03076923076923</v>
      </c>
      <c r="Z192" s="1" t="n">
        <v>9</v>
      </c>
      <c r="AB192" s="1" t="n">
        <v>182</v>
      </c>
      <c r="AC192" s="1" t="n">
        <f aca="false">IF(AD192=AD191,AC191+AC$1,AC$3-0.5*AC$1*(COUNTIF(AD$11:AD$1000,AD192)-1))</f>
        <v>1.29714285714286</v>
      </c>
      <c r="AD192" s="1" t="n">
        <v>2</v>
      </c>
      <c r="AE192" s="1" t="n">
        <f aca="false">IF(AF192=AF191,AE191+AE$1,AE$3-0.5*AE$1*(COUNTIF(AF$11:AF$1000,AF192)-1))</f>
        <v>1.99230769230769</v>
      </c>
      <c r="AF192" s="1" t="n">
        <v>6</v>
      </c>
      <c r="AG192" s="1" t="n">
        <f aca="false">IF(AH192=AH191,AG191+AG$1,AG$3-0.5*AG$1*(COUNTIF(AH$11:AH$1000,AH192)-1))</f>
        <v>3.12075471698113</v>
      </c>
      <c r="AH192" s="1" t="n">
        <v>6</v>
      </c>
      <c r="AI192" s="1" t="n">
        <v>-1</v>
      </c>
      <c r="AJ192" s="1" t="n">
        <v>-1</v>
      </c>
      <c r="AK192" s="1" t="n">
        <f aca="false">IF(AL192=AL191,AK191+AK$1,AK$3-0.5*AK$1*(COUNTIF(AL$11:AL$1000,AL192)-1))</f>
        <v>5.00677966101695</v>
      </c>
      <c r="AL192" s="1" t="n">
        <v>10</v>
      </c>
      <c r="AN192" s="1" t="n">
        <f aca="false">IF(AO192=AO191,AN191+AN$1,AN$3-0.5*AN$1*(COUNTIF(AO$11:AO$1000,AO192)-1))</f>
        <v>1.39615384615384</v>
      </c>
      <c r="AO192" s="1" t="n">
        <v>2</v>
      </c>
      <c r="AP192" s="1" t="n">
        <f aca="false">IF(AQ192=AQ191,AP191+AP$1,AP$3-0.5*AP$1*(COUNTIF(AQ$11:AQ$1000,AQ192)-1))</f>
        <v>1.97446808510638</v>
      </c>
      <c r="AQ192" s="1" t="n">
        <v>7</v>
      </c>
      <c r="AR192" s="1" t="n">
        <f aca="false">IF(AS192=AS191,AR191+AR$1,AR$3-0.5*AR$1*(COUNTIF(AS$11:AS$1000,AS192)-1))</f>
        <v>3.01212121212121</v>
      </c>
      <c r="AS192" s="1" t="n">
        <v>11</v>
      </c>
      <c r="AT192" s="1" t="n">
        <v>-1</v>
      </c>
      <c r="AU192" s="1" t="n">
        <v>-1</v>
      </c>
      <c r="AV192" s="1" t="n">
        <f aca="false">IF(AW192=AW191,AV191+AV$1,AV$3-0.5*AV$1*(COUNTIF(AW$11:AW$1000,AW192)-1))</f>
        <v>5.04285714285714</v>
      </c>
      <c r="AW192" s="1" t="n">
        <v>20</v>
      </c>
      <c r="AY192" s="1" t="n">
        <v>182</v>
      </c>
    </row>
    <row r="193" customFormat="false" ht="16" hidden="false" customHeight="false" outlineLevel="0" collapsed="false">
      <c r="A193" s="1" t="n">
        <v>183</v>
      </c>
      <c r="B193" s="1" t="n">
        <v>-1</v>
      </c>
      <c r="C193" s="1" t="n">
        <v>-1</v>
      </c>
      <c r="D193" s="1" t="n">
        <v>-1</v>
      </c>
      <c r="E193" s="1" t="n">
        <v>-1</v>
      </c>
      <c r="F193" s="1" t="n">
        <v>-1</v>
      </c>
      <c r="G193" s="1" t="n">
        <v>-1</v>
      </c>
      <c r="H193" s="1" t="n">
        <v>-1</v>
      </c>
      <c r="I193" s="1" t="n">
        <v>-1</v>
      </c>
      <c r="J193" s="1" t="n">
        <v>-1</v>
      </c>
      <c r="K193" s="1" t="n">
        <v>-1</v>
      </c>
      <c r="L193" s="1" t="n">
        <f aca="false">IF(M193=M192,L192+L$1,L$3-0.5*L$1*(COUNTIF(M$11:M$1000,M193)-1))</f>
        <v>5.96842105263158</v>
      </c>
      <c r="M193" s="1" t="n">
        <v>6</v>
      </c>
      <c r="O193" s="1" t="n">
        <v>-1</v>
      </c>
      <c r="P193" s="1" t="n">
        <v>-1</v>
      </c>
      <c r="Q193" s="1" t="n">
        <v>-1</v>
      </c>
      <c r="R193" s="1" t="n">
        <v>-1</v>
      </c>
      <c r="S193" s="1" t="n">
        <v>-1</v>
      </c>
      <c r="T193" s="1" t="n">
        <v>-1</v>
      </c>
      <c r="U193" s="1" t="n">
        <v>-1</v>
      </c>
      <c r="V193" s="1" t="n">
        <v>-1</v>
      </c>
      <c r="W193" s="1" t="n">
        <v>-1</v>
      </c>
      <c r="X193" s="1" t="n">
        <v>-1</v>
      </c>
      <c r="Y193" s="1" t="n">
        <f aca="false">IF(Z193=Z192,Y192+Y$1,Y$3-0.5*Y$1*(COUNTIF(Z$11:Z$1000,Z193)-1))</f>
        <v>6.05128205128205</v>
      </c>
      <c r="Z193" s="1" t="n">
        <v>9</v>
      </c>
      <c r="AB193" s="1" t="n">
        <v>183</v>
      </c>
      <c r="AC193" s="1" t="n">
        <f aca="false">IF(AD193=AD192,AC192+AC$1,AC$3-0.5*AC$1*(COUNTIF(AD$11:AD$1000,AD193)-1))</f>
        <v>1.30476190476191</v>
      </c>
      <c r="AD193" s="1" t="n">
        <v>2</v>
      </c>
      <c r="AE193" s="1" t="n">
        <f aca="false">IF(AF193=AF192,AE192+AE$1,AE$3-0.5*AE$1*(COUNTIF(AF$11:AF$1000,AF193)-1))</f>
        <v>2.00769230769231</v>
      </c>
      <c r="AF193" s="1" t="n">
        <v>6</v>
      </c>
      <c r="AG193" s="1" t="n">
        <f aca="false">IF(AH193=AH192,AG192+AG$1,AG$3-0.5*AG$1*(COUNTIF(AH$11:AH$1000,AH193)-1))</f>
        <v>2.96981132075472</v>
      </c>
      <c r="AH193" s="1" t="n">
        <v>7</v>
      </c>
      <c r="AI193" s="1" t="n">
        <v>-1</v>
      </c>
      <c r="AJ193" s="1" t="n">
        <v>-1</v>
      </c>
      <c r="AK193" s="1" t="n">
        <f aca="false">IF(AL193=AL192,AK192+AK$1,AK$3-0.5*AK$1*(COUNTIF(AL$11:AL$1000,AL193)-1))</f>
        <v>5.02033898305085</v>
      </c>
      <c r="AL193" s="1" t="n">
        <v>10</v>
      </c>
      <c r="AN193" s="1" t="n">
        <f aca="false">IF(AO193=AO192,AN192+AN$1,AN$3-0.5*AN$1*(COUNTIF(AO$11:AO$1000,AO193)-1))</f>
        <v>0.857692307692308</v>
      </c>
      <c r="AO193" s="1" t="n">
        <v>3</v>
      </c>
      <c r="AP193" s="1" t="n">
        <f aca="false">IF(AQ193=AQ192,AP192+AP$1,AP$3-0.5*AP$1*(COUNTIF(AQ$11:AQ$1000,AQ193)-1))</f>
        <v>1.99148936170213</v>
      </c>
      <c r="AQ193" s="1" t="n">
        <v>7</v>
      </c>
      <c r="AR193" s="1" t="n">
        <f aca="false">IF(AS193=AS192,AR192+AR$1,AR$3-0.5*AR$1*(COUNTIF(AS$11:AS$1000,AS193)-1))</f>
        <v>2.95151515151515</v>
      </c>
      <c r="AS193" s="1" t="n">
        <v>12</v>
      </c>
      <c r="AT193" s="1" t="n">
        <v>-1</v>
      </c>
      <c r="AU193" s="1" t="n">
        <v>-1</v>
      </c>
      <c r="AV193" s="1" t="n">
        <f aca="false">IF(AW193=AW192,AV192+AV$1,AV$3-0.5*AV$1*(COUNTIF(AW$11:AW$1000,AW193)-1))</f>
        <v>5.07142857142857</v>
      </c>
      <c r="AW193" s="1" t="n">
        <v>20</v>
      </c>
      <c r="AY193" s="1" t="n">
        <v>183</v>
      </c>
    </row>
    <row r="194" customFormat="false" ht="16" hidden="false" customHeight="false" outlineLevel="0" collapsed="false">
      <c r="A194" s="1" t="n">
        <v>184</v>
      </c>
      <c r="B194" s="1" t="n">
        <v>-1</v>
      </c>
      <c r="C194" s="1" t="n">
        <v>-1</v>
      </c>
      <c r="D194" s="1" t="n">
        <v>-1</v>
      </c>
      <c r="E194" s="1" t="n">
        <v>-1</v>
      </c>
      <c r="F194" s="1" t="n">
        <v>-1</v>
      </c>
      <c r="G194" s="1" t="n">
        <v>-1</v>
      </c>
      <c r="H194" s="1" t="n">
        <v>-1</v>
      </c>
      <c r="I194" s="1" t="n">
        <v>-1</v>
      </c>
      <c r="J194" s="1" t="n">
        <v>-1</v>
      </c>
      <c r="K194" s="1" t="n">
        <v>-1</v>
      </c>
      <c r="L194" s="1" t="n">
        <f aca="false">IF(M194=M193,L193+L$1,L$3-0.5*L$1*(COUNTIF(M$11:M$1000,M194)-1))</f>
        <v>5.97894736842105</v>
      </c>
      <c r="M194" s="1" t="n">
        <v>6</v>
      </c>
      <c r="O194" s="1" t="n">
        <v>-1</v>
      </c>
      <c r="P194" s="1" t="n">
        <v>-1</v>
      </c>
      <c r="Q194" s="1" t="n">
        <v>-1</v>
      </c>
      <c r="R194" s="1" t="n">
        <v>-1</v>
      </c>
      <c r="S194" s="1" t="n">
        <v>-1</v>
      </c>
      <c r="T194" s="1" t="n">
        <v>-1</v>
      </c>
      <c r="U194" s="1" t="n">
        <v>-1</v>
      </c>
      <c r="V194" s="1" t="n">
        <v>-1</v>
      </c>
      <c r="W194" s="1" t="n">
        <v>-1</v>
      </c>
      <c r="X194" s="1" t="n">
        <v>-1</v>
      </c>
      <c r="Y194" s="1" t="n">
        <f aca="false">IF(Z194=Z193,Y193+Y$1,Y$3-0.5*Y$1*(COUNTIF(Z$11:Z$1000,Z194)-1))</f>
        <v>5.94871794871795</v>
      </c>
      <c r="Z194" s="1" t="n">
        <v>10</v>
      </c>
      <c r="AB194" s="1" t="n">
        <v>184</v>
      </c>
      <c r="AC194" s="1" t="n">
        <f aca="false">IF(AD194=AD193,AC193+AC$1,AC$3-0.5*AC$1*(COUNTIF(AD$11:AD$1000,AD194)-1))</f>
        <v>1.31238095238095</v>
      </c>
      <c r="AD194" s="1" t="n">
        <v>2</v>
      </c>
      <c r="AE194" s="1" t="n">
        <f aca="false">IF(AF194=AF193,AE193+AE$1,AE$3-0.5*AE$1*(COUNTIF(AF$11:AF$1000,AF194)-1))</f>
        <v>2.02307692307692</v>
      </c>
      <c r="AF194" s="1" t="n">
        <v>6</v>
      </c>
      <c r="AG194" s="1" t="n">
        <f aca="false">IF(AH194=AH193,AG193+AG$1,AG$3-0.5*AG$1*(COUNTIF(AH$11:AH$1000,AH194)-1))</f>
        <v>2.98490566037736</v>
      </c>
      <c r="AH194" s="1" t="n">
        <v>7</v>
      </c>
      <c r="AI194" s="1" t="n">
        <v>-1</v>
      </c>
      <c r="AJ194" s="1" t="n">
        <v>-1</v>
      </c>
      <c r="AK194" s="1" t="n">
        <f aca="false">IF(AL194=AL193,AK193+AK$1,AK$3-0.5*AK$1*(COUNTIF(AL$11:AL$1000,AL194)-1))</f>
        <v>5.03389830508474</v>
      </c>
      <c r="AL194" s="1" t="n">
        <v>10</v>
      </c>
      <c r="AN194" s="1" t="n">
        <f aca="false">IF(AO194=AO193,AN193+AN$1,AN$3-0.5*AN$1*(COUNTIF(AO$11:AO$1000,AO194)-1))</f>
        <v>0.865384615384615</v>
      </c>
      <c r="AO194" s="1" t="n">
        <v>3</v>
      </c>
      <c r="AP194" s="1" t="n">
        <f aca="false">IF(AQ194=AQ193,AP193+AP$1,AP$3-0.5*AP$1*(COUNTIF(AQ$11:AQ$1000,AQ194)-1))</f>
        <v>2.00851063829787</v>
      </c>
      <c r="AQ194" s="1" t="n">
        <v>7</v>
      </c>
      <c r="AR194" s="1" t="n">
        <f aca="false">IF(AS194=AS193,AR193+AR$1,AR$3-0.5*AR$1*(COUNTIF(AS$11:AS$1000,AS194)-1))</f>
        <v>2.97575757575758</v>
      </c>
      <c r="AS194" s="1" t="n">
        <v>12</v>
      </c>
      <c r="AT194" s="1" t="n">
        <v>-1</v>
      </c>
      <c r="AU194" s="1" t="n">
        <v>-1</v>
      </c>
      <c r="AV194" s="1" t="n">
        <f aca="false">IF(AW194=AW193,AV193+AV$1,AV$3-0.5*AV$1*(COUNTIF(AW$11:AW$1000,AW194)-1))</f>
        <v>5.1</v>
      </c>
      <c r="AW194" s="1" t="n">
        <v>20</v>
      </c>
      <c r="AY194" s="1" t="n">
        <v>184</v>
      </c>
    </row>
    <row r="195" customFormat="false" ht="16" hidden="false" customHeight="false" outlineLevel="0" collapsed="false">
      <c r="A195" s="1" t="n">
        <v>185</v>
      </c>
      <c r="B195" s="1" t="n">
        <v>-1</v>
      </c>
      <c r="C195" s="1" t="n">
        <v>-1</v>
      </c>
      <c r="D195" s="1" t="n">
        <v>-1</v>
      </c>
      <c r="E195" s="1" t="n">
        <v>-1</v>
      </c>
      <c r="F195" s="1" t="n">
        <v>-1</v>
      </c>
      <c r="G195" s="1" t="n">
        <v>-1</v>
      </c>
      <c r="H195" s="1" t="n">
        <v>-1</v>
      </c>
      <c r="I195" s="1" t="n">
        <v>-1</v>
      </c>
      <c r="J195" s="1" t="n">
        <v>-1</v>
      </c>
      <c r="K195" s="1" t="n">
        <v>-1</v>
      </c>
      <c r="L195" s="1" t="n">
        <f aca="false">IF(M195=M194,L194+L$1,L$3-0.5*L$1*(COUNTIF(M$11:M$1000,M195)-1))</f>
        <v>5.98947368421053</v>
      </c>
      <c r="M195" s="1" t="n">
        <v>6</v>
      </c>
      <c r="O195" s="1" t="n">
        <v>-1</v>
      </c>
      <c r="P195" s="1" t="n">
        <v>-1</v>
      </c>
      <c r="Q195" s="1" t="n">
        <v>-1</v>
      </c>
      <c r="R195" s="1" t="n">
        <v>-1</v>
      </c>
      <c r="S195" s="1" t="n">
        <v>-1</v>
      </c>
      <c r="T195" s="1" t="n">
        <v>-1</v>
      </c>
      <c r="U195" s="1" t="n">
        <v>-1</v>
      </c>
      <c r="V195" s="1" t="n">
        <v>-1</v>
      </c>
      <c r="W195" s="1" t="n">
        <v>-1</v>
      </c>
      <c r="X195" s="1" t="n">
        <v>-1</v>
      </c>
      <c r="Y195" s="1" t="n">
        <f aca="false">IF(Z195=Z194,Y194+Y$1,Y$3-0.5*Y$1*(COUNTIF(Z$11:Z$1000,Z195)-1))</f>
        <v>5.96923076923077</v>
      </c>
      <c r="Z195" s="1" t="n">
        <v>10</v>
      </c>
      <c r="AB195" s="1" t="n">
        <v>185</v>
      </c>
      <c r="AC195" s="1" t="n">
        <f aca="false">IF(AD195=AD194,AC194+AC$1,AC$3-0.5*AC$1*(COUNTIF(AD$11:AD$1000,AD195)-1))</f>
        <v>1.32</v>
      </c>
      <c r="AD195" s="1" t="n">
        <v>2</v>
      </c>
      <c r="AE195" s="1" t="n">
        <f aca="false">IF(AF195=AF194,AE194+AE$1,AE$3-0.5*AE$1*(COUNTIF(AF$11:AF$1000,AF195)-1))</f>
        <v>2.03846153846154</v>
      </c>
      <c r="AF195" s="1" t="n">
        <v>6</v>
      </c>
      <c r="AG195" s="1" t="n">
        <f aca="false">IF(AH195=AH194,AG194+AG$1,AG$3-0.5*AG$1*(COUNTIF(AH$11:AH$1000,AH195)-1))</f>
        <v>3</v>
      </c>
      <c r="AH195" s="1" t="n">
        <v>7</v>
      </c>
      <c r="AI195" s="1" t="n">
        <v>-1</v>
      </c>
      <c r="AJ195" s="1" t="n">
        <v>-1</v>
      </c>
      <c r="AK195" s="1" t="n">
        <f aca="false">IF(AL195=AL194,AK194+AK$1,AK$3-0.5*AK$1*(COUNTIF(AL$11:AL$1000,AL195)-1))</f>
        <v>5.04745762711864</v>
      </c>
      <c r="AL195" s="1" t="n">
        <v>10</v>
      </c>
      <c r="AN195" s="1" t="n">
        <f aca="false">IF(AO195=AO194,AN194+AN$1,AN$3-0.5*AN$1*(COUNTIF(AO$11:AO$1000,AO195)-1))</f>
        <v>0.873076923076923</v>
      </c>
      <c r="AO195" s="1" t="n">
        <v>3</v>
      </c>
      <c r="AP195" s="1" t="n">
        <f aca="false">IF(AQ195=AQ194,AP194+AP$1,AP$3-0.5*AP$1*(COUNTIF(AQ$11:AQ$1000,AQ195)-1))</f>
        <v>2.02553191489362</v>
      </c>
      <c r="AQ195" s="1" t="n">
        <v>7</v>
      </c>
      <c r="AR195" s="1" t="n">
        <f aca="false">IF(AS195=AS194,AR194+AR$1,AR$3-0.5*AR$1*(COUNTIF(AS$11:AS$1000,AS195)-1))</f>
        <v>3</v>
      </c>
      <c r="AS195" s="1" t="n">
        <v>12</v>
      </c>
      <c r="AT195" s="1" t="n">
        <v>-1</v>
      </c>
      <c r="AU195" s="1" t="n">
        <v>-1</v>
      </c>
      <c r="AV195" s="1" t="n">
        <f aca="false">IF(AW195=AW194,AV194+AV$1,AV$3-0.5*AV$1*(COUNTIF(AW$11:AW$1000,AW195)-1))</f>
        <v>5</v>
      </c>
      <c r="AW195" s="1" t="n">
        <v>21</v>
      </c>
      <c r="AY195" s="1" t="n">
        <v>185</v>
      </c>
    </row>
    <row r="196" customFormat="false" ht="16" hidden="false" customHeight="false" outlineLevel="0" collapsed="false">
      <c r="A196" s="1" t="n">
        <v>186</v>
      </c>
      <c r="B196" s="1" t="n">
        <v>-1</v>
      </c>
      <c r="C196" s="1" t="n">
        <v>-1</v>
      </c>
      <c r="D196" s="1" t="n">
        <v>-1</v>
      </c>
      <c r="E196" s="1" t="n">
        <v>-1</v>
      </c>
      <c r="F196" s="1" t="n">
        <v>-1</v>
      </c>
      <c r="G196" s="1" t="n">
        <v>-1</v>
      </c>
      <c r="H196" s="1" t="n">
        <v>-1</v>
      </c>
      <c r="I196" s="1" t="n">
        <v>-1</v>
      </c>
      <c r="J196" s="1" t="n">
        <v>-1</v>
      </c>
      <c r="K196" s="1" t="n">
        <v>-1</v>
      </c>
      <c r="L196" s="1" t="n">
        <f aca="false">IF(M196=M195,L195+L$1,L$3-0.5*L$1*(COUNTIF(M$11:M$1000,M196)-1))</f>
        <v>6</v>
      </c>
      <c r="M196" s="1" t="n">
        <v>6</v>
      </c>
      <c r="O196" s="1" t="n">
        <v>-1</v>
      </c>
      <c r="P196" s="1" t="n">
        <v>-1</v>
      </c>
      <c r="Q196" s="1" t="n">
        <v>-1</v>
      </c>
      <c r="R196" s="1" t="n">
        <v>-1</v>
      </c>
      <c r="S196" s="1" t="n">
        <v>-1</v>
      </c>
      <c r="T196" s="1" t="n">
        <v>-1</v>
      </c>
      <c r="U196" s="1" t="n">
        <v>-1</v>
      </c>
      <c r="V196" s="1" t="n">
        <v>-1</v>
      </c>
      <c r="W196" s="1" t="n">
        <v>-1</v>
      </c>
      <c r="X196" s="1" t="n">
        <v>-1</v>
      </c>
      <c r="Y196" s="1" t="n">
        <f aca="false">IF(Z196=Z195,Y195+Y$1,Y$3-0.5*Y$1*(COUNTIF(Z$11:Z$1000,Z196)-1))</f>
        <v>5.98974358974359</v>
      </c>
      <c r="Z196" s="1" t="n">
        <v>10</v>
      </c>
      <c r="AB196" s="1" t="n">
        <v>186</v>
      </c>
      <c r="AC196" s="1" t="n">
        <f aca="false">IF(AD196=AD195,AC195+AC$1,AC$3-0.5*AC$1*(COUNTIF(AD$11:AD$1000,AD196)-1))</f>
        <v>1.32761904761905</v>
      </c>
      <c r="AD196" s="1" t="n">
        <v>2</v>
      </c>
      <c r="AE196" s="1" t="n">
        <f aca="false">IF(AF196=AF195,AE195+AE$1,AE$3-0.5*AE$1*(COUNTIF(AF$11:AF$1000,AF196)-1))</f>
        <v>2.05384615384615</v>
      </c>
      <c r="AF196" s="1" t="n">
        <v>6</v>
      </c>
      <c r="AG196" s="1" t="n">
        <f aca="false">IF(AH196=AH195,AG195+AG$1,AG$3-0.5*AG$1*(COUNTIF(AH$11:AH$1000,AH196)-1))</f>
        <v>3.01509433962264</v>
      </c>
      <c r="AH196" s="1" t="n">
        <v>7</v>
      </c>
      <c r="AI196" s="1" t="n">
        <v>-1</v>
      </c>
      <c r="AJ196" s="1" t="n">
        <v>-1</v>
      </c>
      <c r="AK196" s="1" t="n">
        <f aca="false">IF(AL196=AL195,AK195+AK$1,AK$3-0.5*AK$1*(COUNTIF(AL$11:AL$1000,AL196)-1))</f>
        <v>5.06101694915254</v>
      </c>
      <c r="AL196" s="1" t="n">
        <v>10</v>
      </c>
      <c r="AN196" s="1" t="n">
        <f aca="false">IF(AO196=AO195,AN195+AN$1,AN$3-0.5*AN$1*(COUNTIF(AO$11:AO$1000,AO196)-1))</f>
        <v>0.880769230769231</v>
      </c>
      <c r="AO196" s="1" t="n">
        <v>3</v>
      </c>
      <c r="AP196" s="1" t="n">
        <f aca="false">IF(AQ196=AQ195,AP195+AP$1,AP$3-0.5*AP$1*(COUNTIF(AQ$11:AQ$1000,AQ196)-1))</f>
        <v>2.04255319148936</v>
      </c>
      <c r="AQ196" s="1" t="n">
        <v>7</v>
      </c>
      <c r="AR196" s="1" t="n">
        <f aca="false">IF(AS196=AS195,AR195+AR$1,AR$3-0.5*AR$1*(COUNTIF(AS$11:AS$1000,AS196)-1))</f>
        <v>3.02424242424242</v>
      </c>
      <c r="AS196" s="1" t="n">
        <v>12</v>
      </c>
      <c r="AT196" s="1" t="n">
        <v>-1</v>
      </c>
      <c r="AU196" s="1" t="n">
        <v>-1</v>
      </c>
      <c r="AV196" s="1" t="n">
        <f aca="false">IF(AW196=AW195,AV195+AV$1,AV$3-0.5*AV$1*(COUNTIF(AW$11:AW$1000,AW196)-1))</f>
        <v>4.98571428571429</v>
      </c>
      <c r="AW196" s="1" t="n">
        <v>22</v>
      </c>
      <c r="AY196" s="1" t="n">
        <v>186</v>
      </c>
    </row>
    <row r="197" customFormat="false" ht="16" hidden="false" customHeight="false" outlineLevel="0" collapsed="false">
      <c r="A197" s="1" t="n">
        <v>187</v>
      </c>
      <c r="B197" s="1" t="n">
        <v>-1</v>
      </c>
      <c r="C197" s="1" t="n">
        <v>-1</v>
      </c>
      <c r="D197" s="1" t="n">
        <v>-1</v>
      </c>
      <c r="E197" s="1" t="n">
        <v>-1</v>
      </c>
      <c r="F197" s="1" t="n">
        <v>-1</v>
      </c>
      <c r="G197" s="1" t="n">
        <v>-1</v>
      </c>
      <c r="H197" s="1" t="n">
        <v>-1</v>
      </c>
      <c r="I197" s="1" t="n">
        <v>-1</v>
      </c>
      <c r="J197" s="1" t="n">
        <v>-1</v>
      </c>
      <c r="K197" s="1" t="n">
        <v>-1</v>
      </c>
      <c r="L197" s="1" t="n">
        <f aca="false">IF(M197=M196,L196+L$1,L$3-0.5*L$1*(COUNTIF(M$11:M$1000,M197)-1))</f>
        <v>6.01052631578947</v>
      </c>
      <c r="M197" s="1" t="n">
        <v>6</v>
      </c>
      <c r="O197" s="1" t="n">
        <v>-1</v>
      </c>
      <c r="P197" s="1" t="n">
        <v>-1</v>
      </c>
      <c r="Q197" s="1" t="n">
        <v>-1</v>
      </c>
      <c r="R197" s="1" t="n">
        <v>-1</v>
      </c>
      <c r="S197" s="1" t="n">
        <v>-1</v>
      </c>
      <c r="T197" s="1" t="n">
        <v>-1</v>
      </c>
      <c r="U197" s="1" t="n">
        <v>-1</v>
      </c>
      <c r="V197" s="1" t="n">
        <v>-1</v>
      </c>
      <c r="W197" s="1" t="n">
        <v>-1</v>
      </c>
      <c r="X197" s="1" t="n">
        <v>-1</v>
      </c>
      <c r="Y197" s="1" t="n">
        <f aca="false">IF(Z197=Z196,Y196+Y$1,Y$3-0.5*Y$1*(COUNTIF(Z$11:Z$1000,Z197)-1))</f>
        <v>6.01025641025641</v>
      </c>
      <c r="Z197" s="1" t="n">
        <v>10</v>
      </c>
      <c r="AB197" s="1" t="n">
        <v>187</v>
      </c>
      <c r="AC197" s="1" t="n">
        <f aca="false">IF(AD197=AD196,AC196+AC$1,AC$3-0.5*AC$1*(COUNTIF(AD$11:AD$1000,AD197)-1))</f>
        <v>1.3352380952381</v>
      </c>
      <c r="AD197" s="1" t="n">
        <v>2</v>
      </c>
      <c r="AE197" s="1" t="n">
        <f aca="false">IF(AF197=AF196,AE196+AE$1,AE$3-0.5*AE$1*(COUNTIF(AF$11:AF$1000,AF197)-1))</f>
        <v>2.06923076923077</v>
      </c>
      <c r="AF197" s="1" t="n">
        <v>6</v>
      </c>
      <c r="AG197" s="1" t="n">
        <f aca="false">IF(AH197=AH196,AG196+AG$1,AG$3-0.5*AG$1*(COUNTIF(AH$11:AH$1000,AH197)-1))</f>
        <v>3.03018867924528</v>
      </c>
      <c r="AH197" s="1" t="n">
        <v>7</v>
      </c>
      <c r="AI197" s="1" t="n">
        <v>-1</v>
      </c>
      <c r="AJ197" s="1" t="n">
        <v>-1</v>
      </c>
      <c r="AK197" s="1" t="n">
        <f aca="false">IF(AL197=AL196,AK196+AK$1,AK$3-0.5*AK$1*(COUNTIF(AL$11:AL$1000,AL197)-1))</f>
        <v>4.9728813559322</v>
      </c>
      <c r="AL197" s="1" t="n">
        <v>12</v>
      </c>
      <c r="AN197" s="1" t="n">
        <f aca="false">IF(AO197=AO196,AN196+AN$1,AN$3-0.5*AN$1*(COUNTIF(AO$11:AO$1000,AO197)-1))</f>
        <v>0.888461538461538</v>
      </c>
      <c r="AO197" s="1" t="n">
        <v>3</v>
      </c>
      <c r="AP197" s="1" t="n">
        <f aca="false">IF(AQ197=AQ196,AP196+AP$1,AP$3-0.5*AP$1*(COUNTIF(AQ$11:AQ$1000,AQ197)-1))</f>
        <v>2.05957446808511</v>
      </c>
      <c r="AQ197" s="1" t="n">
        <v>7</v>
      </c>
      <c r="AR197" s="1" t="n">
        <f aca="false">IF(AS197=AS196,AR196+AR$1,AR$3-0.5*AR$1*(COUNTIF(AS$11:AS$1000,AS197)-1))</f>
        <v>3.04848484848485</v>
      </c>
      <c r="AS197" s="1" t="n">
        <v>12</v>
      </c>
      <c r="AT197" s="1" t="n">
        <v>-1</v>
      </c>
      <c r="AU197" s="1" t="n">
        <v>-1</v>
      </c>
      <c r="AV197" s="1" t="n">
        <f aca="false">IF(AW197=AW196,AV196+AV$1,AV$3-0.5*AV$1*(COUNTIF(AW$11:AW$1000,AW197)-1))</f>
        <v>5.01428571428571</v>
      </c>
      <c r="AW197" s="1" t="n">
        <v>22</v>
      </c>
      <c r="AY197" s="1" t="n">
        <v>187</v>
      </c>
    </row>
    <row r="198" customFormat="false" ht="16" hidden="false" customHeight="false" outlineLevel="0" collapsed="false">
      <c r="A198" s="1" t="n">
        <v>188</v>
      </c>
      <c r="B198" s="1" t="n">
        <v>-1</v>
      </c>
      <c r="C198" s="1" t="n">
        <v>-1</v>
      </c>
      <c r="D198" s="1" t="n">
        <v>-1</v>
      </c>
      <c r="E198" s="1" t="n">
        <v>-1</v>
      </c>
      <c r="F198" s="1" t="n">
        <v>-1</v>
      </c>
      <c r="G198" s="1" t="n">
        <v>-1</v>
      </c>
      <c r="H198" s="1" t="n">
        <v>-1</v>
      </c>
      <c r="I198" s="1" t="n">
        <v>-1</v>
      </c>
      <c r="J198" s="1" t="n">
        <v>-1</v>
      </c>
      <c r="K198" s="1" t="n">
        <v>-1</v>
      </c>
      <c r="L198" s="1" t="n">
        <f aca="false">IF(M198=M197,L197+L$1,L$3-0.5*L$1*(COUNTIF(M$11:M$1000,M198)-1))</f>
        <v>6.02105263157895</v>
      </c>
      <c r="M198" s="1" t="n">
        <v>6</v>
      </c>
      <c r="O198" s="1" t="n">
        <v>-1</v>
      </c>
      <c r="P198" s="1" t="n">
        <v>-1</v>
      </c>
      <c r="Q198" s="1" t="n">
        <v>-1</v>
      </c>
      <c r="R198" s="1" t="n">
        <v>-1</v>
      </c>
      <c r="S198" s="1" t="n">
        <v>-1</v>
      </c>
      <c r="T198" s="1" t="n">
        <v>-1</v>
      </c>
      <c r="U198" s="1" t="n">
        <v>-1</v>
      </c>
      <c r="V198" s="1" t="n">
        <v>-1</v>
      </c>
      <c r="W198" s="1" t="n">
        <v>-1</v>
      </c>
      <c r="X198" s="1" t="n">
        <v>-1</v>
      </c>
      <c r="Y198" s="1" t="n">
        <f aca="false">IF(Z198=Z197,Y197+Y$1,Y$3-0.5*Y$1*(COUNTIF(Z$11:Z$1000,Z198)-1))</f>
        <v>6.03076923076923</v>
      </c>
      <c r="Z198" s="1" t="n">
        <v>10</v>
      </c>
      <c r="AB198" s="1" t="n">
        <v>188</v>
      </c>
      <c r="AC198" s="1" t="n">
        <f aca="false">IF(AD198=AD197,AC197+AC$1,AC$3-0.5*AC$1*(COUNTIF(AD$11:AD$1000,AD198)-1))</f>
        <v>1.34285714285714</v>
      </c>
      <c r="AD198" s="1" t="n">
        <v>2</v>
      </c>
      <c r="AE198" s="1" t="n">
        <f aca="false">IF(AF198=AF197,AE197+AE$1,AE$3-0.5*AE$1*(COUNTIF(AF$11:AF$1000,AF198)-1))</f>
        <v>1.96153846153846</v>
      </c>
      <c r="AF198" s="1" t="n">
        <v>7</v>
      </c>
      <c r="AG198" s="1" t="n">
        <f aca="false">IF(AH198=AH197,AG197+AG$1,AG$3-0.5*AG$1*(COUNTIF(AH$11:AH$1000,AH198)-1))</f>
        <v>2.97735849056604</v>
      </c>
      <c r="AH198" s="1" t="n">
        <v>8</v>
      </c>
      <c r="AI198" s="1" t="n">
        <v>-1</v>
      </c>
      <c r="AJ198" s="1" t="n">
        <v>-1</v>
      </c>
      <c r="AK198" s="1" t="n">
        <f aca="false">IF(AL198=AL197,AK197+AK$1,AK$3-0.5*AK$1*(COUNTIF(AL$11:AL$1000,AL198)-1))</f>
        <v>4.9864406779661</v>
      </c>
      <c r="AL198" s="1" t="n">
        <v>12</v>
      </c>
      <c r="AN198" s="1" t="n">
        <f aca="false">IF(AO198=AO197,AN197+AN$1,AN$3-0.5*AN$1*(COUNTIF(AO$11:AO$1000,AO198)-1))</f>
        <v>0.896153846153846</v>
      </c>
      <c r="AO198" s="1" t="n">
        <v>3</v>
      </c>
      <c r="AP198" s="1" t="n">
        <f aca="false">IF(AQ198=AQ197,AP197+AP$1,AP$3-0.5*AP$1*(COUNTIF(AQ$11:AQ$1000,AQ198)-1))</f>
        <v>1.95744680851064</v>
      </c>
      <c r="AQ198" s="1" t="n">
        <v>8</v>
      </c>
      <c r="AR198" s="1" t="n">
        <f aca="false">IF(AS198=AS197,AR197+AR$1,AR$3-0.5*AR$1*(COUNTIF(AS$11:AS$1000,AS198)-1))</f>
        <v>2.97575757575758</v>
      </c>
      <c r="AS198" s="1" t="n">
        <v>13</v>
      </c>
      <c r="AT198" s="1" t="n">
        <v>-1</v>
      </c>
      <c r="AU198" s="1" t="n">
        <v>-1</v>
      </c>
      <c r="AV198" s="1" t="n">
        <f aca="false">IF(AW198=AW197,AV197+AV$1,AV$3-0.5*AV$1*(COUNTIF(AW$11:AW$1000,AW198)-1))</f>
        <v>5</v>
      </c>
      <c r="AW198" s="1" t="n">
        <v>23</v>
      </c>
      <c r="AY198" s="1" t="n">
        <v>188</v>
      </c>
    </row>
    <row r="199" customFormat="false" ht="16" hidden="false" customHeight="false" outlineLevel="0" collapsed="false">
      <c r="A199" s="1" t="n">
        <v>189</v>
      </c>
      <c r="B199" s="1" t="n">
        <v>-1</v>
      </c>
      <c r="C199" s="1" t="n">
        <v>-1</v>
      </c>
      <c r="D199" s="1" t="n">
        <v>-1</v>
      </c>
      <c r="E199" s="1" t="n">
        <v>-1</v>
      </c>
      <c r="F199" s="1" t="n">
        <v>-1</v>
      </c>
      <c r="G199" s="1" t="n">
        <v>-1</v>
      </c>
      <c r="H199" s="1" t="n">
        <v>-1</v>
      </c>
      <c r="I199" s="1" t="n">
        <v>-1</v>
      </c>
      <c r="J199" s="1" t="n">
        <v>-1</v>
      </c>
      <c r="K199" s="1" t="n">
        <v>-1</v>
      </c>
      <c r="L199" s="1" t="n">
        <f aca="false">IF(M199=M198,L198+L$1,L$3-0.5*L$1*(COUNTIF(M$11:M$1000,M199)-1))</f>
        <v>6.03157894736842</v>
      </c>
      <c r="M199" s="1" t="n">
        <v>6</v>
      </c>
      <c r="O199" s="1" t="n">
        <v>-1</v>
      </c>
      <c r="P199" s="1" t="n">
        <v>-1</v>
      </c>
      <c r="Q199" s="1" t="n">
        <v>-1</v>
      </c>
      <c r="R199" s="1" t="n">
        <v>-1</v>
      </c>
      <c r="S199" s="1" t="n">
        <v>-1</v>
      </c>
      <c r="T199" s="1" t="n">
        <v>-1</v>
      </c>
      <c r="U199" s="1" t="n">
        <v>-1</v>
      </c>
      <c r="V199" s="1" t="n">
        <v>-1</v>
      </c>
      <c r="W199" s="1" t="n">
        <v>-1</v>
      </c>
      <c r="X199" s="1" t="n">
        <v>-1</v>
      </c>
      <c r="Y199" s="1" t="n">
        <f aca="false">IF(Z199=Z198,Y198+Y$1,Y$3-0.5*Y$1*(COUNTIF(Z$11:Z$1000,Z199)-1))</f>
        <v>6.05128205128205</v>
      </c>
      <c r="Z199" s="1" t="n">
        <v>10</v>
      </c>
      <c r="AB199" s="1" t="n">
        <v>189</v>
      </c>
      <c r="AC199" s="1" t="n">
        <f aca="false">IF(AD199=AD198,AC198+AC$1,AC$3-0.5*AC$1*(COUNTIF(AD$11:AD$1000,AD199)-1))</f>
        <v>1.35047619047619</v>
      </c>
      <c r="AD199" s="1" t="n">
        <v>2</v>
      </c>
      <c r="AE199" s="1" t="n">
        <f aca="false">IF(AF199=AF198,AE198+AE$1,AE$3-0.5*AE$1*(COUNTIF(AF$11:AF$1000,AF199)-1))</f>
        <v>1.97692307692308</v>
      </c>
      <c r="AF199" s="1" t="n">
        <v>7</v>
      </c>
      <c r="AG199" s="1" t="n">
        <f aca="false">IF(AH199=AH198,AG198+AG$1,AG$3-0.5*AG$1*(COUNTIF(AH$11:AH$1000,AH199)-1))</f>
        <v>2.99245283018868</v>
      </c>
      <c r="AH199" s="1" t="n">
        <v>8</v>
      </c>
      <c r="AI199" s="1" t="n">
        <v>-1</v>
      </c>
      <c r="AJ199" s="1" t="n">
        <v>-1</v>
      </c>
      <c r="AK199" s="1" t="n">
        <f aca="false">IF(AL199=AL198,AK198+AK$1,AK$3-0.5*AK$1*(COUNTIF(AL$11:AL$1000,AL199)-1))</f>
        <v>5</v>
      </c>
      <c r="AL199" s="1" t="n">
        <v>12</v>
      </c>
      <c r="AN199" s="1" t="n">
        <f aca="false">IF(AO199=AO198,AN198+AN$1,AN$3-0.5*AN$1*(COUNTIF(AO$11:AO$1000,AO199)-1))</f>
        <v>0.903846153846154</v>
      </c>
      <c r="AO199" s="1" t="n">
        <v>3</v>
      </c>
      <c r="AP199" s="1" t="n">
        <f aca="false">IF(AQ199=AQ198,AP198+AP$1,AP$3-0.5*AP$1*(COUNTIF(AQ$11:AQ$1000,AQ199)-1))</f>
        <v>1.97446808510638</v>
      </c>
      <c r="AQ199" s="1" t="n">
        <v>8</v>
      </c>
      <c r="AR199" s="1" t="n">
        <f aca="false">IF(AS199=AS198,AR198+AR$1,AR$3-0.5*AR$1*(COUNTIF(AS$11:AS$1000,AS199)-1))</f>
        <v>3</v>
      </c>
      <c r="AS199" s="1" t="n">
        <v>13</v>
      </c>
      <c r="AT199" s="1" t="n">
        <v>-1</v>
      </c>
      <c r="AU199" s="1" t="n">
        <v>-1</v>
      </c>
      <c r="AV199" s="1" t="n">
        <f aca="false">IF(AW199=AW198,AV198+AV$1,AV$3-0.5*AV$1*(COUNTIF(AW$11:AW$1000,AW199)-1))</f>
        <v>4.98571428571429</v>
      </c>
      <c r="AW199" s="1" t="n">
        <v>24</v>
      </c>
      <c r="AY199" s="1" t="n">
        <v>189</v>
      </c>
    </row>
    <row r="200" customFormat="false" ht="16" hidden="false" customHeight="false" outlineLevel="0" collapsed="false">
      <c r="A200" s="1" t="n">
        <v>190</v>
      </c>
      <c r="B200" s="1" t="n">
        <v>-1</v>
      </c>
      <c r="C200" s="1" t="n">
        <v>-1</v>
      </c>
      <c r="D200" s="1" t="n">
        <v>-1</v>
      </c>
      <c r="E200" s="1" t="n">
        <v>-1</v>
      </c>
      <c r="F200" s="1" t="n">
        <v>-1</v>
      </c>
      <c r="G200" s="1" t="n">
        <v>-1</v>
      </c>
      <c r="H200" s="1" t="n">
        <v>-1</v>
      </c>
      <c r="I200" s="1" t="n">
        <v>-1</v>
      </c>
      <c r="J200" s="1" t="n">
        <v>-1</v>
      </c>
      <c r="K200" s="1" t="n">
        <v>-1</v>
      </c>
      <c r="L200" s="1" t="n">
        <f aca="false">IF(M200=M199,L199+L$1,L$3-0.5*L$1*(COUNTIF(M$11:M$1000,M200)-1))</f>
        <v>6.04210526315789</v>
      </c>
      <c r="M200" s="1" t="n">
        <v>6</v>
      </c>
      <c r="O200" s="1" t="n">
        <v>-1</v>
      </c>
      <c r="P200" s="1" t="n">
        <v>-1</v>
      </c>
      <c r="Q200" s="1" t="n">
        <v>-1</v>
      </c>
      <c r="R200" s="1" t="n">
        <v>-1</v>
      </c>
      <c r="S200" s="1" t="n">
        <v>-1</v>
      </c>
      <c r="T200" s="1" t="n">
        <v>-1</v>
      </c>
      <c r="U200" s="1" t="n">
        <v>-1</v>
      </c>
      <c r="V200" s="1" t="n">
        <v>-1</v>
      </c>
      <c r="W200" s="1" t="n">
        <v>-1</v>
      </c>
      <c r="X200" s="1" t="n">
        <v>-1</v>
      </c>
      <c r="Y200" s="1" t="n">
        <f aca="false">IF(Z200=Z199,Y199+Y$1,Y$3-0.5*Y$1*(COUNTIF(Z$11:Z$1000,Z200)-1))</f>
        <v>5.98974358974359</v>
      </c>
      <c r="Z200" s="1" t="n">
        <v>11</v>
      </c>
      <c r="AB200" s="1" t="n">
        <v>190</v>
      </c>
      <c r="AC200" s="1" t="n">
        <f aca="false">IF(AD200=AD199,AC199+AC$1,AC$3-0.5*AC$1*(COUNTIF(AD$11:AD$1000,AD200)-1))</f>
        <v>1.35809523809524</v>
      </c>
      <c r="AD200" s="1" t="n">
        <v>2</v>
      </c>
      <c r="AE200" s="1" t="n">
        <f aca="false">IF(AF200=AF199,AE199+AE$1,AE$3-0.5*AE$1*(COUNTIF(AF$11:AF$1000,AF200)-1))</f>
        <v>1.99230769230769</v>
      </c>
      <c r="AF200" s="1" t="n">
        <v>7</v>
      </c>
      <c r="AG200" s="1" t="n">
        <f aca="false">IF(AH200=AH199,AG199+AG$1,AG$3-0.5*AG$1*(COUNTIF(AH$11:AH$1000,AH200)-1))</f>
        <v>3.00754716981132</v>
      </c>
      <c r="AH200" s="1" t="n">
        <v>8</v>
      </c>
      <c r="AI200" s="1" t="n">
        <v>-1</v>
      </c>
      <c r="AJ200" s="1" t="n">
        <v>-1</v>
      </c>
      <c r="AK200" s="1" t="n">
        <f aca="false">IF(AL200=AL199,AK199+AK$1,AK$3-0.5*AK$1*(COUNTIF(AL$11:AL$1000,AL200)-1))</f>
        <v>5.0135593220339</v>
      </c>
      <c r="AL200" s="1" t="n">
        <v>12</v>
      </c>
      <c r="AN200" s="1" t="n">
        <f aca="false">IF(AO200=AO199,AN199+AN$1,AN$3-0.5*AN$1*(COUNTIF(AO$11:AO$1000,AO200)-1))</f>
        <v>0.911538461538461</v>
      </c>
      <c r="AO200" s="1" t="n">
        <v>3</v>
      </c>
      <c r="AP200" s="1" t="n">
        <f aca="false">IF(AQ200=AQ199,AP199+AP$1,AP$3-0.5*AP$1*(COUNTIF(AQ$11:AQ$1000,AQ200)-1))</f>
        <v>1.99148936170213</v>
      </c>
      <c r="AQ200" s="1" t="n">
        <v>8</v>
      </c>
      <c r="AR200" s="1" t="n">
        <f aca="false">IF(AS200=AS199,AR199+AR$1,AR$3-0.5*AR$1*(COUNTIF(AS$11:AS$1000,AS200)-1))</f>
        <v>3.02424242424242</v>
      </c>
      <c r="AS200" s="1" t="n">
        <v>13</v>
      </c>
      <c r="AT200" s="1" t="n">
        <v>-1</v>
      </c>
      <c r="AU200" s="1" t="n">
        <v>-1</v>
      </c>
      <c r="AV200" s="1" t="n">
        <f aca="false">IF(AW200=AW199,AV199+AV$1,AV$3-0.5*AV$1*(COUNTIF(AW$11:AW$1000,AW200)-1))</f>
        <v>5.01428571428571</v>
      </c>
      <c r="AW200" s="1" t="n">
        <v>24</v>
      </c>
      <c r="AY200" s="1" t="n">
        <v>190</v>
      </c>
    </row>
    <row r="201" customFormat="false" ht="16" hidden="false" customHeight="false" outlineLevel="0" collapsed="false">
      <c r="A201" s="1" t="n">
        <v>191</v>
      </c>
      <c r="B201" s="1" t="n">
        <v>-1</v>
      </c>
      <c r="C201" s="1" t="n">
        <v>-1</v>
      </c>
      <c r="D201" s="1" t="n">
        <v>-1</v>
      </c>
      <c r="E201" s="1" t="n">
        <v>-1</v>
      </c>
      <c r="F201" s="1" t="n">
        <v>-1</v>
      </c>
      <c r="G201" s="1" t="n">
        <v>-1</v>
      </c>
      <c r="H201" s="1" t="n">
        <v>-1</v>
      </c>
      <c r="I201" s="1" t="n">
        <v>-1</v>
      </c>
      <c r="J201" s="1" t="n">
        <v>-1</v>
      </c>
      <c r="K201" s="1" t="n">
        <v>-1</v>
      </c>
      <c r="L201" s="1" t="n">
        <f aca="false">IF(M201=M200,L200+L$1,L$3-0.5*L$1*(COUNTIF(M$11:M$1000,M201)-1))</f>
        <v>6</v>
      </c>
      <c r="M201" s="1" t="n">
        <v>7</v>
      </c>
      <c r="O201" s="1" t="n">
        <v>-1</v>
      </c>
      <c r="P201" s="1" t="n">
        <v>-1</v>
      </c>
      <c r="Q201" s="1" t="n">
        <v>-1</v>
      </c>
      <c r="R201" s="1" t="n">
        <v>-1</v>
      </c>
      <c r="S201" s="1" t="n">
        <v>-1</v>
      </c>
      <c r="T201" s="1" t="n">
        <v>-1</v>
      </c>
      <c r="U201" s="1" t="n">
        <v>-1</v>
      </c>
      <c r="V201" s="1" t="n">
        <v>-1</v>
      </c>
      <c r="W201" s="1" t="n">
        <v>-1</v>
      </c>
      <c r="X201" s="1" t="n">
        <v>-1</v>
      </c>
      <c r="Y201" s="1" t="n">
        <f aca="false">IF(Z201=Z200,Y200+Y$1,Y$3-0.5*Y$1*(COUNTIF(Z$11:Z$1000,Z201)-1))</f>
        <v>6.01025641025641</v>
      </c>
      <c r="Z201" s="1" t="n">
        <v>11</v>
      </c>
      <c r="AB201" s="1" t="n">
        <v>191</v>
      </c>
      <c r="AC201" s="1" t="n">
        <f aca="false">IF(AD201=AD200,AC200+AC$1,AC$3-0.5*AC$1*(COUNTIF(AD$11:AD$1000,AD201)-1))</f>
        <v>1.36571428571429</v>
      </c>
      <c r="AD201" s="1" t="n">
        <v>2</v>
      </c>
      <c r="AE201" s="1" t="n">
        <f aca="false">IF(AF201=AF200,AE200+AE$1,AE$3-0.5*AE$1*(COUNTIF(AF$11:AF$1000,AF201)-1))</f>
        <v>2.00769230769231</v>
      </c>
      <c r="AF201" s="1" t="n">
        <v>7</v>
      </c>
      <c r="AG201" s="1" t="n">
        <f aca="false">IF(AH201=AH200,AG200+AG$1,AG$3-0.5*AG$1*(COUNTIF(AH$11:AH$1000,AH201)-1))</f>
        <v>3.02264150943396</v>
      </c>
      <c r="AH201" s="1" t="n">
        <v>8</v>
      </c>
      <c r="AI201" s="1" t="n">
        <v>-1</v>
      </c>
      <c r="AJ201" s="1" t="n">
        <v>-1</v>
      </c>
      <c r="AK201" s="1" t="n">
        <f aca="false">IF(AL201=AL200,AK200+AK$1,AK$3-0.5*AK$1*(COUNTIF(AL$11:AL$1000,AL201)-1))</f>
        <v>5.0271186440678</v>
      </c>
      <c r="AL201" s="1" t="n">
        <v>12</v>
      </c>
      <c r="AN201" s="1" t="n">
        <f aca="false">IF(AO201=AO200,AN200+AN$1,AN$3-0.5*AN$1*(COUNTIF(AO$11:AO$1000,AO201)-1))</f>
        <v>0.919230769230769</v>
      </c>
      <c r="AO201" s="1" t="n">
        <v>3</v>
      </c>
      <c r="AP201" s="1" t="n">
        <f aca="false">IF(AQ201=AQ200,AP200+AP$1,AP$3-0.5*AP$1*(COUNTIF(AQ$11:AQ$1000,AQ201)-1))</f>
        <v>2.00851063829787</v>
      </c>
      <c r="AQ201" s="1" t="n">
        <v>8</v>
      </c>
      <c r="AR201" s="1" t="n">
        <f aca="false">IF(AS201=AS200,AR200+AR$1,AR$3-0.5*AR$1*(COUNTIF(AS$11:AS$1000,AS201)-1))</f>
        <v>3</v>
      </c>
      <c r="AS201" s="1" t="n">
        <v>14</v>
      </c>
      <c r="AT201" s="1" t="n">
        <v>-1</v>
      </c>
      <c r="AU201" s="1" t="n">
        <v>-1</v>
      </c>
      <c r="AV201" s="1" t="n">
        <f aca="false">IF(AW201=AW200,AV200+AV$1,AV$3-0.5*AV$1*(COUNTIF(AW$11:AW$1000,AW201)-1))</f>
        <v>4.97142857142857</v>
      </c>
      <c r="AW201" s="1" t="n">
        <v>26</v>
      </c>
      <c r="AY201" s="1" t="n">
        <v>191</v>
      </c>
    </row>
    <row r="202" customFormat="false" ht="16" hidden="false" customHeight="false" outlineLevel="0" collapsed="false">
      <c r="A202" s="1" t="n">
        <v>192</v>
      </c>
      <c r="B202" s="1" t="n">
        <v>-1</v>
      </c>
      <c r="C202" s="1" t="n">
        <v>-1</v>
      </c>
      <c r="D202" s="1" t="n">
        <v>-1</v>
      </c>
      <c r="E202" s="1" t="n">
        <v>-1</v>
      </c>
      <c r="F202" s="1" t="n">
        <v>-1</v>
      </c>
      <c r="G202" s="1" t="n">
        <v>-1</v>
      </c>
      <c r="H202" s="1" t="n">
        <v>-1</v>
      </c>
      <c r="I202" s="1" t="n">
        <v>-1</v>
      </c>
      <c r="J202" s="1" t="n">
        <v>-1</v>
      </c>
      <c r="K202" s="1" t="n">
        <v>-1</v>
      </c>
      <c r="L202" s="1" t="n">
        <f aca="false">IF(M202=M201,L201+L$1,L$3-0.5*L$1*(COUNTIF(M$11:M$1000,M202)-1))</f>
        <v>5.98421052631579</v>
      </c>
      <c r="M202" s="1" t="n">
        <v>8</v>
      </c>
      <c r="O202" s="1" t="n">
        <v>-1</v>
      </c>
      <c r="P202" s="1" t="n">
        <v>-1</v>
      </c>
      <c r="Q202" s="1" t="n">
        <v>-1</v>
      </c>
      <c r="R202" s="1" t="n">
        <v>-1</v>
      </c>
      <c r="S202" s="1" t="n">
        <v>-1</v>
      </c>
      <c r="T202" s="1" t="n">
        <v>-1</v>
      </c>
      <c r="U202" s="1" t="n">
        <v>-1</v>
      </c>
      <c r="V202" s="1" t="n">
        <v>-1</v>
      </c>
      <c r="W202" s="1" t="n">
        <v>-1</v>
      </c>
      <c r="X202" s="1" t="n">
        <v>-1</v>
      </c>
      <c r="Y202" s="1" t="n">
        <f aca="false">IF(Z202=Z201,Y201+Y$1,Y$3-0.5*Y$1*(COUNTIF(Z$11:Z$1000,Z202)-1))</f>
        <v>5.97948717948718</v>
      </c>
      <c r="Z202" s="1" t="n">
        <v>12</v>
      </c>
      <c r="AB202" s="1" t="n">
        <v>192</v>
      </c>
      <c r="AC202" s="1" t="n">
        <f aca="false">IF(AD202=AD201,AC201+AC$1,AC$3-0.5*AC$1*(COUNTIF(AD$11:AD$1000,AD202)-1))</f>
        <v>1.37333333333334</v>
      </c>
      <c r="AD202" s="1" t="n">
        <v>2</v>
      </c>
      <c r="AE202" s="1" t="n">
        <f aca="false">IF(AF202=AF201,AE201+AE$1,AE$3-0.5*AE$1*(COUNTIF(AF$11:AF$1000,AF202)-1))</f>
        <v>2.02307692307692</v>
      </c>
      <c r="AF202" s="1" t="n">
        <v>7</v>
      </c>
      <c r="AG202" s="1" t="n">
        <f aca="false">IF(AH202=AH201,AG201+AG$1,AG$3-0.5*AG$1*(COUNTIF(AH$11:AH$1000,AH202)-1))</f>
        <v>2.99245283018868</v>
      </c>
      <c r="AH202" s="1" t="n">
        <v>9</v>
      </c>
      <c r="AI202" s="1" t="n">
        <v>-1</v>
      </c>
      <c r="AJ202" s="1" t="n">
        <v>-1</v>
      </c>
      <c r="AK202" s="1" t="n">
        <f aca="false">IF(AL202=AL201,AK201+AK$1,AK$3-0.5*AK$1*(COUNTIF(AL$11:AL$1000,AL202)-1))</f>
        <v>5</v>
      </c>
      <c r="AL202" s="1" t="n">
        <v>13</v>
      </c>
      <c r="AN202" s="1" t="n">
        <f aca="false">IF(AO202=AO201,AN201+AN$1,AN$3-0.5*AN$1*(COUNTIF(AO$11:AO$1000,AO202)-1))</f>
        <v>0.926923076923077</v>
      </c>
      <c r="AO202" s="1" t="n">
        <v>3</v>
      </c>
      <c r="AP202" s="1" t="n">
        <f aca="false">IF(AQ202=AQ201,AP201+AP$1,AP$3-0.5*AP$1*(COUNTIF(AQ$11:AQ$1000,AQ202)-1))</f>
        <v>2.02553191489362</v>
      </c>
      <c r="AQ202" s="1" t="n">
        <v>8</v>
      </c>
      <c r="AR202" s="1" t="n">
        <f aca="false">IF(AS202=AS201,AR201+AR$1,AR$3-0.5*AR$1*(COUNTIF(AS$11:AS$1000,AS202)-1))</f>
        <v>2.97575757575758</v>
      </c>
      <c r="AS202" s="1" t="n">
        <v>15</v>
      </c>
      <c r="AT202" s="1" t="n">
        <v>-1</v>
      </c>
      <c r="AU202" s="1" t="n">
        <v>-1</v>
      </c>
      <c r="AV202" s="1" t="n">
        <f aca="false">IF(AW202=AW201,AV201+AV$1,AV$3-0.5*AV$1*(COUNTIF(AW$11:AW$1000,AW202)-1))</f>
        <v>5</v>
      </c>
      <c r="AW202" s="1" t="n">
        <v>26</v>
      </c>
      <c r="AY202" s="1" t="n">
        <v>192</v>
      </c>
    </row>
    <row r="203" customFormat="false" ht="16" hidden="false" customHeight="false" outlineLevel="0" collapsed="false">
      <c r="A203" s="1" t="n">
        <v>193</v>
      </c>
      <c r="B203" s="1" t="n">
        <v>-1</v>
      </c>
      <c r="C203" s="1" t="n">
        <v>-1</v>
      </c>
      <c r="D203" s="1" t="n">
        <v>-1</v>
      </c>
      <c r="E203" s="1" t="n">
        <v>-1</v>
      </c>
      <c r="F203" s="1" t="n">
        <v>-1</v>
      </c>
      <c r="G203" s="1" t="n">
        <v>-1</v>
      </c>
      <c r="H203" s="1" t="n">
        <v>-1</v>
      </c>
      <c r="I203" s="1" t="n">
        <v>-1</v>
      </c>
      <c r="J203" s="1" t="n">
        <v>-1</v>
      </c>
      <c r="K203" s="1" t="n">
        <v>-1</v>
      </c>
      <c r="L203" s="1" t="n">
        <f aca="false">IF(M203=M202,L202+L$1,L$3-0.5*L$1*(COUNTIF(M$11:M$1000,M203)-1))</f>
        <v>5.99473684210526</v>
      </c>
      <c r="M203" s="1" t="n">
        <v>8</v>
      </c>
      <c r="O203" s="1" t="n">
        <v>-1</v>
      </c>
      <c r="P203" s="1" t="n">
        <v>-1</v>
      </c>
      <c r="Q203" s="1" t="n">
        <v>-1</v>
      </c>
      <c r="R203" s="1" t="n">
        <v>-1</v>
      </c>
      <c r="S203" s="1" t="n">
        <v>-1</v>
      </c>
      <c r="T203" s="1" t="n">
        <v>-1</v>
      </c>
      <c r="U203" s="1" t="n">
        <v>-1</v>
      </c>
      <c r="V203" s="1" t="n">
        <v>-1</v>
      </c>
      <c r="W203" s="1" t="n">
        <v>-1</v>
      </c>
      <c r="X203" s="1" t="n">
        <v>-1</v>
      </c>
      <c r="Y203" s="1" t="n">
        <f aca="false">IF(Z203=Z202,Y202+Y$1,Y$3-0.5*Y$1*(COUNTIF(Z$11:Z$1000,Z203)-1))</f>
        <v>6</v>
      </c>
      <c r="Z203" s="1" t="n">
        <v>12</v>
      </c>
      <c r="AB203" s="1" t="n">
        <v>193</v>
      </c>
      <c r="AC203" s="1" t="n">
        <f aca="false">IF(AD203=AD202,AC202+AC$1,AC$3-0.5*AC$1*(COUNTIF(AD$11:AD$1000,AD203)-1))</f>
        <v>1.38095238095238</v>
      </c>
      <c r="AD203" s="1" t="n">
        <v>2</v>
      </c>
      <c r="AE203" s="1" t="n">
        <f aca="false">IF(AF203=AF202,AE202+AE$1,AE$3-0.5*AE$1*(COUNTIF(AF$11:AF$1000,AF203)-1))</f>
        <v>2.03846153846154</v>
      </c>
      <c r="AF203" s="1" t="n">
        <v>7</v>
      </c>
      <c r="AG203" s="1" t="n">
        <f aca="false">IF(AH203=AH202,AG202+AG$1,AG$3-0.5*AG$1*(COUNTIF(AH$11:AH$1000,AH203)-1))</f>
        <v>3.00754716981132</v>
      </c>
      <c r="AH203" s="1" t="n">
        <v>9</v>
      </c>
      <c r="AI203" s="1" t="n">
        <v>-1</v>
      </c>
      <c r="AJ203" s="1" t="n">
        <v>-1</v>
      </c>
      <c r="AK203" s="1" t="n">
        <f aca="false">IF(AL203=AL202,AK202+AK$1,AK$3-0.5*AK$1*(COUNTIF(AL$11:AL$1000,AL203)-1))</f>
        <v>5</v>
      </c>
      <c r="AL203" s="1" t="n">
        <v>14</v>
      </c>
      <c r="AN203" s="1" t="n">
        <f aca="false">IF(AO203=AO202,AN202+AN$1,AN$3-0.5*AN$1*(COUNTIF(AO$11:AO$1000,AO203)-1))</f>
        <v>0.934615384615384</v>
      </c>
      <c r="AO203" s="1" t="n">
        <v>3</v>
      </c>
      <c r="AP203" s="1" t="n">
        <f aca="false">IF(AQ203=AQ202,AP202+AP$1,AP$3-0.5*AP$1*(COUNTIF(AQ$11:AQ$1000,AQ203)-1))</f>
        <v>2.04255319148936</v>
      </c>
      <c r="AQ203" s="1" t="n">
        <v>8</v>
      </c>
      <c r="AR203" s="1" t="n">
        <f aca="false">IF(AS203=AS202,AR202+AR$1,AR$3-0.5*AR$1*(COUNTIF(AS$11:AS$1000,AS203)-1))</f>
        <v>3</v>
      </c>
      <c r="AS203" s="1" t="n">
        <v>15</v>
      </c>
      <c r="AT203" s="1" t="n">
        <v>-1</v>
      </c>
      <c r="AU203" s="1" t="n">
        <v>-1</v>
      </c>
      <c r="AV203" s="1" t="n">
        <f aca="false">IF(AW203=AW202,AV202+AV$1,AV$3-0.5*AV$1*(COUNTIF(AW$11:AW$1000,AW203)-1))</f>
        <v>5.02857142857143</v>
      </c>
      <c r="AW203" s="1" t="n">
        <v>26</v>
      </c>
      <c r="AY203" s="1" t="n">
        <v>193</v>
      </c>
    </row>
    <row r="204" customFormat="false" ht="16" hidden="false" customHeight="false" outlineLevel="0" collapsed="false">
      <c r="A204" s="1" t="n">
        <v>194</v>
      </c>
      <c r="B204" s="1" t="n">
        <v>-1</v>
      </c>
      <c r="C204" s="1" t="n">
        <v>-1</v>
      </c>
      <c r="D204" s="1" t="n">
        <v>-1</v>
      </c>
      <c r="E204" s="1" t="n">
        <v>-1</v>
      </c>
      <c r="F204" s="1" t="n">
        <v>-1</v>
      </c>
      <c r="G204" s="1" t="n">
        <v>-1</v>
      </c>
      <c r="H204" s="1" t="n">
        <v>-1</v>
      </c>
      <c r="I204" s="1" t="n">
        <v>-1</v>
      </c>
      <c r="J204" s="1" t="n">
        <v>-1</v>
      </c>
      <c r="K204" s="1" t="n">
        <v>-1</v>
      </c>
      <c r="L204" s="1" t="n">
        <f aca="false">IF(M204=M203,L203+L$1,L$3-0.5*L$1*(COUNTIF(M$11:M$1000,M204)-1))</f>
        <v>6.00526315789474</v>
      </c>
      <c r="M204" s="1" t="n">
        <v>8</v>
      </c>
      <c r="O204" s="1" t="n">
        <v>-1</v>
      </c>
      <c r="P204" s="1" t="n">
        <v>-1</v>
      </c>
      <c r="Q204" s="1" t="n">
        <v>-1</v>
      </c>
      <c r="R204" s="1" t="n">
        <v>-1</v>
      </c>
      <c r="S204" s="1" t="n">
        <v>-1</v>
      </c>
      <c r="T204" s="1" t="n">
        <v>-1</v>
      </c>
      <c r="U204" s="1" t="n">
        <v>-1</v>
      </c>
      <c r="V204" s="1" t="n">
        <v>-1</v>
      </c>
      <c r="W204" s="1" t="n">
        <v>-1</v>
      </c>
      <c r="X204" s="1" t="n">
        <v>-1</v>
      </c>
      <c r="Y204" s="1" t="n">
        <f aca="false">IF(Z204=Z203,Y203+Y$1,Y$3-0.5*Y$1*(COUNTIF(Z$11:Z$1000,Z204)-1))</f>
        <v>6.02051282051282</v>
      </c>
      <c r="Z204" s="1" t="n">
        <v>12</v>
      </c>
      <c r="AB204" s="1" t="n">
        <v>194</v>
      </c>
      <c r="AC204" s="1" t="n">
        <f aca="false">IF(AD204=AD203,AC203+AC$1,AC$3-0.5*AC$1*(COUNTIF(AD$11:AD$1000,AD204)-1))</f>
        <v>1.38857142857143</v>
      </c>
      <c r="AD204" s="1" t="n">
        <v>2</v>
      </c>
      <c r="AE204" s="1" t="n">
        <f aca="false">IF(AF204=AF203,AE203+AE$1,AE$3-0.5*AE$1*(COUNTIF(AF$11:AF$1000,AF204)-1))</f>
        <v>1.97692307692308</v>
      </c>
      <c r="AF204" s="1" t="n">
        <v>8</v>
      </c>
      <c r="AG204" s="1" t="n">
        <f aca="false">IF(AH204=AH203,AG203+AG$1,AG$3-0.5*AG$1*(COUNTIF(AH$11:AH$1000,AH204)-1))</f>
        <v>2.98490566037736</v>
      </c>
      <c r="AH204" s="1" t="n">
        <v>10</v>
      </c>
      <c r="AI204" s="1" t="n">
        <v>-1</v>
      </c>
      <c r="AJ204" s="1" t="n">
        <v>-1</v>
      </c>
      <c r="AK204" s="1" t="n">
        <f aca="false">IF(AL204=AL203,AK203+AK$1,AK$3-0.5*AK$1*(COUNTIF(AL$11:AL$1000,AL204)-1))</f>
        <v>5</v>
      </c>
      <c r="AL204" s="1" t="n">
        <v>16</v>
      </c>
      <c r="AN204" s="1" t="n">
        <f aca="false">IF(AO204=AO203,AN203+AN$1,AN$3-0.5*AN$1*(COUNTIF(AO$11:AO$1000,AO204)-1))</f>
        <v>0.942307692307692</v>
      </c>
      <c r="AO204" s="1" t="n">
        <v>3</v>
      </c>
      <c r="AP204" s="1" t="n">
        <f aca="false">IF(AQ204=AQ203,AP203+AP$1,AP$3-0.5*AP$1*(COUNTIF(AQ$11:AQ$1000,AQ204)-1))</f>
        <v>2</v>
      </c>
      <c r="AQ204" s="1" t="n">
        <v>9</v>
      </c>
      <c r="AR204" s="1" t="n">
        <f aca="false">IF(AS204=AS203,AR203+AR$1,AR$3-0.5*AR$1*(COUNTIF(AS$11:AS$1000,AS204)-1))</f>
        <v>3.02424242424242</v>
      </c>
      <c r="AS204" s="1" t="n">
        <v>15</v>
      </c>
      <c r="AT204" s="1" t="n">
        <v>-1</v>
      </c>
      <c r="AU204" s="1" t="n">
        <v>-1</v>
      </c>
      <c r="AV204" s="1" t="n">
        <f aca="false">IF(AW204=AW203,AV203+AV$1,AV$3-0.5*AV$1*(COUNTIF(AW$11:AW$1000,AW204)-1))</f>
        <v>5</v>
      </c>
      <c r="AW204" s="1" t="n">
        <v>28</v>
      </c>
      <c r="AY204" s="1" t="n">
        <v>194</v>
      </c>
    </row>
    <row r="205" customFormat="false" ht="16" hidden="false" customHeight="false" outlineLevel="0" collapsed="false">
      <c r="A205" s="1" t="n">
        <v>195</v>
      </c>
      <c r="B205" s="1" t="n">
        <v>-1</v>
      </c>
      <c r="C205" s="1" t="n">
        <v>-1</v>
      </c>
      <c r="D205" s="1" t="n">
        <v>-1</v>
      </c>
      <c r="E205" s="1" t="n">
        <v>-1</v>
      </c>
      <c r="F205" s="1" t="n">
        <v>-1</v>
      </c>
      <c r="G205" s="1" t="n">
        <v>-1</v>
      </c>
      <c r="H205" s="1" t="n">
        <v>-1</v>
      </c>
      <c r="I205" s="1" t="n">
        <v>-1</v>
      </c>
      <c r="J205" s="1" t="n">
        <v>-1</v>
      </c>
      <c r="K205" s="1" t="n">
        <v>-1</v>
      </c>
      <c r="L205" s="1" t="n">
        <f aca="false">IF(M205=M204,L204+L$1,L$3-0.5*L$1*(COUNTIF(M$11:M$1000,M205)-1))</f>
        <v>6.01578947368421</v>
      </c>
      <c r="M205" s="1" t="n">
        <v>8</v>
      </c>
      <c r="O205" s="1" t="n">
        <v>-1</v>
      </c>
      <c r="P205" s="1" t="n">
        <v>-1</v>
      </c>
      <c r="Q205" s="1" t="n">
        <v>-1</v>
      </c>
      <c r="R205" s="1" t="n">
        <v>-1</v>
      </c>
      <c r="S205" s="1" t="n">
        <v>-1</v>
      </c>
      <c r="T205" s="1" t="n">
        <v>-1</v>
      </c>
      <c r="U205" s="1" t="n">
        <v>-1</v>
      </c>
      <c r="V205" s="1" t="n">
        <v>-1</v>
      </c>
      <c r="W205" s="1" t="n">
        <v>-1</v>
      </c>
      <c r="X205" s="1" t="n">
        <v>-1</v>
      </c>
      <c r="Y205" s="1" t="n">
        <f aca="false">IF(Z205=Z204,Y204+Y$1,Y$3-0.5*Y$1*(COUNTIF(Z$11:Z$1000,Z205)-1))</f>
        <v>6</v>
      </c>
      <c r="Z205" s="1" t="n">
        <v>14</v>
      </c>
      <c r="AB205" s="1" t="n">
        <v>195</v>
      </c>
      <c r="AC205" s="1" t="n">
        <f aca="false">IF(AD205=AD204,AC204+AC$1,AC$3-0.5*AC$1*(COUNTIF(AD$11:AD$1000,AD205)-1))</f>
        <v>1.39619047619048</v>
      </c>
      <c r="AD205" s="1" t="n">
        <v>2</v>
      </c>
      <c r="AE205" s="1" t="n">
        <f aca="false">IF(AF205=AF204,AE204+AE$1,AE$3-0.5*AE$1*(COUNTIF(AF$11:AF$1000,AF205)-1))</f>
        <v>1.99230769230769</v>
      </c>
      <c r="AF205" s="1" t="n">
        <v>8</v>
      </c>
      <c r="AG205" s="1" t="n">
        <f aca="false">IF(AH205=AH204,AG204+AG$1,AG$3-0.5*AG$1*(COUNTIF(AH$11:AH$1000,AH205)-1))</f>
        <v>3</v>
      </c>
      <c r="AH205" s="1" t="n">
        <v>10</v>
      </c>
      <c r="AI205" s="1" t="n">
        <v>-1</v>
      </c>
      <c r="AJ205" s="1" t="n">
        <v>-1</v>
      </c>
      <c r="AK205" s="1" t="n">
        <f aca="false">IF(AL205=AL204,AK204+AK$1,AK$3-0.5*AK$1*(COUNTIF(AL$11:AL$1000,AL205)-1))</f>
        <v>5</v>
      </c>
      <c r="AL205" s="1" t="n">
        <v>20</v>
      </c>
      <c r="AN205" s="1" t="n">
        <f aca="false">IF(AO205=AO204,AN204+AN$1,AN$3-0.5*AN$1*(COUNTIF(AO$11:AO$1000,AO205)-1))</f>
        <v>0.95</v>
      </c>
      <c r="AO205" s="1" t="n">
        <v>3</v>
      </c>
      <c r="AP205" s="1" t="n">
        <f aca="false">IF(AQ205=AQ204,AP204+AP$1,AP$3-0.5*AP$1*(COUNTIF(AQ$11:AQ$1000,AQ205)-1))</f>
        <v>1.99148936170213</v>
      </c>
      <c r="AQ205" s="1" t="n">
        <v>10</v>
      </c>
      <c r="AR205" s="1" t="n">
        <f aca="false">IF(AS205=AS204,AR204+AR$1,AR$3-0.5*AR$1*(COUNTIF(AS$11:AS$1000,AS205)-1))</f>
        <v>3</v>
      </c>
      <c r="AS205" s="1" t="n">
        <v>16</v>
      </c>
      <c r="AT205" s="1" t="n">
        <v>-1</v>
      </c>
      <c r="AU205" s="1" t="n">
        <v>-1</v>
      </c>
      <c r="AV205" s="1" t="n">
        <f aca="false">IF(AW205=AW204,AV204+AV$1,AV$3-0.5*AV$1*(COUNTIF(AW$11:AW$1000,AW205)-1))</f>
        <v>5</v>
      </c>
      <c r="AW205" s="1" t="n">
        <v>30</v>
      </c>
      <c r="AY205" s="1" t="n">
        <v>195</v>
      </c>
    </row>
    <row r="206" customFormat="false" ht="16" hidden="false" customHeight="false" outlineLevel="0" collapsed="false">
      <c r="A206" s="1" t="n">
        <v>196</v>
      </c>
      <c r="AB206" s="1" t="n">
        <v>196</v>
      </c>
      <c r="AC206" s="1" t="n">
        <f aca="false">IF(AD206=AD205,AC205+AC$1,AC$3-0.5*AC$1*(COUNTIF(AD$11:AD$1000,AD206)-1))</f>
        <v>0.900952380952381</v>
      </c>
      <c r="AD206" s="1" t="n">
        <v>3</v>
      </c>
      <c r="AE206" s="1" t="n">
        <f aca="false">IF(AF206=AF205,AE205+AE$1,AE$3-0.5*AE$1*(COUNTIF(AF$11:AF$1000,AF206)-1))</f>
        <v>2.00769230769231</v>
      </c>
      <c r="AF206" s="1" t="n">
        <v>8</v>
      </c>
      <c r="AG206" s="1" t="n">
        <f aca="false">IF(AH206=AH205,AG205+AG$1,AG$3-0.5*AG$1*(COUNTIF(AH$11:AH$1000,AH206)-1))</f>
        <v>3.01509433962264</v>
      </c>
      <c r="AH206" s="1" t="n">
        <v>10</v>
      </c>
      <c r="AI206" s="1" t="n">
        <v>-1</v>
      </c>
      <c r="AJ206" s="1" t="n">
        <v>-1</v>
      </c>
      <c r="AK206" s="1" t="n">
        <f aca="false">IF(AL206=AL205,AK205+AK$1,AK$3-0.5*AK$1*(COUNTIF(AL$11:AL$1000,AL206)-1))</f>
        <v>5</v>
      </c>
      <c r="AL206" s="1" t="n">
        <v>24</v>
      </c>
      <c r="AN206" s="1" t="n">
        <f aca="false">IF(AO206=AO205,AN205+AN$1,AN$3-0.5*AN$1*(COUNTIF(AO$11:AO$1000,AO206)-1))</f>
        <v>0.957692307692307</v>
      </c>
      <c r="AO206" s="1" t="n">
        <v>3</v>
      </c>
      <c r="AP206" s="1" t="n">
        <f aca="false">IF(AQ206=AQ205,AP205+AP$1,AP$3-0.5*AP$1*(COUNTIF(AQ$11:AQ$1000,AQ206)-1))</f>
        <v>2.00851063829787</v>
      </c>
      <c r="AQ206" s="1" t="n">
        <v>10</v>
      </c>
      <c r="AR206" s="1" t="n">
        <f aca="false">IF(AS206=AS205,AR205+AR$1,AR$3-0.5*AR$1*(COUNTIF(AS$11:AS$1000,AS206)-1))</f>
        <v>3</v>
      </c>
      <c r="AS206" s="1" t="n">
        <v>21</v>
      </c>
      <c r="AT206" s="1" t="n">
        <v>-1</v>
      </c>
      <c r="AU206" s="1" t="n">
        <v>-1</v>
      </c>
      <c r="AV206" s="1" t="n">
        <v>-1</v>
      </c>
      <c r="AW206" s="1" t="n">
        <v>32</v>
      </c>
      <c r="AY206" s="1" t="n">
        <v>196</v>
      </c>
    </row>
    <row r="207" customFormat="false" ht="16" hidden="false" customHeight="false" outlineLevel="0" collapsed="false">
      <c r="A207" s="1" t="n">
        <v>197</v>
      </c>
      <c r="AB207" s="1" t="n">
        <v>197</v>
      </c>
      <c r="AC207" s="1" t="n">
        <f aca="false">IF(AD207=AD206,AC206+AC$1,AC$3-0.5*AC$1*(COUNTIF(AD$11:AD$1000,AD207)-1))</f>
        <v>0.908571428571429</v>
      </c>
      <c r="AD207" s="1" t="n">
        <v>3</v>
      </c>
      <c r="AE207" s="1" t="n">
        <f aca="false">IF(AF207=AF206,AE206+AE$1,AE$3-0.5*AE$1*(COUNTIF(AF$11:AF$1000,AF207)-1))</f>
        <v>2.02307692307692</v>
      </c>
      <c r="AF207" s="1" t="n">
        <v>8</v>
      </c>
      <c r="AG207" s="1" t="n">
        <f aca="false">IF(AH207=AH206,AG206+AG$1,AG$3-0.5*AG$1*(COUNTIF(AH$11:AH$1000,AH207)-1))</f>
        <v>3</v>
      </c>
      <c r="AH207" s="1" t="n">
        <v>11</v>
      </c>
      <c r="AI207" s="1" t="n">
        <v>-1</v>
      </c>
      <c r="AJ207" s="1" t="n">
        <v>-1</v>
      </c>
      <c r="AK207" s="1" t="n">
        <f aca="false">IF(AL207=AL206,AK206+AK$1,AK$3-0.5*AK$1*(COUNTIF(AL$11:AL$1000,AL207)-1))</f>
        <v>4.99322033898305</v>
      </c>
      <c r="AL207" s="1" t="n">
        <v>30</v>
      </c>
      <c r="AN207" s="1" t="n">
        <f aca="false">IF(AO207=AO206,AN206+AN$1,AN$3-0.5*AN$1*(COUNTIF(AO$11:AO$1000,AO207)-1))</f>
        <v>0.965384615384615</v>
      </c>
      <c r="AO207" s="1" t="n">
        <v>3</v>
      </c>
      <c r="AP207" s="1" t="n">
        <f aca="false">IF(AQ207=AQ206,AP206+AP$1,AP$3-0.5*AP$1*(COUNTIF(AQ$11:AQ$1000,AQ207)-1))</f>
        <v>2</v>
      </c>
      <c r="AQ207" s="1" t="n">
        <v>11</v>
      </c>
      <c r="AR207" s="1" t="n">
        <f aca="false">IF(AS207=AS206,AR206+AR$1,AR$3-0.5*AR$1*(COUNTIF(AS$11:AS$1000,AS207)-1))</f>
        <v>3</v>
      </c>
      <c r="AS207" s="1" t="n">
        <v>26</v>
      </c>
      <c r="AT207" s="1" t="n">
        <v>-1</v>
      </c>
      <c r="AU207" s="1" t="n">
        <v>-1</v>
      </c>
      <c r="AV207" s="1" t="n">
        <v>-1</v>
      </c>
      <c r="AW207" s="1" t="n">
        <v>40</v>
      </c>
      <c r="AY207" s="1" t="n">
        <v>197</v>
      </c>
    </row>
    <row r="208" customFormat="false" ht="16" hidden="false" customHeight="false" outlineLevel="0" collapsed="false">
      <c r="A208" s="1" t="n">
        <v>198</v>
      </c>
      <c r="AB208" s="1" t="n">
        <v>198</v>
      </c>
      <c r="AC208" s="1" t="n">
        <f aca="false">IF(AD208=AD207,AC207+AC$1,AC$3-0.5*AC$1*(COUNTIF(AD$11:AD$1000,AD208)-1))</f>
        <v>0.916190476190476</v>
      </c>
      <c r="AD208" s="1" t="n">
        <v>3</v>
      </c>
      <c r="AE208" s="1" t="n">
        <v>-1</v>
      </c>
      <c r="AF208" s="1" t="n">
        <v>-1</v>
      </c>
      <c r="AG208" s="1" t="n">
        <f aca="false">IF(AH208=AH207,AG207+AG$1,AG$3-0.5*AG$1*(COUNTIF(AH$11:AH$1000,AH208)-1))</f>
        <v>3</v>
      </c>
      <c r="AH208" s="1" t="n">
        <v>12</v>
      </c>
      <c r="AI208" s="1" t="n">
        <v>-1</v>
      </c>
      <c r="AJ208" s="1" t="n">
        <v>-1</v>
      </c>
      <c r="AK208" s="1" t="n">
        <f aca="false">IF(AL208=AL207,AK207+AK$1,AK$3-0.5*AK$1*(COUNTIF(AL$11:AL$1000,AL208)-1))</f>
        <v>5.00677966101695</v>
      </c>
      <c r="AL208" s="1" t="n">
        <v>30</v>
      </c>
      <c r="AN208" s="1" t="n">
        <f aca="false">IF(AO208=AO207,AN207+AN$1,AN$3-0.5*AN$1*(COUNTIF(AO$11:AO$1000,AO208)-1))</f>
        <v>0.973076923076923</v>
      </c>
      <c r="AO208" s="1" t="n">
        <v>3</v>
      </c>
      <c r="AP208" s="1" t="n">
        <v>-1</v>
      </c>
      <c r="AQ208" s="1" t="n">
        <v>-1</v>
      </c>
      <c r="AR208" s="1" t="n">
        <f aca="false">IF(AS208=AS207,AR207+AR$1,AR$3-0.5*AR$1*(COUNTIF(AS$11:AS$1000,AS208)-1))</f>
        <v>3</v>
      </c>
      <c r="AS208" s="1" t="n">
        <v>28</v>
      </c>
      <c r="AT208" s="1" t="n">
        <v>-1</v>
      </c>
      <c r="AU208" s="1" t="n">
        <v>-1</v>
      </c>
      <c r="AV208" s="1" t="n">
        <v>-1</v>
      </c>
      <c r="AW208" s="1" t="n">
        <v>42</v>
      </c>
      <c r="AY208" s="1" t="n">
        <v>198</v>
      </c>
    </row>
    <row r="209" customFormat="false" ht="16" hidden="false" customHeight="false" outlineLevel="0" collapsed="false">
      <c r="A209" s="1" t="n">
        <v>199</v>
      </c>
      <c r="AB209" s="1" t="n">
        <v>199</v>
      </c>
      <c r="AC209" s="1" t="n">
        <f aca="false">IF(AD209=AD208,AC208+AC$1,AC$3-0.5*AC$1*(COUNTIF(AD$11:AD$1000,AD209)-1))</f>
        <v>0.923809523809524</v>
      </c>
      <c r="AD209" s="1" t="n">
        <v>3</v>
      </c>
      <c r="AE209" s="1" t="n">
        <v>-1</v>
      </c>
      <c r="AF209" s="1" t="n">
        <v>-1</v>
      </c>
      <c r="AG209" s="1" t="n">
        <v>-1</v>
      </c>
      <c r="AH209" s="1" t="n">
        <v>-1</v>
      </c>
      <c r="AI209" s="1" t="n">
        <v>-1</v>
      </c>
      <c r="AJ209" s="1" t="n">
        <v>-1</v>
      </c>
      <c r="AK209" s="1" t="n">
        <f aca="false">IF(AL209=AL208,AK208+AK$1,AK$3-0.5*AK$1*(COUNTIF(AL$11:AL$1000,AL209)-1))</f>
        <v>5</v>
      </c>
      <c r="AL209" s="1" t="n">
        <v>44</v>
      </c>
      <c r="AN209" s="1" t="n">
        <f aca="false">IF(AO209=AO208,AN208+AN$1,AN$3-0.5*AN$1*(COUNTIF(AO$11:AO$1000,AO209)-1))</f>
        <v>0.98076923076923</v>
      </c>
      <c r="AO209" s="1" t="n">
        <v>3</v>
      </c>
      <c r="AP209" s="1" t="n">
        <v>-1</v>
      </c>
      <c r="AQ209" s="1" t="n">
        <v>-1</v>
      </c>
      <c r="AR209" s="1" t="n">
        <v>-1</v>
      </c>
      <c r="AS209" s="1" t="n">
        <v>-1</v>
      </c>
      <c r="AT209" s="1" t="n">
        <v>-1</v>
      </c>
      <c r="AU209" s="1" t="n">
        <v>-1</v>
      </c>
      <c r="AV209" s="1" t="n">
        <v>-1</v>
      </c>
      <c r="AW209" s="1" t="n">
        <v>60</v>
      </c>
      <c r="AY209" s="1" t="n">
        <v>199</v>
      </c>
    </row>
    <row r="210" customFormat="false" ht="16" hidden="false" customHeight="false" outlineLevel="0" collapsed="false">
      <c r="A210" s="1" t="n">
        <v>200</v>
      </c>
      <c r="AB210" s="1" t="n">
        <v>200</v>
      </c>
      <c r="AC210" s="1" t="n">
        <f aca="false">IF(AD210=AD209,AC209+AC$1,AC$3-0.5*AC$1*(COUNTIF(AD$11:AD$1000,AD210)-1))</f>
        <v>0.931428571428572</v>
      </c>
      <c r="AD210" s="1" t="n">
        <v>3</v>
      </c>
      <c r="AE210" s="1" t="n">
        <v>-1</v>
      </c>
      <c r="AF210" s="1" t="n">
        <v>-1</v>
      </c>
      <c r="AG210" s="1" t="n">
        <v>-1</v>
      </c>
      <c r="AH210" s="1" t="n">
        <v>-1</v>
      </c>
      <c r="AI210" s="1" t="n">
        <v>-1</v>
      </c>
      <c r="AJ210" s="1" t="n">
        <v>-1</v>
      </c>
      <c r="AK210" s="1" t="n">
        <v>-1</v>
      </c>
      <c r="AL210" s="1" t="n">
        <v>-1</v>
      </c>
      <c r="AN210" s="1" t="n">
        <f aca="false">IF(AO210=AO209,AN209+AN$1,AN$3-0.5*AN$1*(COUNTIF(AO$11:AO$1000,AO210)-1))</f>
        <v>0.988461538461538</v>
      </c>
      <c r="AO210" s="1" t="n">
        <v>3</v>
      </c>
      <c r="AP210" s="1" t="n">
        <v>-1</v>
      </c>
      <c r="AQ210" s="1" t="n">
        <v>-1</v>
      </c>
      <c r="AR210" s="1" t="n">
        <v>-1</v>
      </c>
      <c r="AS210" s="1" t="n">
        <v>-1</v>
      </c>
      <c r="AT210" s="1" t="n">
        <v>-1</v>
      </c>
      <c r="AU210" s="1" t="n">
        <v>-1</v>
      </c>
      <c r="AV210" s="1" t="n">
        <v>-1</v>
      </c>
      <c r="AW210" s="1" t="n">
        <v>-1</v>
      </c>
      <c r="AY210" s="1" t="n">
        <v>200</v>
      </c>
    </row>
    <row r="211" customFormat="false" ht="16" hidden="false" customHeight="false" outlineLevel="0" collapsed="false">
      <c r="A211" s="1" t="n">
        <v>201</v>
      </c>
      <c r="AB211" s="1" t="n">
        <v>201</v>
      </c>
      <c r="AC211" s="1" t="n">
        <f aca="false">IF(AD211=AD210,AC210+AC$1,AC$3-0.5*AC$1*(COUNTIF(AD$11:AD$1000,AD211)-1))</f>
        <v>0.939047619047619</v>
      </c>
      <c r="AD211" s="1" t="n">
        <v>3</v>
      </c>
      <c r="AE211" s="1" t="n">
        <v>-1</v>
      </c>
      <c r="AF211" s="1" t="n">
        <v>-1</v>
      </c>
      <c r="AG211" s="1" t="n">
        <v>-1</v>
      </c>
      <c r="AH211" s="1" t="n">
        <v>-1</v>
      </c>
      <c r="AI211" s="1" t="n">
        <v>-1</v>
      </c>
      <c r="AJ211" s="1" t="n">
        <v>-1</v>
      </c>
      <c r="AK211" s="1" t="n">
        <v>-1</v>
      </c>
      <c r="AL211" s="1" t="n">
        <v>-1</v>
      </c>
      <c r="AN211" s="1" t="n">
        <f aca="false">IF(AO211=AO210,AN210+AN$1,AN$3-0.5*AN$1*(COUNTIF(AO$11:AO$1000,AO211)-1))</f>
        <v>0.996153846153846</v>
      </c>
      <c r="AO211" s="1" t="n">
        <v>3</v>
      </c>
      <c r="AP211" s="1" t="n">
        <v>-1</v>
      </c>
      <c r="AQ211" s="1" t="n">
        <v>-1</v>
      </c>
      <c r="AR211" s="1" t="n">
        <v>-1</v>
      </c>
      <c r="AS211" s="1" t="n">
        <v>-1</v>
      </c>
      <c r="AT211" s="1" t="n">
        <v>-1</v>
      </c>
      <c r="AU211" s="1" t="n">
        <v>-1</v>
      </c>
      <c r="AV211" s="1" t="n">
        <v>-1</v>
      </c>
      <c r="AW211" s="1" t="n">
        <v>-1</v>
      </c>
      <c r="AY211" s="1" t="n">
        <v>201</v>
      </c>
    </row>
    <row r="212" customFormat="false" ht="16" hidden="false" customHeight="false" outlineLevel="0" collapsed="false">
      <c r="A212" s="1" t="n">
        <v>202</v>
      </c>
      <c r="AB212" s="1" t="n">
        <v>202</v>
      </c>
      <c r="AC212" s="1" t="n">
        <f aca="false">IF(AD212=AD211,AC211+AC$1,AC$3-0.5*AC$1*(COUNTIF(AD$11:AD$1000,AD212)-1))</f>
        <v>0.946666666666667</v>
      </c>
      <c r="AD212" s="1" t="n">
        <v>3</v>
      </c>
      <c r="AE212" s="1" t="n">
        <v>-1</v>
      </c>
      <c r="AF212" s="1" t="n">
        <v>-1</v>
      </c>
      <c r="AG212" s="1" t="n">
        <v>-1</v>
      </c>
      <c r="AH212" s="1" t="n">
        <v>-1</v>
      </c>
      <c r="AI212" s="1" t="n">
        <v>-1</v>
      </c>
      <c r="AJ212" s="1" t="n">
        <v>-1</v>
      </c>
      <c r="AK212" s="1" t="n">
        <v>-1</v>
      </c>
      <c r="AL212" s="1" t="n">
        <v>-1</v>
      </c>
      <c r="AN212" s="1" t="n">
        <f aca="false">IF(AO212=AO211,AN211+AN$1,AN$3-0.5*AN$1*(COUNTIF(AO$11:AO$1000,AO212)-1))</f>
        <v>1.00384615384615</v>
      </c>
      <c r="AO212" s="1" t="n">
        <v>3</v>
      </c>
      <c r="AP212" s="1" t="n">
        <v>-1</v>
      </c>
      <c r="AQ212" s="1" t="n">
        <v>-1</v>
      </c>
      <c r="AR212" s="1" t="n">
        <v>-1</v>
      </c>
      <c r="AS212" s="1" t="n">
        <v>-1</v>
      </c>
      <c r="AT212" s="1" t="n">
        <v>-1</v>
      </c>
      <c r="AU212" s="1" t="n">
        <v>-1</v>
      </c>
      <c r="AV212" s="1" t="n">
        <v>-1</v>
      </c>
      <c r="AW212" s="1" t="n">
        <v>-1</v>
      </c>
      <c r="AY212" s="1" t="n">
        <v>202</v>
      </c>
    </row>
    <row r="213" customFormat="false" ht="16" hidden="false" customHeight="false" outlineLevel="0" collapsed="false">
      <c r="A213" s="1" t="n">
        <v>203</v>
      </c>
      <c r="AB213" s="1" t="n">
        <v>203</v>
      </c>
      <c r="AC213" s="1" t="n">
        <f aca="false">IF(AD213=AD212,AC212+AC$1,AC$3-0.5*AC$1*(COUNTIF(AD$11:AD$1000,AD213)-1))</f>
        <v>0.954285714285714</v>
      </c>
      <c r="AD213" s="1" t="n">
        <v>3</v>
      </c>
      <c r="AE213" s="1" t="n">
        <v>-1</v>
      </c>
      <c r="AF213" s="1" t="n">
        <v>-1</v>
      </c>
      <c r="AG213" s="1" t="n">
        <v>-1</v>
      </c>
      <c r="AH213" s="1" t="n">
        <v>-1</v>
      </c>
      <c r="AI213" s="1" t="n">
        <v>-1</v>
      </c>
      <c r="AJ213" s="1" t="n">
        <v>-1</v>
      </c>
      <c r="AK213" s="1" t="n">
        <v>-1</v>
      </c>
      <c r="AL213" s="1" t="n">
        <v>-1</v>
      </c>
      <c r="AN213" s="1" t="n">
        <f aca="false">IF(AO213=AO212,AN212+AN$1,AN$3-0.5*AN$1*(COUNTIF(AO$11:AO$1000,AO213)-1))</f>
        <v>1.01153846153846</v>
      </c>
      <c r="AO213" s="1" t="n">
        <v>3</v>
      </c>
      <c r="AP213" s="1" t="n">
        <v>-1</v>
      </c>
      <c r="AQ213" s="1" t="n">
        <v>-1</v>
      </c>
      <c r="AR213" s="1" t="n">
        <v>-1</v>
      </c>
      <c r="AS213" s="1" t="n">
        <v>-1</v>
      </c>
      <c r="AT213" s="1" t="n">
        <v>-1</v>
      </c>
      <c r="AU213" s="1" t="n">
        <v>-1</v>
      </c>
      <c r="AV213" s="1" t="n">
        <v>-1</v>
      </c>
      <c r="AW213" s="1" t="n">
        <v>-1</v>
      </c>
      <c r="AY213" s="1" t="n">
        <v>203</v>
      </c>
    </row>
    <row r="214" customFormat="false" ht="16" hidden="false" customHeight="false" outlineLevel="0" collapsed="false">
      <c r="A214" s="1" t="n">
        <v>204</v>
      </c>
      <c r="AB214" s="1" t="n">
        <v>204</v>
      </c>
      <c r="AC214" s="1" t="n">
        <f aca="false">IF(AD214=AD213,AC213+AC$1,AC$3-0.5*AC$1*(COUNTIF(AD$11:AD$1000,AD214)-1))</f>
        <v>0.961904761904762</v>
      </c>
      <c r="AD214" s="1" t="n">
        <v>3</v>
      </c>
      <c r="AE214" s="1" t="n">
        <v>-1</v>
      </c>
      <c r="AF214" s="1" t="n">
        <v>-1</v>
      </c>
      <c r="AG214" s="1" t="n">
        <v>-1</v>
      </c>
      <c r="AH214" s="1" t="n">
        <v>-1</v>
      </c>
      <c r="AI214" s="1" t="n">
        <v>-1</v>
      </c>
      <c r="AJ214" s="1" t="n">
        <v>-1</v>
      </c>
      <c r="AK214" s="1" t="n">
        <v>-1</v>
      </c>
      <c r="AL214" s="1" t="n">
        <v>-1</v>
      </c>
      <c r="AN214" s="1" t="n">
        <f aca="false">IF(AO214=AO213,AN213+AN$1,AN$3-0.5*AN$1*(COUNTIF(AO$11:AO$1000,AO214)-1))</f>
        <v>1.01923076923077</v>
      </c>
      <c r="AO214" s="1" t="n">
        <v>3</v>
      </c>
      <c r="AP214" s="1" t="n">
        <v>-1</v>
      </c>
      <c r="AQ214" s="1" t="n">
        <v>-1</v>
      </c>
      <c r="AR214" s="1" t="n">
        <v>-1</v>
      </c>
      <c r="AS214" s="1" t="n">
        <v>-1</v>
      </c>
      <c r="AT214" s="1" t="n">
        <v>-1</v>
      </c>
      <c r="AU214" s="1" t="n">
        <v>-1</v>
      </c>
      <c r="AV214" s="1" t="n">
        <v>-1</v>
      </c>
      <c r="AW214" s="1" t="n">
        <v>-1</v>
      </c>
      <c r="AY214" s="1" t="n">
        <v>204</v>
      </c>
    </row>
    <row r="215" customFormat="false" ht="16" hidden="false" customHeight="false" outlineLevel="0" collapsed="false">
      <c r="A215" s="1" t="n">
        <v>205</v>
      </c>
      <c r="AB215" s="1" t="n">
        <v>205</v>
      </c>
      <c r="AC215" s="1" t="n">
        <f aca="false">IF(AD215=AD214,AC214+AC$1,AC$3-0.5*AC$1*(COUNTIF(AD$11:AD$1000,AD215)-1))</f>
        <v>0.96952380952381</v>
      </c>
      <c r="AD215" s="1" t="n">
        <v>3</v>
      </c>
      <c r="AE215" s="1" t="n">
        <v>-1</v>
      </c>
      <c r="AF215" s="1" t="n">
        <v>-1</v>
      </c>
      <c r="AG215" s="1" t="n">
        <v>-1</v>
      </c>
      <c r="AH215" s="1" t="n">
        <v>-1</v>
      </c>
      <c r="AI215" s="1" t="n">
        <v>-1</v>
      </c>
      <c r="AJ215" s="1" t="n">
        <v>-1</v>
      </c>
      <c r="AK215" s="1" t="n">
        <v>-1</v>
      </c>
      <c r="AL215" s="1" t="n">
        <v>-1</v>
      </c>
      <c r="AN215" s="1" t="n">
        <f aca="false">IF(AO215=AO214,AN214+AN$1,AN$3-0.5*AN$1*(COUNTIF(AO$11:AO$1000,AO215)-1))</f>
        <v>1.02692307692308</v>
      </c>
      <c r="AO215" s="1" t="n">
        <v>3</v>
      </c>
      <c r="AP215" s="1" t="n">
        <v>-1</v>
      </c>
      <c r="AQ215" s="1" t="n">
        <v>-1</v>
      </c>
      <c r="AR215" s="1" t="n">
        <v>-1</v>
      </c>
      <c r="AS215" s="1" t="n">
        <v>-1</v>
      </c>
      <c r="AT215" s="1" t="n">
        <v>-1</v>
      </c>
      <c r="AU215" s="1" t="n">
        <v>-1</v>
      </c>
      <c r="AV215" s="1" t="n">
        <v>-1</v>
      </c>
      <c r="AW215" s="1" t="n">
        <v>-1</v>
      </c>
      <c r="AY215" s="1" t="n">
        <v>205</v>
      </c>
    </row>
    <row r="216" customFormat="false" ht="16" hidden="false" customHeight="false" outlineLevel="0" collapsed="false">
      <c r="A216" s="1" t="n">
        <v>206</v>
      </c>
      <c r="AB216" s="1" t="n">
        <v>206</v>
      </c>
      <c r="AC216" s="1" t="n">
        <f aca="false">IF(AD216=AD215,AC215+AC$1,AC$3-0.5*AC$1*(COUNTIF(AD$11:AD$1000,AD216)-1))</f>
        <v>0.977142857142857</v>
      </c>
      <c r="AD216" s="1" t="n">
        <v>3</v>
      </c>
      <c r="AE216" s="1" t="n">
        <v>-1</v>
      </c>
      <c r="AF216" s="1" t="n">
        <v>-1</v>
      </c>
      <c r="AG216" s="1" t="n">
        <v>-1</v>
      </c>
      <c r="AH216" s="1" t="n">
        <v>-1</v>
      </c>
      <c r="AI216" s="1" t="n">
        <v>-1</v>
      </c>
      <c r="AJ216" s="1" t="n">
        <v>-1</v>
      </c>
      <c r="AK216" s="1" t="n">
        <v>-1</v>
      </c>
      <c r="AL216" s="1" t="n">
        <v>-1</v>
      </c>
      <c r="AN216" s="1" t="n">
        <f aca="false">IF(AO216=AO215,AN215+AN$1,AN$3-0.5*AN$1*(COUNTIF(AO$11:AO$1000,AO216)-1))</f>
        <v>1.03461538461538</v>
      </c>
      <c r="AO216" s="1" t="n">
        <v>3</v>
      </c>
      <c r="AP216" s="1" t="n">
        <v>-1</v>
      </c>
      <c r="AQ216" s="1" t="n">
        <v>-1</v>
      </c>
      <c r="AR216" s="1" t="n">
        <v>-1</v>
      </c>
      <c r="AS216" s="1" t="n">
        <v>-1</v>
      </c>
      <c r="AT216" s="1" t="n">
        <v>-1</v>
      </c>
      <c r="AU216" s="1" t="n">
        <v>-1</v>
      </c>
      <c r="AV216" s="1" t="n">
        <v>-1</v>
      </c>
      <c r="AW216" s="1" t="n">
        <v>-1</v>
      </c>
      <c r="AY216" s="1" t="n">
        <v>206</v>
      </c>
    </row>
    <row r="217" customFormat="false" ht="16" hidden="false" customHeight="false" outlineLevel="0" collapsed="false">
      <c r="A217" s="1" t="n">
        <v>207</v>
      </c>
      <c r="AB217" s="1" t="n">
        <v>207</v>
      </c>
      <c r="AC217" s="1" t="n">
        <f aca="false">IF(AD217=AD216,AC216+AC$1,AC$3-0.5*AC$1*(COUNTIF(AD$11:AD$1000,AD217)-1))</f>
        <v>0.984761904761905</v>
      </c>
      <c r="AD217" s="1" t="n">
        <v>3</v>
      </c>
      <c r="AE217" s="1" t="n">
        <v>-1</v>
      </c>
      <c r="AF217" s="1" t="n">
        <v>-1</v>
      </c>
      <c r="AG217" s="1" t="n">
        <v>-1</v>
      </c>
      <c r="AH217" s="1" t="n">
        <v>-1</v>
      </c>
      <c r="AI217" s="1" t="n">
        <v>-1</v>
      </c>
      <c r="AJ217" s="1" t="n">
        <v>-1</v>
      </c>
      <c r="AK217" s="1" t="n">
        <v>-1</v>
      </c>
      <c r="AL217" s="1" t="n">
        <v>-1</v>
      </c>
      <c r="AN217" s="1" t="n">
        <f aca="false">IF(AO217=AO216,AN216+AN$1,AN$3-0.5*AN$1*(COUNTIF(AO$11:AO$1000,AO217)-1))</f>
        <v>1.04230769230769</v>
      </c>
      <c r="AO217" s="1" t="n">
        <v>3</v>
      </c>
      <c r="AP217" s="1" t="n">
        <v>-1</v>
      </c>
      <c r="AQ217" s="1" t="n">
        <v>-1</v>
      </c>
      <c r="AR217" s="1" t="n">
        <v>-1</v>
      </c>
      <c r="AS217" s="1" t="n">
        <v>-1</v>
      </c>
      <c r="AT217" s="1" t="n">
        <v>-1</v>
      </c>
      <c r="AU217" s="1" t="n">
        <v>-1</v>
      </c>
      <c r="AV217" s="1" t="n">
        <v>-1</v>
      </c>
      <c r="AW217" s="1" t="n">
        <v>-1</v>
      </c>
      <c r="AY217" s="1" t="n">
        <v>207</v>
      </c>
    </row>
    <row r="218" customFormat="false" ht="16" hidden="false" customHeight="false" outlineLevel="0" collapsed="false">
      <c r="A218" s="1" t="n">
        <v>208</v>
      </c>
      <c r="AB218" s="1" t="n">
        <v>208</v>
      </c>
      <c r="AC218" s="1" t="n">
        <f aca="false">IF(AD218=AD217,AC217+AC$1,AC$3-0.5*AC$1*(COUNTIF(AD$11:AD$1000,AD218)-1))</f>
        <v>0.992380952380953</v>
      </c>
      <c r="AD218" s="1" t="n">
        <v>3</v>
      </c>
      <c r="AE218" s="1" t="n">
        <v>-1</v>
      </c>
      <c r="AF218" s="1" t="n">
        <v>-1</v>
      </c>
      <c r="AG218" s="1" t="n">
        <v>-1</v>
      </c>
      <c r="AH218" s="1" t="n">
        <v>-1</v>
      </c>
      <c r="AI218" s="1" t="n">
        <v>-1</v>
      </c>
      <c r="AJ218" s="1" t="n">
        <v>-1</v>
      </c>
      <c r="AK218" s="1" t="n">
        <v>-1</v>
      </c>
      <c r="AL218" s="1" t="n">
        <v>-1</v>
      </c>
      <c r="AN218" s="1" t="n">
        <f aca="false">IF(AO218=AO217,AN217+AN$1,AN$3-0.5*AN$1*(COUNTIF(AO$11:AO$1000,AO218)-1))</f>
        <v>1.05</v>
      </c>
      <c r="AO218" s="1" t="n">
        <v>3</v>
      </c>
      <c r="AP218" s="1" t="n">
        <v>-1</v>
      </c>
      <c r="AQ218" s="1" t="n">
        <v>-1</v>
      </c>
      <c r="AR218" s="1" t="n">
        <v>-1</v>
      </c>
      <c r="AS218" s="1" t="n">
        <v>-1</v>
      </c>
      <c r="AT218" s="1" t="n">
        <v>-1</v>
      </c>
      <c r="AU218" s="1" t="n">
        <v>-1</v>
      </c>
      <c r="AV218" s="1" t="n">
        <v>-1</v>
      </c>
      <c r="AW218" s="1" t="n">
        <v>-1</v>
      </c>
      <c r="AY218" s="1" t="n">
        <v>208</v>
      </c>
    </row>
    <row r="219" customFormat="false" ht="16" hidden="false" customHeight="false" outlineLevel="0" collapsed="false">
      <c r="A219" s="1" t="n">
        <v>209</v>
      </c>
      <c r="AB219" s="1" t="n">
        <v>209</v>
      </c>
      <c r="AC219" s="1" t="n">
        <f aca="false">IF(AD219=AD218,AC218+AC$1,AC$3-0.5*AC$1*(COUNTIF(AD$11:AD$1000,AD219)-1))</f>
        <v>1</v>
      </c>
      <c r="AD219" s="1" t="n">
        <v>3</v>
      </c>
      <c r="AE219" s="1" t="n">
        <v>-1</v>
      </c>
      <c r="AF219" s="1" t="n">
        <v>-1</v>
      </c>
      <c r="AG219" s="1" t="n">
        <v>-1</v>
      </c>
      <c r="AH219" s="1" t="n">
        <v>-1</v>
      </c>
      <c r="AI219" s="1" t="n">
        <v>-1</v>
      </c>
      <c r="AJ219" s="1" t="n">
        <v>-1</v>
      </c>
      <c r="AK219" s="1" t="n">
        <v>-1</v>
      </c>
      <c r="AL219" s="1" t="n">
        <v>-1</v>
      </c>
      <c r="AN219" s="1" t="n">
        <f aca="false">IF(AO219=AO218,AN218+AN$1,AN$3-0.5*AN$1*(COUNTIF(AO$11:AO$1000,AO219)-1))</f>
        <v>1.05769230769231</v>
      </c>
      <c r="AO219" s="1" t="n">
        <v>3</v>
      </c>
      <c r="AP219" s="1" t="n">
        <v>-1</v>
      </c>
      <c r="AQ219" s="1" t="n">
        <v>-1</v>
      </c>
      <c r="AR219" s="1" t="n">
        <v>-1</v>
      </c>
      <c r="AS219" s="1" t="n">
        <v>-1</v>
      </c>
      <c r="AT219" s="1" t="n">
        <v>-1</v>
      </c>
      <c r="AU219" s="1" t="n">
        <v>-1</v>
      </c>
      <c r="AV219" s="1" t="n">
        <v>-1</v>
      </c>
      <c r="AW219" s="1" t="n">
        <v>-1</v>
      </c>
      <c r="AY219" s="1" t="n">
        <v>209</v>
      </c>
    </row>
    <row r="220" customFormat="false" ht="16" hidden="false" customHeight="false" outlineLevel="0" collapsed="false">
      <c r="A220" s="1" t="n">
        <v>210</v>
      </c>
      <c r="AB220" s="1" t="n">
        <v>210</v>
      </c>
      <c r="AC220" s="1" t="n">
        <f aca="false">IF(AD220=AD219,AC219+AC$1,AC$3-0.5*AC$1*(COUNTIF(AD$11:AD$1000,AD220)-1))</f>
        <v>1.00761904761905</v>
      </c>
      <c r="AD220" s="1" t="n">
        <v>3</v>
      </c>
      <c r="AE220" s="1" t="n">
        <v>-1</v>
      </c>
      <c r="AF220" s="1" t="n">
        <v>-1</v>
      </c>
      <c r="AG220" s="1" t="n">
        <v>-1</v>
      </c>
      <c r="AH220" s="1" t="n">
        <v>-1</v>
      </c>
      <c r="AI220" s="1" t="n">
        <v>-1</v>
      </c>
      <c r="AJ220" s="1" t="n">
        <v>-1</v>
      </c>
      <c r="AK220" s="1" t="n">
        <v>-1</v>
      </c>
      <c r="AL220" s="1" t="n">
        <v>-1</v>
      </c>
      <c r="AN220" s="1" t="n">
        <f aca="false">IF(AO220=AO219,AN219+AN$1,AN$3-0.5*AN$1*(COUNTIF(AO$11:AO$1000,AO220)-1))</f>
        <v>1.06538461538461</v>
      </c>
      <c r="AO220" s="1" t="n">
        <v>3</v>
      </c>
      <c r="AP220" s="1" t="n">
        <v>-1</v>
      </c>
      <c r="AQ220" s="1" t="n">
        <v>-1</v>
      </c>
      <c r="AR220" s="1" t="n">
        <v>-1</v>
      </c>
      <c r="AS220" s="1" t="n">
        <v>-1</v>
      </c>
      <c r="AT220" s="1" t="n">
        <v>-1</v>
      </c>
      <c r="AU220" s="1" t="n">
        <v>-1</v>
      </c>
      <c r="AV220" s="1" t="n">
        <v>-1</v>
      </c>
      <c r="AW220" s="1" t="n">
        <v>-1</v>
      </c>
      <c r="AY220" s="1" t="n">
        <v>210</v>
      </c>
    </row>
    <row r="221" customFormat="false" ht="16" hidden="false" customHeight="false" outlineLevel="0" collapsed="false">
      <c r="A221" s="1" t="n">
        <v>211</v>
      </c>
      <c r="AB221" s="1" t="n">
        <v>211</v>
      </c>
      <c r="AC221" s="1" t="n">
        <f aca="false">IF(AD221=AD220,AC220+AC$1,AC$3-0.5*AC$1*(COUNTIF(AD$11:AD$1000,AD221)-1))</f>
        <v>1.0152380952381</v>
      </c>
      <c r="AD221" s="1" t="n">
        <v>3</v>
      </c>
      <c r="AE221" s="1" t="n">
        <v>-1</v>
      </c>
      <c r="AF221" s="1" t="n">
        <v>-1</v>
      </c>
      <c r="AG221" s="1" t="n">
        <v>-1</v>
      </c>
      <c r="AH221" s="1" t="n">
        <v>-1</v>
      </c>
      <c r="AI221" s="1" t="n">
        <v>-1</v>
      </c>
      <c r="AJ221" s="1" t="n">
        <v>-1</v>
      </c>
      <c r="AK221" s="1" t="n">
        <v>-1</v>
      </c>
      <c r="AL221" s="1" t="n">
        <v>-1</v>
      </c>
      <c r="AN221" s="1" t="n">
        <f aca="false">IF(AO221=AO220,AN220+AN$1,AN$3-0.5*AN$1*(COUNTIF(AO$11:AO$1000,AO221)-1))</f>
        <v>1.07307692307692</v>
      </c>
      <c r="AO221" s="1" t="n">
        <v>3</v>
      </c>
      <c r="AP221" s="1" t="n">
        <v>-1</v>
      </c>
      <c r="AQ221" s="1" t="n">
        <v>-1</v>
      </c>
      <c r="AR221" s="1" t="n">
        <v>-1</v>
      </c>
      <c r="AS221" s="1" t="n">
        <v>-1</v>
      </c>
      <c r="AT221" s="1" t="n">
        <v>-1</v>
      </c>
      <c r="AU221" s="1" t="n">
        <v>-1</v>
      </c>
      <c r="AV221" s="1" t="n">
        <v>-1</v>
      </c>
      <c r="AW221" s="1" t="n">
        <v>-1</v>
      </c>
      <c r="AY221" s="1" t="n">
        <v>211</v>
      </c>
    </row>
    <row r="222" customFormat="false" ht="16" hidden="false" customHeight="false" outlineLevel="0" collapsed="false">
      <c r="A222" s="1" t="n">
        <v>212</v>
      </c>
      <c r="AB222" s="1" t="n">
        <v>212</v>
      </c>
      <c r="AC222" s="1" t="n">
        <f aca="false">IF(AD222=AD221,AC221+AC$1,AC$3-0.5*AC$1*(COUNTIF(AD$11:AD$1000,AD222)-1))</f>
        <v>1.02285714285714</v>
      </c>
      <c r="AD222" s="1" t="n">
        <v>3</v>
      </c>
      <c r="AE222" s="1" t="n">
        <v>-1</v>
      </c>
      <c r="AF222" s="1" t="n">
        <v>-1</v>
      </c>
      <c r="AG222" s="1" t="n">
        <v>-1</v>
      </c>
      <c r="AH222" s="1" t="n">
        <v>-1</v>
      </c>
      <c r="AI222" s="1" t="n">
        <v>-1</v>
      </c>
      <c r="AJ222" s="1" t="n">
        <v>-1</v>
      </c>
      <c r="AK222" s="1" t="n">
        <v>-1</v>
      </c>
      <c r="AL222" s="1" t="n">
        <v>-1</v>
      </c>
      <c r="AN222" s="1" t="n">
        <f aca="false">IF(AO222=AO221,AN221+AN$1,AN$3-0.5*AN$1*(COUNTIF(AO$11:AO$1000,AO222)-1))</f>
        <v>1.08076923076923</v>
      </c>
      <c r="AO222" s="1" t="n">
        <v>3</v>
      </c>
      <c r="AP222" s="1" t="n">
        <v>-1</v>
      </c>
      <c r="AQ222" s="1" t="n">
        <v>-1</v>
      </c>
      <c r="AR222" s="1" t="n">
        <v>-1</v>
      </c>
      <c r="AS222" s="1" t="n">
        <v>-1</v>
      </c>
      <c r="AT222" s="1" t="n">
        <v>-1</v>
      </c>
      <c r="AU222" s="1" t="n">
        <v>-1</v>
      </c>
      <c r="AV222" s="1" t="n">
        <v>-1</v>
      </c>
      <c r="AW222" s="1" t="n">
        <v>-1</v>
      </c>
      <c r="AY222" s="1" t="n">
        <v>212</v>
      </c>
    </row>
    <row r="223" customFormat="false" ht="16" hidden="false" customHeight="false" outlineLevel="0" collapsed="false">
      <c r="A223" s="1" t="n">
        <v>213</v>
      </c>
      <c r="AB223" s="1" t="n">
        <v>213</v>
      </c>
      <c r="AC223" s="1" t="n">
        <f aca="false">IF(AD223=AD222,AC222+AC$1,AC$3-0.5*AC$1*(COUNTIF(AD$11:AD$1000,AD223)-1))</f>
        <v>1.03047619047619</v>
      </c>
      <c r="AD223" s="1" t="n">
        <v>3</v>
      </c>
      <c r="AE223" s="1" t="n">
        <v>-1</v>
      </c>
      <c r="AF223" s="1" t="n">
        <v>-1</v>
      </c>
      <c r="AG223" s="1" t="n">
        <v>-1</v>
      </c>
      <c r="AH223" s="1" t="n">
        <v>-1</v>
      </c>
      <c r="AI223" s="1" t="n">
        <v>-1</v>
      </c>
      <c r="AJ223" s="1" t="n">
        <v>-1</v>
      </c>
      <c r="AK223" s="1" t="n">
        <v>-1</v>
      </c>
      <c r="AL223" s="1" t="n">
        <v>-1</v>
      </c>
      <c r="AN223" s="1" t="n">
        <f aca="false">IF(AO223=AO222,AN222+AN$1,AN$3-0.5*AN$1*(COUNTIF(AO$11:AO$1000,AO223)-1))</f>
        <v>1.08846153846154</v>
      </c>
      <c r="AO223" s="1" t="n">
        <v>3</v>
      </c>
      <c r="AP223" s="1" t="n">
        <v>-1</v>
      </c>
      <c r="AQ223" s="1" t="n">
        <v>-1</v>
      </c>
      <c r="AR223" s="1" t="n">
        <v>-1</v>
      </c>
      <c r="AS223" s="1" t="n">
        <v>-1</v>
      </c>
      <c r="AT223" s="1" t="n">
        <v>-1</v>
      </c>
      <c r="AU223" s="1" t="n">
        <v>-1</v>
      </c>
      <c r="AV223" s="1" t="n">
        <v>-1</v>
      </c>
      <c r="AW223" s="1" t="n">
        <v>-1</v>
      </c>
      <c r="AY223" s="1" t="n">
        <v>213</v>
      </c>
    </row>
    <row r="224" customFormat="false" ht="16" hidden="false" customHeight="false" outlineLevel="0" collapsed="false">
      <c r="A224" s="1" t="n">
        <v>214</v>
      </c>
      <c r="AB224" s="1" t="n">
        <v>214</v>
      </c>
      <c r="AC224" s="1" t="n">
        <f aca="false">IF(AD224=AD223,AC223+AC$1,AC$3-0.5*AC$1*(COUNTIF(AD$11:AD$1000,AD224)-1))</f>
        <v>1.03809523809524</v>
      </c>
      <c r="AD224" s="1" t="n">
        <v>3</v>
      </c>
      <c r="AE224" s="1" t="n">
        <v>-1</v>
      </c>
      <c r="AF224" s="1" t="n">
        <v>-1</v>
      </c>
      <c r="AG224" s="1" t="n">
        <v>-1</v>
      </c>
      <c r="AH224" s="1" t="n">
        <v>-1</v>
      </c>
      <c r="AI224" s="1" t="n">
        <v>-1</v>
      </c>
      <c r="AJ224" s="1" t="n">
        <v>-1</v>
      </c>
      <c r="AK224" s="1" t="n">
        <v>-1</v>
      </c>
      <c r="AL224" s="1" t="n">
        <v>-1</v>
      </c>
      <c r="AN224" s="1" t="n">
        <f aca="false">IF(AO224=AO223,AN223+AN$1,AN$3-0.5*AN$1*(COUNTIF(AO$11:AO$1000,AO224)-1))</f>
        <v>1.09615384615385</v>
      </c>
      <c r="AO224" s="1" t="n">
        <v>3</v>
      </c>
      <c r="AP224" s="1" t="n">
        <v>-1</v>
      </c>
      <c r="AQ224" s="1" t="n">
        <v>-1</v>
      </c>
      <c r="AR224" s="1" t="n">
        <v>-1</v>
      </c>
      <c r="AS224" s="1" t="n">
        <v>-1</v>
      </c>
      <c r="AT224" s="1" t="n">
        <v>-1</v>
      </c>
      <c r="AU224" s="1" t="n">
        <v>-1</v>
      </c>
      <c r="AV224" s="1" t="n">
        <v>-1</v>
      </c>
      <c r="AW224" s="1" t="n">
        <v>-1</v>
      </c>
      <c r="AY224" s="1" t="n">
        <v>214</v>
      </c>
    </row>
    <row r="225" customFormat="false" ht="16" hidden="false" customHeight="false" outlineLevel="0" collapsed="false">
      <c r="A225" s="1" t="n">
        <v>215</v>
      </c>
      <c r="AB225" s="1" t="n">
        <v>215</v>
      </c>
      <c r="AC225" s="1" t="n">
        <f aca="false">IF(AD225=AD224,AC224+AC$1,AC$3-0.5*AC$1*(COUNTIF(AD$11:AD$1000,AD225)-1))</f>
        <v>1.04571428571429</v>
      </c>
      <c r="AD225" s="1" t="n">
        <v>3</v>
      </c>
      <c r="AE225" s="1" t="n">
        <v>-1</v>
      </c>
      <c r="AF225" s="1" t="n">
        <v>-1</v>
      </c>
      <c r="AG225" s="1" t="n">
        <v>-1</v>
      </c>
      <c r="AH225" s="1" t="n">
        <v>-1</v>
      </c>
      <c r="AI225" s="1" t="n">
        <v>-1</v>
      </c>
      <c r="AJ225" s="1" t="n">
        <v>-1</v>
      </c>
      <c r="AK225" s="1" t="n">
        <v>-1</v>
      </c>
      <c r="AL225" s="1" t="n">
        <v>-1</v>
      </c>
      <c r="AN225" s="1" t="n">
        <f aca="false">IF(AO225=AO224,AN224+AN$1,AN$3-0.5*AN$1*(COUNTIF(AO$11:AO$1000,AO225)-1))</f>
        <v>1.10384615384615</v>
      </c>
      <c r="AO225" s="1" t="n">
        <v>3</v>
      </c>
      <c r="AP225" s="1" t="n">
        <v>-1</v>
      </c>
      <c r="AQ225" s="1" t="n">
        <v>-1</v>
      </c>
      <c r="AR225" s="1" t="n">
        <v>-1</v>
      </c>
      <c r="AS225" s="1" t="n">
        <v>-1</v>
      </c>
      <c r="AT225" s="1" t="n">
        <v>-1</v>
      </c>
      <c r="AU225" s="1" t="n">
        <v>-1</v>
      </c>
      <c r="AV225" s="1" t="n">
        <v>-1</v>
      </c>
      <c r="AW225" s="1" t="n">
        <v>-1</v>
      </c>
      <c r="AY225" s="1" t="n">
        <v>215</v>
      </c>
    </row>
    <row r="226" customFormat="false" ht="16" hidden="false" customHeight="false" outlineLevel="0" collapsed="false">
      <c r="A226" s="1" t="n">
        <v>216</v>
      </c>
      <c r="AB226" s="1" t="n">
        <v>216</v>
      </c>
      <c r="AC226" s="1" t="n">
        <f aca="false">IF(AD226=AD225,AC225+AC$1,AC$3-0.5*AC$1*(COUNTIF(AD$11:AD$1000,AD226)-1))</f>
        <v>1.05333333333333</v>
      </c>
      <c r="AD226" s="1" t="n">
        <v>3</v>
      </c>
      <c r="AE226" s="1" t="n">
        <v>-1</v>
      </c>
      <c r="AF226" s="1" t="n">
        <v>-1</v>
      </c>
      <c r="AG226" s="1" t="n">
        <v>-1</v>
      </c>
      <c r="AH226" s="1" t="n">
        <v>-1</v>
      </c>
      <c r="AI226" s="1" t="n">
        <v>-1</v>
      </c>
      <c r="AJ226" s="1" t="n">
        <v>-1</v>
      </c>
      <c r="AK226" s="1" t="n">
        <v>-1</v>
      </c>
      <c r="AL226" s="1" t="n">
        <v>-1</v>
      </c>
      <c r="AN226" s="1" t="n">
        <f aca="false">IF(AO226=AO225,AN225+AN$1,AN$3-0.5*AN$1*(COUNTIF(AO$11:AO$1000,AO226)-1))</f>
        <v>1.11153846153846</v>
      </c>
      <c r="AO226" s="1" t="n">
        <v>3</v>
      </c>
      <c r="AP226" s="1" t="n">
        <v>-1</v>
      </c>
      <c r="AQ226" s="1" t="n">
        <v>-1</v>
      </c>
      <c r="AR226" s="1" t="n">
        <v>-1</v>
      </c>
      <c r="AS226" s="1" t="n">
        <v>-1</v>
      </c>
      <c r="AT226" s="1" t="n">
        <v>-1</v>
      </c>
      <c r="AU226" s="1" t="n">
        <v>-1</v>
      </c>
      <c r="AV226" s="1" t="n">
        <v>-1</v>
      </c>
      <c r="AW226" s="1" t="n">
        <v>-1</v>
      </c>
      <c r="AY226" s="1" t="n">
        <v>216</v>
      </c>
    </row>
    <row r="227" customFormat="false" ht="16" hidden="false" customHeight="false" outlineLevel="0" collapsed="false">
      <c r="A227" s="1" t="n">
        <v>217</v>
      </c>
      <c r="AB227" s="1" t="n">
        <v>217</v>
      </c>
      <c r="AC227" s="1" t="n">
        <f aca="false">IF(AD227=AD226,AC226+AC$1,AC$3-0.5*AC$1*(COUNTIF(AD$11:AD$1000,AD227)-1))</f>
        <v>1.06095238095238</v>
      </c>
      <c r="AD227" s="1" t="n">
        <v>3</v>
      </c>
      <c r="AE227" s="1" t="n">
        <v>-1</v>
      </c>
      <c r="AF227" s="1" t="n">
        <v>-1</v>
      </c>
      <c r="AG227" s="1" t="n">
        <v>-1</v>
      </c>
      <c r="AH227" s="1" t="n">
        <v>-1</v>
      </c>
      <c r="AI227" s="1" t="n">
        <v>-1</v>
      </c>
      <c r="AJ227" s="1" t="n">
        <v>-1</v>
      </c>
      <c r="AK227" s="1" t="n">
        <v>-1</v>
      </c>
      <c r="AL227" s="1" t="n">
        <v>-1</v>
      </c>
      <c r="AN227" s="1" t="n">
        <f aca="false">IF(AO227=AO226,AN226+AN$1,AN$3-0.5*AN$1*(COUNTIF(AO$11:AO$1000,AO227)-1))</f>
        <v>1.11923076923077</v>
      </c>
      <c r="AO227" s="1" t="n">
        <v>3</v>
      </c>
      <c r="AP227" s="1" t="n">
        <v>-1</v>
      </c>
      <c r="AQ227" s="1" t="n">
        <v>-1</v>
      </c>
      <c r="AR227" s="1" t="n">
        <v>-1</v>
      </c>
      <c r="AS227" s="1" t="n">
        <v>-1</v>
      </c>
      <c r="AT227" s="1" t="n">
        <v>-1</v>
      </c>
      <c r="AU227" s="1" t="n">
        <v>-1</v>
      </c>
      <c r="AV227" s="1" t="n">
        <v>-1</v>
      </c>
      <c r="AW227" s="1" t="n">
        <v>-1</v>
      </c>
      <c r="AY227" s="1" t="n">
        <v>217</v>
      </c>
    </row>
    <row r="228" customFormat="false" ht="16" hidden="false" customHeight="false" outlineLevel="0" collapsed="false">
      <c r="A228" s="1" t="n">
        <v>218</v>
      </c>
      <c r="AB228" s="1" t="n">
        <v>218</v>
      </c>
      <c r="AC228" s="1" t="n">
        <f aca="false">IF(AD228=AD227,AC227+AC$1,AC$3-0.5*AC$1*(COUNTIF(AD$11:AD$1000,AD228)-1))</f>
        <v>1.06857142857143</v>
      </c>
      <c r="AD228" s="1" t="n">
        <v>3</v>
      </c>
      <c r="AE228" s="1" t="n">
        <v>-1</v>
      </c>
      <c r="AF228" s="1" t="n">
        <v>-1</v>
      </c>
      <c r="AG228" s="1" t="n">
        <v>-1</v>
      </c>
      <c r="AH228" s="1" t="n">
        <v>-1</v>
      </c>
      <c r="AI228" s="1" t="n">
        <v>-1</v>
      </c>
      <c r="AJ228" s="1" t="n">
        <v>-1</v>
      </c>
      <c r="AK228" s="1" t="n">
        <v>-1</v>
      </c>
      <c r="AL228" s="1" t="n">
        <v>-1</v>
      </c>
      <c r="AN228" s="1" t="n">
        <f aca="false">IF(AO228=AO227,AN227+AN$1,AN$3-0.5*AN$1*(COUNTIF(AO$11:AO$1000,AO228)-1))</f>
        <v>1.12692307692308</v>
      </c>
      <c r="AO228" s="1" t="n">
        <v>3</v>
      </c>
      <c r="AP228" s="1" t="n">
        <v>-1</v>
      </c>
      <c r="AQ228" s="1" t="n">
        <v>-1</v>
      </c>
      <c r="AR228" s="1" t="n">
        <v>-1</v>
      </c>
      <c r="AS228" s="1" t="n">
        <v>-1</v>
      </c>
      <c r="AT228" s="1" t="n">
        <v>-1</v>
      </c>
      <c r="AU228" s="1" t="n">
        <v>-1</v>
      </c>
      <c r="AV228" s="1" t="n">
        <v>-1</v>
      </c>
      <c r="AW228" s="1" t="n">
        <v>-1</v>
      </c>
      <c r="AY228" s="1" t="n">
        <v>218</v>
      </c>
    </row>
    <row r="229" customFormat="false" ht="16" hidden="false" customHeight="false" outlineLevel="0" collapsed="false">
      <c r="A229" s="1" t="n">
        <v>219</v>
      </c>
      <c r="AB229" s="1" t="n">
        <v>219</v>
      </c>
      <c r="AC229" s="1" t="n">
        <f aca="false">IF(AD229=AD228,AC228+AC$1,AC$3-0.5*AC$1*(COUNTIF(AD$11:AD$1000,AD229)-1))</f>
        <v>1.07619047619048</v>
      </c>
      <c r="AD229" s="1" t="n">
        <v>3</v>
      </c>
      <c r="AE229" s="1" t="n">
        <v>-1</v>
      </c>
      <c r="AF229" s="1" t="n">
        <v>-1</v>
      </c>
      <c r="AG229" s="1" t="n">
        <v>-1</v>
      </c>
      <c r="AH229" s="1" t="n">
        <v>-1</v>
      </c>
      <c r="AI229" s="1" t="n">
        <v>-1</v>
      </c>
      <c r="AJ229" s="1" t="n">
        <v>-1</v>
      </c>
      <c r="AK229" s="1" t="n">
        <v>-1</v>
      </c>
      <c r="AL229" s="1" t="n">
        <v>-1</v>
      </c>
      <c r="AN229" s="1" t="n">
        <f aca="false">IF(AO229=AO228,AN228+AN$1,AN$3-0.5*AN$1*(COUNTIF(AO$11:AO$1000,AO229)-1))</f>
        <v>1.13461538461538</v>
      </c>
      <c r="AO229" s="1" t="n">
        <v>3</v>
      </c>
      <c r="AP229" s="1" t="n">
        <v>-1</v>
      </c>
      <c r="AQ229" s="1" t="n">
        <v>-1</v>
      </c>
      <c r="AR229" s="1" t="n">
        <v>-1</v>
      </c>
      <c r="AS229" s="1" t="n">
        <v>-1</v>
      </c>
      <c r="AT229" s="1" t="n">
        <v>-1</v>
      </c>
      <c r="AU229" s="1" t="n">
        <v>-1</v>
      </c>
      <c r="AV229" s="1" t="n">
        <v>-1</v>
      </c>
      <c r="AW229" s="1" t="n">
        <v>-1</v>
      </c>
      <c r="AY229" s="1" t="n">
        <v>219</v>
      </c>
    </row>
    <row r="230" customFormat="false" ht="16" hidden="false" customHeight="false" outlineLevel="0" collapsed="false">
      <c r="A230" s="1" t="n">
        <v>220</v>
      </c>
      <c r="AB230" s="1" t="n">
        <v>220</v>
      </c>
      <c r="AC230" s="1" t="n">
        <f aca="false">IF(AD230=AD229,AC229+AC$1,AC$3-0.5*AC$1*(COUNTIF(AD$11:AD$1000,AD230)-1))</f>
        <v>1.08380952380952</v>
      </c>
      <c r="AD230" s="1" t="n">
        <v>3</v>
      </c>
      <c r="AE230" s="1" t="n">
        <v>-1</v>
      </c>
      <c r="AF230" s="1" t="n">
        <v>-1</v>
      </c>
      <c r="AG230" s="1" t="n">
        <v>-1</v>
      </c>
      <c r="AH230" s="1" t="n">
        <v>-1</v>
      </c>
      <c r="AI230" s="1" t="n">
        <v>-1</v>
      </c>
      <c r="AJ230" s="1" t="n">
        <v>-1</v>
      </c>
      <c r="AK230" s="1" t="n">
        <v>-1</v>
      </c>
      <c r="AL230" s="1" t="n">
        <v>-1</v>
      </c>
      <c r="AN230" s="1" t="n">
        <f aca="false">IF(AO230=AO229,AN229+AN$1,AN$3-0.5*AN$1*(COUNTIF(AO$11:AO$1000,AO230)-1))</f>
        <v>1.14230769230769</v>
      </c>
      <c r="AO230" s="1" t="n">
        <v>3</v>
      </c>
      <c r="AP230" s="1" t="n">
        <v>-1</v>
      </c>
      <c r="AQ230" s="1" t="n">
        <v>-1</v>
      </c>
      <c r="AR230" s="1" t="n">
        <v>-1</v>
      </c>
      <c r="AS230" s="1" t="n">
        <v>-1</v>
      </c>
      <c r="AT230" s="1" t="n">
        <v>-1</v>
      </c>
      <c r="AU230" s="1" t="n">
        <v>-1</v>
      </c>
      <c r="AV230" s="1" t="n">
        <v>-1</v>
      </c>
      <c r="AW230" s="1" t="n">
        <v>-1</v>
      </c>
      <c r="AY230" s="1" t="n">
        <v>220</v>
      </c>
    </row>
    <row r="231" customFormat="false" ht="16" hidden="false" customHeight="false" outlineLevel="0" collapsed="false">
      <c r="A231" s="1" t="n">
        <v>221</v>
      </c>
      <c r="AB231" s="1" t="n">
        <v>221</v>
      </c>
      <c r="AC231" s="1" t="n">
        <f aca="false">IF(AD231=AD230,AC230+AC$1,AC$3-0.5*AC$1*(COUNTIF(AD$11:AD$1000,AD231)-1))</f>
        <v>1.09142857142857</v>
      </c>
      <c r="AD231" s="1" t="n">
        <v>3</v>
      </c>
      <c r="AE231" s="1" t="n">
        <v>-1</v>
      </c>
      <c r="AF231" s="1" t="n">
        <v>-1</v>
      </c>
      <c r="AG231" s="1" t="n">
        <v>-1</v>
      </c>
      <c r="AH231" s="1" t="n">
        <v>-1</v>
      </c>
      <c r="AI231" s="1" t="n">
        <v>-1</v>
      </c>
      <c r="AJ231" s="1" t="n">
        <v>-1</v>
      </c>
      <c r="AK231" s="1" t="n">
        <v>-1</v>
      </c>
      <c r="AL231" s="1" t="n">
        <v>-1</v>
      </c>
      <c r="AN231" s="1" t="n">
        <f aca="false">IF(AO231=AO230,AN230+AN$1,AN$3-0.5*AN$1*(COUNTIF(AO$11:AO$1000,AO231)-1))</f>
        <v>0.969230769230769</v>
      </c>
      <c r="AO231" s="1" t="n">
        <v>4</v>
      </c>
      <c r="AP231" s="1" t="n">
        <v>-1</v>
      </c>
      <c r="AQ231" s="1" t="n">
        <v>-1</v>
      </c>
      <c r="AR231" s="1" t="n">
        <v>-1</v>
      </c>
      <c r="AS231" s="1" t="n">
        <v>-1</v>
      </c>
      <c r="AT231" s="1" t="n">
        <v>-1</v>
      </c>
      <c r="AU231" s="1" t="n">
        <v>-1</v>
      </c>
      <c r="AV231" s="1" t="n">
        <v>-1</v>
      </c>
      <c r="AW231" s="1" t="n">
        <v>-1</v>
      </c>
      <c r="AY231" s="1" t="n">
        <v>221</v>
      </c>
    </row>
    <row r="232" customFormat="false" ht="16" hidden="false" customHeight="false" outlineLevel="0" collapsed="false">
      <c r="A232" s="1" t="n">
        <v>222</v>
      </c>
      <c r="AB232" s="1" t="n">
        <v>222</v>
      </c>
      <c r="AC232" s="1" t="n">
        <f aca="false">IF(AD232=AD231,AC231+AC$1,AC$3-0.5*AC$1*(COUNTIF(AD$11:AD$1000,AD232)-1))</f>
        <v>1.09904761904762</v>
      </c>
      <c r="AD232" s="1" t="n">
        <v>3</v>
      </c>
      <c r="AE232" s="1" t="n">
        <v>-1</v>
      </c>
      <c r="AF232" s="1" t="n">
        <v>-1</v>
      </c>
      <c r="AG232" s="1" t="n">
        <v>-1</v>
      </c>
      <c r="AH232" s="1" t="n">
        <v>-1</v>
      </c>
      <c r="AI232" s="1" t="n">
        <v>-1</v>
      </c>
      <c r="AJ232" s="1" t="n">
        <v>-1</v>
      </c>
      <c r="AK232" s="1" t="n">
        <v>-1</v>
      </c>
      <c r="AL232" s="1" t="n">
        <v>-1</v>
      </c>
      <c r="AN232" s="1" t="n">
        <f aca="false">IF(AO232=AO231,AN231+AN$1,AN$3-0.5*AN$1*(COUNTIF(AO$11:AO$1000,AO232)-1))</f>
        <v>0.976923076923077</v>
      </c>
      <c r="AO232" s="1" t="n">
        <v>4</v>
      </c>
      <c r="AP232" s="1" t="n">
        <v>-1</v>
      </c>
      <c r="AQ232" s="1" t="n">
        <v>-1</v>
      </c>
      <c r="AR232" s="1" t="n">
        <v>-1</v>
      </c>
      <c r="AS232" s="1" t="n">
        <v>-1</v>
      </c>
      <c r="AT232" s="1" t="n">
        <v>-1</v>
      </c>
      <c r="AU232" s="1" t="n">
        <v>-1</v>
      </c>
      <c r="AV232" s="1" t="n">
        <v>-1</v>
      </c>
      <c r="AW232" s="1" t="n">
        <v>-1</v>
      </c>
      <c r="AY232" s="1" t="n">
        <v>222</v>
      </c>
    </row>
    <row r="233" customFormat="false" ht="16" hidden="false" customHeight="false" outlineLevel="0" collapsed="false">
      <c r="A233" s="1" t="n">
        <v>223</v>
      </c>
      <c r="AB233" s="1" t="n">
        <v>223</v>
      </c>
      <c r="AC233" s="1" t="n">
        <f aca="false">IF(AD233=AD232,AC232+AC$1,AC$3-0.5*AC$1*(COUNTIF(AD$11:AD$1000,AD233)-1))</f>
        <v>0.977142857142857</v>
      </c>
      <c r="AD233" s="1" t="n">
        <v>4</v>
      </c>
      <c r="AE233" s="1" t="n">
        <v>-1</v>
      </c>
      <c r="AF233" s="1" t="n">
        <v>-1</v>
      </c>
      <c r="AG233" s="1" t="n">
        <v>-1</v>
      </c>
      <c r="AH233" s="1" t="n">
        <v>-1</v>
      </c>
      <c r="AI233" s="1" t="n">
        <v>-1</v>
      </c>
      <c r="AJ233" s="1" t="n">
        <v>-1</v>
      </c>
      <c r="AK233" s="1" t="n">
        <v>-1</v>
      </c>
      <c r="AL233" s="1" t="n">
        <v>-1</v>
      </c>
      <c r="AN233" s="1" t="n">
        <f aca="false">IF(AO233=AO232,AN232+AN$1,AN$3-0.5*AN$1*(COUNTIF(AO$11:AO$1000,AO233)-1))</f>
        <v>0.984615384615385</v>
      </c>
      <c r="AO233" s="1" t="n">
        <v>4</v>
      </c>
      <c r="AP233" s="1" t="n">
        <v>-1</v>
      </c>
      <c r="AQ233" s="1" t="n">
        <v>-1</v>
      </c>
      <c r="AR233" s="1" t="n">
        <v>-1</v>
      </c>
      <c r="AS233" s="1" t="n">
        <v>-1</v>
      </c>
      <c r="AT233" s="1" t="n">
        <v>-1</v>
      </c>
      <c r="AU233" s="1" t="n">
        <v>-1</v>
      </c>
      <c r="AV233" s="1" t="n">
        <v>-1</v>
      </c>
      <c r="AW233" s="1" t="n">
        <v>-1</v>
      </c>
      <c r="AY233" s="1" t="n">
        <v>223</v>
      </c>
    </row>
    <row r="234" customFormat="false" ht="16" hidden="false" customHeight="false" outlineLevel="0" collapsed="false">
      <c r="A234" s="1" t="n">
        <v>224</v>
      </c>
      <c r="AB234" s="1" t="n">
        <v>224</v>
      </c>
      <c r="AC234" s="1" t="n">
        <f aca="false">IF(AD234=AD233,AC233+AC$1,AC$3-0.5*AC$1*(COUNTIF(AD$11:AD$1000,AD234)-1))</f>
        <v>0.984761904761905</v>
      </c>
      <c r="AD234" s="1" t="n">
        <v>4</v>
      </c>
      <c r="AE234" s="1" t="n">
        <v>-1</v>
      </c>
      <c r="AF234" s="1" t="n">
        <v>-1</v>
      </c>
      <c r="AG234" s="1" t="n">
        <v>-1</v>
      </c>
      <c r="AH234" s="1" t="n">
        <v>-1</v>
      </c>
      <c r="AI234" s="1" t="n">
        <v>-1</v>
      </c>
      <c r="AJ234" s="1" t="n">
        <v>-1</v>
      </c>
      <c r="AK234" s="1" t="n">
        <v>-1</v>
      </c>
      <c r="AL234" s="1" t="n">
        <v>-1</v>
      </c>
      <c r="AN234" s="1" t="n">
        <f aca="false">IF(AO234=AO233,AN233+AN$1,AN$3-0.5*AN$1*(COUNTIF(AO$11:AO$1000,AO234)-1))</f>
        <v>0.992307692307692</v>
      </c>
      <c r="AO234" s="1" t="n">
        <v>4</v>
      </c>
      <c r="AP234" s="1" t="n">
        <v>-1</v>
      </c>
      <c r="AQ234" s="1" t="n">
        <v>-1</v>
      </c>
      <c r="AR234" s="1" t="n">
        <v>-1</v>
      </c>
      <c r="AS234" s="1" t="n">
        <v>-1</v>
      </c>
      <c r="AT234" s="1" t="n">
        <v>-1</v>
      </c>
      <c r="AU234" s="1" t="n">
        <v>-1</v>
      </c>
      <c r="AV234" s="1" t="n">
        <v>-1</v>
      </c>
      <c r="AW234" s="1" t="n">
        <v>-1</v>
      </c>
      <c r="AY234" s="1" t="n">
        <v>224</v>
      </c>
    </row>
    <row r="235" customFormat="false" ht="16" hidden="false" customHeight="false" outlineLevel="0" collapsed="false">
      <c r="AC235" s="1" t="n">
        <f aca="false">IF(AD235=AD234,AC234+AC$1,AC$3-0.5*AC$1*(COUNTIF(AD$11:AD$1000,AD235)-1))</f>
        <v>0.992380952380952</v>
      </c>
      <c r="AD235" s="1" t="n">
        <v>4</v>
      </c>
      <c r="AE235" s="1" t="n">
        <v>-1</v>
      </c>
      <c r="AF235" s="1" t="n">
        <v>-1</v>
      </c>
      <c r="AG235" s="1" t="n">
        <v>-1</v>
      </c>
      <c r="AH235" s="1" t="n">
        <v>-1</v>
      </c>
      <c r="AI235" s="1" t="n">
        <v>-1</v>
      </c>
      <c r="AJ235" s="1" t="n">
        <v>-1</v>
      </c>
      <c r="AK235" s="1" t="n">
        <v>-1</v>
      </c>
      <c r="AL235" s="1" t="n">
        <v>-1</v>
      </c>
      <c r="AN235" s="1" t="n">
        <f aca="false">IF(AO235=AO234,AN234+AN$1,AN$3-0.5*AN$1*(COUNTIF(AO$11:AO$1000,AO235)-1))</f>
        <v>1</v>
      </c>
      <c r="AO235" s="1" t="n">
        <v>4</v>
      </c>
      <c r="AP235" s="1" t="n">
        <v>-1</v>
      </c>
      <c r="AQ235" s="1" t="n">
        <v>-1</v>
      </c>
      <c r="AR235" s="1" t="n">
        <v>-1</v>
      </c>
      <c r="AS235" s="1" t="n">
        <v>-1</v>
      </c>
      <c r="AT235" s="1" t="n">
        <v>-1</v>
      </c>
      <c r="AU235" s="1" t="n">
        <v>-1</v>
      </c>
      <c r="AV235" s="1" t="n">
        <v>-1</v>
      </c>
      <c r="AW235" s="1" t="n">
        <v>-1</v>
      </c>
    </row>
    <row r="236" customFormat="false" ht="16" hidden="false" customHeight="false" outlineLevel="0" collapsed="false">
      <c r="AC236" s="1" t="n">
        <f aca="false">IF(AD236=AD235,AC235+AC$1,AC$3-0.5*AC$1*(COUNTIF(AD$11:AD$1000,AD236)-1))</f>
        <v>1</v>
      </c>
      <c r="AD236" s="1" t="n">
        <v>4</v>
      </c>
      <c r="AE236" s="1" t="n">
        <v>-1</v>
      </c>
      <c r="AF236" s="1" t="n">
        <v>-1</v>
      </c>
      <c r="AG236" s="1" t="n">
        <v>-1</v>
      </c>
      <c r="AH236" s="1" t="n">
        <v>-1</v>
      </c>
      <c r="AI236" s="1" t="n">
        <v>-1</v>
      </c>
      <c r="AJ236" s="1" t="n">
        <v>-1</v>
      </c>
      <c r="AK236" s="1" t="n">
        <v>-1</v>
      </c>
      <c r="AL236" s="1" t="n">
        <v>-1</v>
      </c>
      <c r="AN236" s="1" t="n">
        <f aca="false">IF(AO236=AO235,AN235+AN$1,AN$3-0.5*AN$1*(COUNTIF(AO$11:AO$1000,AO236)-1))</f>
        <v>1.00769230769231</v>
      </c>
      <c r="AO236" s="1" t="n">
        <v>4</v>
      </c>
      <c r="AP236" s="1" t="n">
        <v>-1</v>
      </c>
      <c r="AQ236" s="1" t="n">
        <v>-1</v>
      </c>
      <c r="AR236" s="1" t="n">
        <v>-1</v>
      </c>
      <c r="AS236" s="1" t="n">
        <v>-1</v>
      </c>
      <c r="AT236" s="1" t="n">
        <v>-1</v>
      </c>
      <c r="AU236" s="1" t="n">
        <v>-1</v>
      </c>
      <c r="AV236" s="1" t="n">
        <v>-1</v>
      </c>
      <c r="AW236" s="1" t="n">
        <v>-1</v>
      </c>
    </row>
    <row r="237" customFormat="false" ht="16" hidden="false" customHeight="false" outlineLevel="0" collapsed="false">
      <c r="AC237" s="1" t="n">
        <f aca="false">IF(AD237=AD236,AC236+AC$1,AC$3-0.5*AC$1*(COUNTIF(AD$11:AD$1000,AD237)-1))</f>
        <v>1.00761904761905</v>
      </c>
      <c r="AD237" s="1" t="n">
        <v>4</v>
      </c>
      <c r="AE237" s="1" t="n">
        <v>-1</v>
      </c>
      <c r="AF237" s="1" t="n">
        <v>-1</v>
      </c>
      <c r="AG237" s="1" t="n">
        <v>-1</v>
      </c>
      <c r="AH237" s="1" t="n">
        <v>-1</v>
      </c>
      <c r="AI237" s="1" t="n">
        <v>-1</v>
      </c>
      <c r="AJ237" s="1" t="n">
        <v>-1</v>
      </c>
      <c r="AK237" s="1" t="n">
        <v>-1</v>
      </c>
      <c r="AL237" s="1" t="n">
        <v>-1</v>
      </c>
      <c r="AN237" s="1" t="n">
        <f aca="false">IF(AO237=AO236,AN236+AN$1,AN$3-0.5*AN$1*(COUNTIF(AO$11:AO$1000,AO237)-1))</f>
        <v>1.01538461538462</v>
      </c>
      <c r="AO237" s="1" t="n">
        <v>4</v>
      </c>
      <c r="AP237" s="1" t="n">
        <v>-1</v>
      </c>
      <c r="AQ237" s="1" t="n">
        <v>-1</v>
      </c>
      <c r="AR237" s="1" t="n">
        <v>-1</v>
      </c>
      <c r="AS237" s="1" t="n">
        <v>-1</v>
      </c>
      <c r="AT237" s="1" t="n">
        <v>-1</v>
      </c>
      <c r="AU237" s="1" t="n">
        <v>-1</v>
      </c>
      <c r="AV237" s="1" t="n">
        <v>-1</v>
      </c>
      <c r="AW237" s="1" t="n">
        <v>-1</v>
      </c>
    </row>
    <row r="238" customFormat="false" ht="16" hidden="false" customHeight="false" outlineLevel="0" collapsed="false">
      <c r="AC238" s="1" t="n">
        <f aca="false">IF(AD238=AD237,AC237+AC$1,AC$3-0.5*AC$1*(COUNTIF(AD$11:AD$1000,AD238)-1))</f>
        <v>1.0152380952381</v>
      </c>
      <c r="AD238" s="1" t="n">
        <v>4</v>
      </c>
      <c r="AE238" s="1" t="n">
        <v>-1</v>
      </c>
      <c r="AF238" s="1" t="n">
        <v>-1</v>
      </c>
      <c r="AG238" s="1" t="n">
        <v>-1</v>
      </c>
      <c r="AH238" s="1" t="n">
        <v>-1</v>
      </c>
      <c r="AI238" s="1" t="n">
        <v>-1</v>
      </c>
      <c r="AJ238" s="1" t="n">
        <v>-1</v>
      </c>
      <c r="AK238" s="1" t="n">
        <v>-1</v>
      </c>
      <c r="AL238" s="1" t="n">
        <v>-1</v>
      </c>
      <c r="AN238" s="1" t="n">
        <f aca="false">IF(AO238=AO237,AN237+AN$1,AN$3-0.5*AN$1*(COUNTIF(AO$11:AO$1000,AO238)-1))</f>
        <v>1.02307692307692</v>
      </c>
      <c r="AO238" s="1" t="n">
        <v>4</v>
      </c>
      <c r="AP238" s="1" t="n">
        <v>-1</v>
      </c>
      <c r="AQ238" s="1" t="n">
        <v>-1</v>
      </c>
      <c r="AR238" s="1" t="n">
        <v>-1</v>
      </c>
      <c r="AS238" s="1" t="n">
        <v>-1</v>
      </c>
      <c r="AT238" s="1" t="n">
        <v>-1</v>
      </c>
      <c r="AU238" s="1" t="n">
        <v>-1</v>
      </c>
      <c r="AV238" s="1" t="n">
        <v>-1</v>
      </c>
      <c r="AW238" s="1" t="n">
        <v>-1</v>
      </c>
    </row>
    <row r="239" customFormat="false" ht="16" hidden="false" customHeight="false" outlineLevel="0" collapsed="false">
      <c r="AC239" s="1" t="n">
        <f aca="false">IF(AD239=AD238,AC238+AC$1,AC$3-0.5*AC$1*(COUNTIF(AD$11:AD$1000,AD239)-1))</f>
        <v>1.02285714285714</v>
      </c>
      <c r="AD239" s="1" t="n">
        <v>4</v>
      </c>
      <c r="AE239" s="1" t="n">
        <v>-1</v>
      </c>
      <c r="AF239" s="1" t="n">
        <v>-1</v>
      </c>
      <c r="AG239" s="1" t="n">
        <v>-1</v>
      </c>
      <c r="AH239" s="1" t="n">
        <v>-1</v>
      </c>
      <c r="AI239" s="1" t="n">
        <v>-1</v>
      </c>
      <c r="AJ239" s="1" t="n">
        <v>-1</v>
      </c>
      <c r="AK239" s="1" t="n">
        <v>-1</v>
      </c>
      <c r="AL239" s="1" t="n">
        <v>-1</v>
      </c>
      <c r="AN239" s="1" t="n">
        <f aca="false">IF(AO239=AO238,AN238+AN$1,AN$3-0.5*AN$1*(COUNTIF(AO$11:AO$1000,AO239)-1))</f>
        <v>1.03076923076923</v>
      </c>
      <c r="AO239" s="1" t="n">
        <v>4</v>
      </c>
      <c r="AP239" s="1" t="n">
        <v>-1</v>
      </c>
      <c r="AQ239" s="1" t="n">
        <v>-1</v>
      </c>
      <c r="AR239" s="1" t="n">
        <v>-1</v>
      </c>
      <c r="AS239" s="1" t="n">
        <v>-1</v>
      </c>
      <c r="AT239" s="1" t="n">
        <v>-1</v>
      </c>
      <c r="AU239" s="1" t="n">
        <v>-1</v>
      </c>
      <c r="AV239" s="1" t="n">
        <v>-1</v>
      </c>
      <c r="AW239" s="1" t="n">
        <v>-1</v>
      </c>
    </row>
    <row r="240" customFormat="false" ht="16" hidden="false" customHeight="false" outlineLevel="0" collapsed="false">
      <c r="AC240" s="1" t="n">
        <f aca="false">IF(AD240=AD239,AC239+AC$1,AC$3-0.5*AC$1*(COUNTIF(AD$11:AD$1000,AD240)-1))</f>
        <v>1</v>
      </c>
      <c r="AD240" s="1" t="n">
        <v>5</v>
      </c>
      <c r="AE240" s="1" t="n">
        <v>-1</v>
      </c>
      <c r="AF240" s="1" t="n">
        <v>-1</v>
      </c>
      <c r="AG240" s="1" t="n">
        <v>-1</v>
      </c>
      <c r="AH240" s="1" t="n">
        <v>-1</v>
      </c>
      <c r="AI240" s="1" t="n">
        <v>-1</v>
      </c>
      <c r="AJ240" s="1" t="n">
        <v>-1</v>
      </c>
      <c r="AK240" s="1" t="n">
        <v>-1</v>
      </c>
      <c r="AL240" s="1" t="n">
        <v>-1</v>
      </c>
      <c r="AN240" s="1" t="n">
        <f aca="false">IF(AO240=AO239,AN239+AN$1,AN$3-0.5*AN$1*(COUNTIF(AO$11:AO$1000,AO240)-1))</f>
        <v>1</v>
      </c>
      <c r="AO240" s="1" t="n">
        <v>5</v>
      </c>
      <c r="AP240" s="1" t="n">
        <v>-1</v>
      </c>
      <c r="AQ240" s="1" t="n">
        <v>-1</v>
      </c>
      <c r="AR240" s="1" t="n">
        <v>-1</v>
      </c>
      <c r="AS240" s="1" t="n">
        <v>-1</v>
      </c>
      <c r="AT240" s="1" t="n">
        <v>-1</v>
      </c>
      <c r="AU240" s="1" t="n">
        <v>-1</v>
      </c>
      <c r="AV240" s="1" t="n">
        <v>-1</v>
      </c>
      <c r="AW240" s="1" t="n">
        <v>-1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C3" activeCellId="0" sqref="BC3"/>
    </sheetView>
  </sheetViews>
  <sheetFormatPr defaultColWidth="10.50390625" defaultRowHeight="16" zeroHeight="false" outlineLevelRow="0" outlineLevelCol="0"/>
  <sheetData>
    <row r="1" customFormat="false" ht="16" hidden="false" customHeight="false" outlineLevel="0" collapsed="false">
      <c r="A1" s="1" t="s">
        <v>0</v>
      </c>
      <c r="B1" s="1" t="s">
        <v>1</v>
      </c>
      <c r="C1" s="1" t="s">
        <v>2</v>
      </c>
      <c r="I1" s="1" t="s">
        <v>3</v>
      </c>
      <c r="J1" s="1" t="s">
        <v>4</v>
      </c>
      <c r="K1" s="1" t="s">
        <v>5</v>
      </c>
      <c r="Q1" s="1" t="s">
        <v>9</v>
      </c>
      <c r="R1" s="1" t="s">
        <v>10</v>
      </c>
      <c r="S1" s="1" t="s">
        <v>11</v>
      </c>
      <c r="Z1" s="1" t="s">
        <v>15</v>
      </c>
      <c r="AA1" s="1" t="s">
        <v>16</v>
      </c>
      <c r="AB1" s="1" t="s">
        <v>17</v>
      </c>
      <c r="AJ1" s="1" t="s">
        <v>21</v>
      </c>
      <c r="AK1" s="1" t="s">
        <v>22</v>
      </c>
      <c r="AL1" s="1" t="s">
        <v>23</v>
      </c>
      <c r="AU1" s="1" t="s">
        <v>27</v>
      </c>
      <c r="AV1" s="1" t="s">
        <v>28</v>
      </c>
      <c r="AW1" s="1" t="s">
        <v>29</v>
      </c>
    </row>
    <row r="2" customFormat="false" ht="16" hidden="false" customHeight="false" outlineLevel="0" collapsed="false">
      <c r="A2" s="1" t="n">
        <v>2</v>
      </c>
      <c r="B2" s="1" t="n">
        <v>2</v>
      </c>
      <c r="C2" s="1" t="n">
        <f aca="false">B2-A2</f>
        <v>0</v>
      </c>
      <c r="I2" s="1" t="n">
        <v>2</v>
      </c>
      <c r="J2" s="1" t="n">
        <v>2</v>
      </c>
      <c r="K2" s="1" t="n">
        <f aca="false">J2-I2</f>
        <v>0</v>
      </c>
      <c r="Q2" s="1" t="n">
        <v>4</v>
      </c>
      <c r="R2" s="1" t="n">
        <v>4</v>
      </c>
      <c r="S2" s="1" t="n">
        <f aca="false">R2-Q2</f>
        <v>0</v>
      </c>
      <c r="Z2" s="1" t="n">
        <v>2</v>
      </c>
      <c r="AA2" s="1" t="n">
        <v>3</v>
      </c>
      <c r="AB2" s="1" t="n">
        <f aca="false">AA2-Z2</f>
        <v>1</v>
      </c>
      <c r="AJ2" s="1" t="n">
        <v>1</v>
      </c>
      <c r="AK2" s="1" t="n">
        <v>1</v>
      </c>
      <c r="AL2" s="1" t="n">
        <f aca="false">AK2-AJ2</f>
        <v>0</v>
      </c>
      <c r="AU2" s="1" t="n">
        <v>1</v>
      </c>
      <c r="AV2" s="1" t="n">
        <v>1</v>
      </c>
      <c r="AW2" s="1" t="n">
        <f aca="false">AV2-AU2</f>
        <v>0</v>
      </c>
    </row>
    <row r="3" customFormat="false" ht="16" hidden="false" customHeight="false" outlineLevel="0" collapsed="false">
      <c r="A3" s="1" t="n">
        <v>2</v>
      </c>
      <c r="B3" s="1" t="n">
        <v>2</v>
      </c>
      <c r="C3" s="1" t="n">
        <f aca="false">B3-A3</f>
        <v>0</v>
      </c>
      <c r="I3" s="1" t="n">
        <v>1</v>
      </c>
      <c r="J3" s="1" t="n">
        <v>1</v>
      </c>
      <c r="K3" s="1" t="n">
        <f aca="false">J3-I3</f>
        <v>0</v>
      </c>
      <c r="Q3" s="1" t="n">
        <v>5</v>
      </c>
      <c r="R3" s="1" t="n">
        <v>7</v>
      </c>
      <c r="S3" s="1" t="n">
        <f aca="false">R3-Q3</f>
        <v>2</v>
      </c>
      <c r="Z3" s="1" t="n">
        <v>4</v>
      </c>
      <c r="AA3" s="1" t="n">
        <v>6</v>
      </c>
      <c r="AB3" s="1" t="n">
        <f aca="false">AA3-Z3</f>
        <v>2</v>
      </c>
      <c r="AJ3" s="1" t="n">
        <v>1</v>
      </c>
      <c r="AK3" s="1" t="n">
        <v>1</v>
      </c>
      <c r="AL3" s="1" t="n">
        <f aca="false">AK3-AJ3</f>
        <v>0</v>
      </c>
      <c r="AU3" s="1" t="n">
        <v>3</v>
      </c>
      <c r="AV3" s="1" t="n">
        <v>3</v>
      </c>
      <c r="AW3" s="1" t="n">
        <f aca="false">AV3-AU3</f>
        <v>0</v>
      </c>
    </row>
    <row r="4" customFormat="false" ht="16" hidden="false" customHeight="false" outlineLevel="0" collapsed="false">
      <c r="A4" s="1" t="n">
        <v>2</v>
      </c>
      <c r="B4" s="1" t="n">
        <v>2</v>
      </c>
      <c r="C4" s="1" t="n">
        <f aca="false">B4-A4</f>
        <v>0</v>
      </c>
      <c r="E4" s="1" t="s">
        <v>33</v>
      </c>
      <c r="I4" s="1" t="n">
        <v>2</v>
      </c>
      <c r="J4" s="1" t="n">
        <v>2</v>
      </c>
      <c r="K4" s="1" t="n">
        <f aca="false">J4-I4</f>
        <v>0</v>
      </c>
      <c r="M4" s="1" t="s">
        <v>60</v>
      </c>
      <c r="Q4" s="1" t="n">
        <v>4</v>
      </c>
      <c r="R4" s="1" t="n">
        <v>4</v>
      </c>
      <c r="S4" s="1" t="n">
        <f aca="false">R4-Q4</f>
        <v>0</v>
      </c>
      <c r="U4" s="1" t="s">
        <v>71</v>
      </c>
      <c r="Z4" s="1" t="n">
        <v>2</v>
      </c>
      <c r="AA4" s="1" t="n">
        <v>5</v>
      </c>
      <c r="AB4" s="1" t="n">
        <f aca="false">AA4-Z4</f>
        <v>3</v>
      </c>
      <c r="AD4" s="1" t="s">
        <v>73</v>
      </c>
      <c r="AJ4" s="1" t="n">
        <v>1</v>
      </c>
      <c r="AK4" s="1" t="n">
        <v>1</v>
      </c>
      <c r="AL4" s="1" t="n">
        <f aca="false">AK4-AJ4</f>
        <v>0</v>
      </c>
      <c r="AN4" s="1" t="s">
        <v>75</v>
      </c>
      <c r="AU4" s="1" t="n">
        <v>2</v>
      </c>
      <c r="AV4" s="1" t="n">
        <v>4</v>
      </c>
      <c r="AW4" s="1" t="n">
        <f aca="false">AV4-AU4</f>
        <v>2</v>
      </c>
      <c r="AY4" s="1" t="s">
        <v>77</v>
      </c>
    </row>
    <row r="5" customFormat="false" ht="16" hidden="false" customHeight="false" outlineLevel="0" collapsed="false">
      <c r="A5" s="1" t="n">
        <v>1</v>
      </c>
      <c r="B5" s="1" t="n">
        <v>1</v>
      </c>
      <c r="C5" s="1" t="n">
        <f aca="false">B5-A5</f>
        <v>0</v>
      </c>
      <c r="F5" s="1" t="s">
        <v>95</v>
      </c>
      <c r="I5" s="1" t="n">
        <v>1</v>
      </c>
      <c r="J5" s="1" t="n">
        <v>2</v>
      </c>
      <c r="K5" s="1" t="n">
        <f aca="false">J5-I5</f>
        <v>1</v>
      </c>
      <c r="N5" s="1" t="s">
        <v>95</v>
      </c>
      <c r="Q5" s="1" t="n">
        <v>2</v>
      </c>
      <c r="R5" s="1" t="n">
        <v>3</v>
      </c>
      <c r="S5" s="1" t="n">
        <f aca="false">R5-Q5</f>
        <v>1</v>
      </c>
      <c r="V5" s="1" t="s">
        <v>95</v>
      </c>
      <c r="Z5" s="1" t="n">
        <v>2</v>
      </c>
      <c r="AA5" s="1" t="n">
        <v>4</v>
      </c>
      <c r="AB5" s="1" t="n">
        <f aca="false">AA5-Z5</f>
        <v>2</v>
      </c>
      <c r="AE5" s="1" t="s">
        <v>95</v>
      </c>
      <c r="AJ5" s="1" t="n">
        <v>3</v>
      </c>
      <c r="AK5" s="1" t="n">
        <v>3</v>
      </c>
      <c r="AL5" s="1" t="n">
        <f aca="false">AK5-AJ5</f>
        <v>0</v>
      </c>
      <c r="AO5" s="1" t="s">
        <v>95</v>
      </c>
      <c r="AU5" s="1" t="n">
        <v>2</v>
      </c>
      <c r="AV5" s="1" t="n">
        <v>8</v>
      </c>
      <c r="AW5" s="1" t="n">
        <f aca="false">AV5-AU5</f>
        <v>6</v>
      </c>
      <c r="AZ5" s="1" t="s">
        <v>95</v>
      </c>
    </row>
    <row r="6" customFormat="false" ht="16" hidden="false" customHeight="false" outlineLevel="0" collapsed="false">
      <c r="A6" s="1" t="n">
        <v>1</v>
      </c>
      <c r="B6" s="1" t="n">
        <v>1</v>
      </c>
      <c r="C6" s="1" t="n">
        <f aca="false">B6-A6</f>
        <v>0</v>
      </c>
      <c r="F6" s="1" t="n">
        <v>0</v>
      </c>
      <c r="G6" s="1" t="n">
        <v>1</v>
      </c>
      <c r="H6" s="1" t="n">
        <v>2</v>
      </c>
      <c r="I6" s="1" t="n">
        <v>1</v>
      </c>
      <c r="J6" s="1" t="n">
        <v>1</v>
      </c>
      <c r="K6" s="1" t="n">
        <f aca="false">J6-I6</f>
        <v>0</v>
      </c>
      <c r="N6" s="1" t="n">
        <v>0</v>
      </c>
      <c r="O6" s="1" t="n">
        <v>1</v>
      </c>
      <c r="P6" s="1" t="n">
        <v>2</v>
      </c>
      <c r="Q6" s="1" t="n">
        <v>3</v>
      </c>
      <c r="R6" s="1" t="n">
        <v>6</v>
      </c>
      <c r="S6" s="1" t="n">
        <f aca="false">R6-Q6</f>
        <v>3</v>
      </c>
      <c r="V6" s="1" t="n">
        <v>0</v>
      </c>
      <c r="W6" s="1" t="n">
        <v>1</v>
      </c>
      <c r="X6" s="1" t="n">
        <v>2</v>
      </c>
      <c r="Y6" s="1" t="n">
        <v>3</v>
      </c>
      <c r="Z6" s="1" t="n">
        <v>1</v>
      </c>
      <c r="AA6" s="1" t="n">
        <v>2</v>
      </c>
      <c r="AB6" s="1" t="n">
        <f aca="false">AA6-Z6</f>
        <v>1</v>
      </c>
      <c r="AE6" s="1" t="n">
        <v>0</v>
      </c>
      <c r="AF6" s="1" t="n">
        <v>1</v>
      </c>
      <c r="AG6" s="1" t="n">
        <v>2</v>
      </c>
      <c r="AH6" s="1" t="n">
        <v>3</v>
      </c>
      <c r="AI6" s="1" t="n">
        <v>4</v>
      </c>
      <c r="AJ6" s="1" t="n">
        <v>1</v>
      </c>
      <c r="AK6" s="1" t="n">
        <v>1</v>
      </c>
      <c r="AL6" s="1" t="n">
        <f aca="false">AK6-AJ6</f>
        <v>0</v>
      </c>
      <c r="AO6" s="1" t="n">
        <v>0</v>
      </c>
      <c r="AP6" s="1" t="n">
        <v>1</v>
      </c>
      <c r="AQ6" s="1" t="n">
        <v>2</v>
      </c>
      <c r="AR6" s="1" t="n">
        <v>3</v>
      </c>
      <c r="AS6" s="1" t="n">
        <v>4</v>
      </c>
      <c r="AT6" s="1" t="n">
        <v>5</v>
      </c>
      <c r="AU6" s="1" t="n">
        <v>4</v>
      </c>
      <c r="AV6" s="1" t="n">
        <v>8</v>
      </c>
      <c r="AW6" s="1" t="n">
        <f aca="false">AV6-AU6</f>
        <v>4</v>
      </c>
      <c r="AZ6" s="1" t="n">
        <v>0</v>
      </c>
      <c r="BA6" s="1" t="n">
        <v>1</v>
      </c>
      <c r="BB6" s="1" t="n">
        <v>2</v>
      </c>
      <c r="BC6" s="1" t="n">
        <v>3</v>
      </c>
      <c r="BD6" s="1" t="n">
        <v>4</v>
      </c>
      <c r="BE6" s="1" t="n">
        <v>5</v>
      </c>
      <c r="BF6" s="1" t="n">
        <v>6</v>
      </c>
      <c r="BG6" s="1" t="n">
        <v>7</v>
      </c>
      <c r="BH6" s="1" t="n">
        <v>8</v>
      </c>
      <c r="BI6" s="1" t="n">
        <v>9</v>
      </c>
      <c r="BJ6" s="1" t="n">
        <v>10</v>
      </c>
    </row>
    <row r="7" customFormat="false" ht="16" hidden="false" customHeight="false" outlineLevel="0" collapsed="false">
      <c r="A7" s="1" t="n">
        <v>2</v>
      </c>
      <c r="B7" s="1" t="n">
        <v>2</v>
      </c>
      <c r="C7" s="1" t="n">
        <f aca="false">B7-A7</f>
        <v>0</v>
      </c>
      <c r="D7" s="1" t="s">
        <v>96</v>
      </c>
      <c r="E7" s="1" t="n">
        <v>1</v>
      </c>
      <c r="F7" s="1" t="n">
        <f aca="false">COUNTIFS($A$2:$A$1000,$E7,$C$2:$C$1000,F$6)/COUNT($A$2:$A$1000)*100</f>
        <v>48.695652173913</v>
      </c>
      <c r="G7" s="1" t="n">
        <f aca="false">COUNTIFS($A$2:$A$1000,$E7,$C$2:$C$1000,G$6)/COUNT($A$2:$A$1000)*100</f>
        <v>0</v>
      </c>
      <c r="H7" s="1" t="n">
        <f aca="false">COUNTIFS($A$2:$A$1000,$E7,$C$2:$C$1000,H$6)/COUNT($A$2:$A$1000)*100</f>
        <v>0</v>
      </c>
      <c r="I7" s="1" t="n">
        <v>1</v>
      </c>
      <c r="J7" s="1" t="n">
        <v>1</v>
      </c>
      <c r="K7" s="1" t="n">
        <f aca="false">J7-I7</f>
        <v>0</v>
      </c>
      <c r="L7" s="1" t="s">
        <v>96</v>
      </c>
      <c r="M7" s="1" t="n">
        <v>1</v>
      </c>
      <c r="N7" s="1" t="n">
        <f aca="false">COUNTIFS($I$2:$I$1000,$M7,$K$2:$K$1000,N$6)/COUNT($I$2:$I$1000)*100</f>
        <v>36.5714285714286</v>
      </c>
      <c r="O7" s="1" t="n">
        <f aca="false">COUNTIFS($I$2:$I$1000,$M7,$K$2:$K$1000,O$6)/COUNT($I$2:$I$1000)*100</f>
        <v>2.28571428571429</v>
      </c>
      <c r="P7" s="1" t="n">
        <f aca="false">COUNTIFS($I$2:$I$1000,$M7,$K$2:$K$1000,P$6)/COUNT($I$2:$I$1000)*100</f>
        <v>1.71428571428571</v>
      </c>
      <c r="Q7" s="1" t="n">
        <v>5</v>
      </c>
      <c r="R7" s="1" t="n">
        <v>7</v>
      </c>
      <c r="S7" s="1" t="n">
        <f aca="false">R7-Q7</f>
        <v>2</v>
      </c>
      <c r="T7" s="1" t="s">
        <v>96</v>
      </c>
      <c r="U7" s="1" t="n">
        <v>1</v>
      </c>
      <c r="V7" s="1" t="n">
        <f aca="false">COUNTIFS($Q$2:$Q$1000,$U7,$S$2:$S$1000,V$6)/COUNT($Q$2:$Q$1000)*100</f>
        <v>15.4411764705882</v>
      </c>
      <c r="W7" s="1" t="n">
        <f aca="false">COUNTIFS($Q$2:$Q$1000,$U7,$S$2:$S$1000,W$6)/COUNT($Q$2:$Q$1000)*100</f>
        <v>5.14705882352941</v>
      </c>
      <c r="X7" s="1" t="n">
        <f aca="false">COUNTIFS($Q$2:$Q$1000,$U7,$S$2:$S$1000,X$6)/COUNT($Q$2:$Q$1000)*100</f>
        <v>2.94117647058823</v>
      </c>
      <c r="Y7" s="1" t="n">
        <f aca="false">COUNTIFS($Q$2:$Q$1000,$U7,$S$2:$S$1000,Y$6)/COUNT($Q$2:$Q$1000)*100</f>
        <v>0</v>
      </c>
      <c r="Z7" s="1" t="n">
        <v>4</v>
      </c>
      <c r="AA7" s="1" t="n">
        <v>4</v>
      </c>
      <c r="AB7" s="1" t="n">
        <f aca="false">AA7-Z7</f>
        <v>0</v>
      </c>
      <c r="AC7" s="1" t="s">
        <v>96</v>
      </c>
      <c r="AD7" s="1" t="n">
        <v>1</v>
      </c>
      <c r="AE7" s="1" t="n">
        <f aca="false">COUNTIFS($Z$2:$Z$1000,$AD7,$AB$2:$AB$1000,AE$6)/COUNT($Z$2:$Z$1000)*100</f>
        <v>15.0943396226415</v>
      </c>
      <c r="AF7" s="1" t="n">
        <f aca="false">COUNTIFS($Z$2:$Z$1000,$AD7,$AB$2:$AB$1000,AF$6)/COUNT($Z$2:$Z$1000)*100</f>
        <v>10.6918238993711</v>
      </c>
      <c r="AG7" s="1" t="n">
        <f aca="false">COUNTIFS($Z$2:$Z$1000,$AD7,$AB$2:$AB$1000,AG$6)/COUNT($Z$2:$Z$1000)*100</f>
        <v>5.66037735849057</v>
      </c>
      <c r="AH7" s="1" t="n">
        <f aca="false">COUNTIFS($Z$2:$Z$1000,$AD7,$AB$2:$AB$1000,AH$6)/COUNT($Z$2:$Z$1000)*100</f>
        <v>0.628930817610063</v>
      </c>
      <c r="AI7" s="1" t="n">
        <f aca="false">COUNTIFS($Z$2:$Z$1000,$AD7,$AB$2:$AB$1000,AI$6)/COUNT($Z$2:$Z$1000)*100</f>
        <v>0</v>
      </c>
      <c r="AJ7" s="1" t="n">
        <v>5</v>
      </c>
      <c r="AK7" s="1" t="n">
        <v>8</v>
      </c>
      <c r="AL7" s="1" t="n">
        <f aca="false">AK7-AJ7</f>
        <v>3</v>
      </c>
      <c r="AM7" s="1" t="s">
        <v>96</v>
      </c>
      <c r="AN7" s="1" t="n">
        <v>1</v>
      </c>
      <c r="AO7" s="1" t="n">
        <f aca="false">COUNTIFS($AJ$2:$AJ$1000,$AN7,$AL$2:$AL$1000,AO$6)/COUNT($AJ$2:$AJ$1000)*100</f>
        <v>7.53424657534247</v>
      </c>
      <c r="AP7" s="1" t="n">
        <f aca="false">COUNTIFS($AJ$2:$AJ$1000,$AN7,$AL$2:$AL$1000,AP$6)/COUNT($AJ$2:$AJ$1000)*100</f>
        <v>6.16438356164384</v>
      </c>
      <c r="AQ7" s="1" t="n">
        <f aca="false">COUNTIFS($AJ$2:$AJ$1000,$AN7,$AL$2:$AL$1000,AQ$6)/COUNT($AJ$2:$AJ$1000)*100</f>
        <v>2.73972602739726</v>
      </c>
      <c r="AR7" s="1" t="n">
        <f aca="false">COUNTIFS($AJ$2:$AJ$1000,$AN7,$AL$2:$AL$1000,AR$6)/COUNT($AJ$2:$AJ$1000)*100</f>
        <v>0.684931506849315</v>
      </c>
      <c r="AS7" s="1" t="n">
        <f aca="false">COUNTIFS($AJ$2:$AJ$1000,$AN7,$AL$2:$AL$1000,AS$6)/COUNT($AJ$2:$AJ$1000)*100</f>
        <v>1.36986301369863</v>
      </c>
      <c r="AT7" s="1" t="n">
        <f aca="false">COUNTIFS($AJ$2:$AJ$1000,$AN7,$AL$2:$AL$1000,AT$6)/COUNT($AJ$2:$AJ$1000)*100</f>
        <v>0</v>
      </c>
      <c r="AU7" s="1" t="n">
        <v>3</v>
      </c>
      <c r="AV7" s="1" t="n">
        <v>6</v>
      </c>
      <c r="AW7" s="1" t="n">
        <f aca="false">AV7-AU7</f>
        <v>3</v>
      </c>
      <c r="AX7" s="1" t="s">
        <v>96</v>
      </c>
      <c r="AY7" s="1" t="n">
        <v>1</v>
      </c>
      <c r="AZ7" s="1" t="n">
        <f aca="false">COUNTIFS($AU$2:$AU$1000,$AY7,$AW$2:$AW$1000,AZ$6)/COUNT($AU$2:$AU$1000)*100</f>
        <v>5.12820512820513</v>
      </c>
      <c r="BA7" s="1" t="n">
        <f aca="false">COUNTIFS($AU$2:$AU$1000,$AY7,$AW$2:$AW$1000,BA$6)/COUNT($AU$2:$AU$1000)*100</f>
        <v>2.05128205128205</v>
      </c>
      <c r="BB7" s="1" t="n">
        <f aca="false">COUNTIFS($AU$2:$AU$1000,$AY7,$AW$2:$AW$1000,BB$6)/COUNT($AU$2:$AU$1000)*100</f>
        <v>9.23076923076923</v>
      </c>
      <c r="BC7" s="1" t="n">
        <f aca="false">COUNTIFS($AU$2:$AU$1000,$AY7,$AW$2:$AW$1000,BC$6)/COUNT($AU$2:$AU$1000)*100</f>
        <v>1.02564102564103</v>
      </c>
      <c r="BD7" s="1" t="n">
        <f aca="false">COUNTIFS($AU$2:$AU$1000,$AY7,$AW$2:$AW$1000,BD$6)/COUNT($AU$2:$AU$1000)*100</f>
        <v>1.02564102564103</v>
      </c>
      <c r="BE7" s="1" t="n">
        <f aca="false">COUNTIFS($AU$2:$AU$1000,$AY7,$AW$2:$AW$1000,BE$6)/COUNT($AU$2:$AU$1000)*100</f>
        <v>0.512820512820513</v>
      </c>
      <c r="BF7" s="1" t="n">
        <f aca="false">COUNTIFS($AU$2:$AU$1000,$AY7,$AW$2:$AW$1000,BF$6)/COUNT($AU$2:$AU$1000)*100</f>
        <v>0</v>
      </c>
      <c r="BG7" s="1" t="n">
        <f aca="false">COUNTIFS($AU$2:$AU$1000,$AY7,$AW$2:$AW$1000,BG$6)/COUNT($AU$2:$AU$1000)*100</f>
        <v>0</v>
      </c>
      <c r="BH7" s="1" t="n">
        <f aca="false">COUNTIFS($AU$2:$AU$1000,$AY7,$AW$2:$AW$1000,BH$6)/COUNT($AU$2:$AU$1000)*100</f>
        <v>0</v>
      </c>
      <c r="BI7" s="1" t="n">
        <f aca="false">COUNTIFS($AU$2:$AU$1000,$AY7,$AW$2:$AW$1000,BI$6)/COUNT($AU$2:$AU$1000)*100</f>
        <v>0</v>
      </c>
      <c r="BJ7" s="1" t="n">
        <f aca="false">COUNTIFS($AU$2:$AU$1000,$AY7,$AW$2:$AW$1000,BJ$6)/COUNT($AU$2:$AU$1000)*100</f>
        <v>0</v>
      </c>
    </row>
    <row r="8" customFormat="false" ht="16" hidden="false" customHeight="false" outlineLevel="0" collapsed="false">
      <c r="A8" s="1" t="n">
        <v>1</v>
      </c>
      <c r="B8" s="1" t="n">
        <v>1</v>
      </c>
      <c r="C8" s="1" t="n">
        <f aca="false">B8-A8</f>
        <v>0</v>
      </c>
      <c r="E8" s="1" t="n">
        <v>2</v>
      </c>
      <c r="F8" s="1" t="n">
        <f aca="false">COUNTIFS($A$2:$A$1000,$E8,$C$2:$C$1000,F$6)/COUNT($A$2:$A$1000)*100</f>
        <v>49.5652173913044</v>
      </c>
      <c r="G8" s="1" t="n">
        <f aca="false">COUNTIFS($A$2:$A$1000,$E8,$C$2:$C$1000,G$6)/COUNT($A$2:$A$1000)*100</f>
        <v>0</v>
      </c>
      <c r="H8" s="1" t="n">
        <f aca="false">COUNTIFS($A$2:$A$1000,$E8,$C$2:$C$1000,H$6)/COUNT($A$2:$A$1000)*100</f>
        <v>0</v>
      </c>
      <c r="I8" s="1" t="n">
        <v>1</v>
      </c>
      <c r="J8" s="1" t="n">
        <v>1</v>
      </c>
      <c r="K8" s="1" t="n">
        <f aca="false">J8-I8</f>
        <v>0</v>
      </c>
      <c r="M8" s="1" t="n">
        <v>2</v>
      </c>
      <c r="N8" s="1" t="n">
        <f aca="false">COUNTIFS($I$2:$I$1000,$M8,$K$2:$K$1000,N$6)/COUNT($I$2:$I$1000)*100</f>
        <v>45.7142857142857</v>
      </c>
      <c r="O8" s="1" t="n">
        <f aca="false">COUNTIFS($I$2:$I$1000,$M8,$K$2:$K$1000,O$6)/COUNT($I$2:$I$1000)*100</f>
        <v>0.571428571428571</v>
      </c>
      <c r="P8" s="1" t="n">
        <f aca="false">COUNTIFS($I$2:$I$1000,$M8,$K$2:$K$1000,P$6)/COUNT($I$2:$I$1000)*100</f>
        <v>1.14285714285714</v>
      </c>
      <c r="Q8" s="1" t="n">
        <v>4</v>
      </c>
      <c r="R8" s="1" t="n">
        <v>4</v>
      </c>
      <c r="S8" s="1" t="n">
        <f aca="false">R8-Q8</f>
        <v>0</v>
      </c>
      <c r="U8" s="1" t="n">
        <v>2</v>
      </c>
      <c r="V8" s="1" t="n">
        <f aca="false">COUNTIFS($Q$2:$Q$1000,$U8,$S$2:$S$1000,V$6)/COUNT($Q$2:$Q$1000)*100</f>
        <v>35.2941176470588</v>
      </c>
      <c r="W8" s="1" t="n">
        <f aca="false">COUNTIFS($Q$2:$Q$1000,$U8,$S$2:$S$1000,W$6)/COUNT($Q$2:$Q$1000)*100</f>
        <v>4.41176470588235</v>
      </c>
      <c r="X8" s="1" t="n">
        <f aca="false">COUNTIFS($Q$2:$Q$1000,$U8,$S$2:$S$1000,X$6)/COUNT($Q$2:$Q$1000)*100</f>
        <v>7.35294117647059</v>
      </c>
      <c r="Y8" s="1" t="n">
        <f aca="false">COUNTIFS($Q$2:$Q$1000,$U8,$S$2:$S$1000,Y$6)/COUNT($Q$2:$Q$1000)*100</f>
        <v>0</v>
      </c>
      <c r="Z8" s="1" t="n">
        <v>1</v>
      </c>
      <c r="AA8" s="1" t="n">
        <v>1</v>
      </c>
      <c r="AB8" s="1" t="n">
        <f aca="false">AA8-Z8</f>
        <v>0</v>
      </c>
      <c r="AD8" s="1" t="n">
        <v>2</v>
      </c>
      <c r="AE8" s="1" t="n">
        <f aca="false">COUNTIFS($Z$2:$Z$1000,$AD8,$AB$2:$AB$1000,AE$6)/COUNT($Z$2:$Z$1000)*100</f>
        <v>21.3836477987421</v>
      </c>
      <c r="AF8" s="1" t="n">
        <f aca="false">COUNTIFS($Z$2:$Z$1000,$AD8,$AB$2:$AB$1000,AF$6)/COUNT($Z$2:$Z$1000)*100</f>
        <v>5.0314465408805</v>
      </c>
      <c r="AG8" s="1" t="n">
        <f aca="false">COUNTIFS($Z$2:$Z$1000,$AD8,$AB$2:$AB$1000,AG$6)/COUNT($Z$2:$Z$1000)*100</f>
        <v>11.9496855345912</v>
      </c>
      <c r="AH8" s="1" t="n">
        <f aca="false">COUNTIFS($Z$2:$Z$1000,$AD8,$AB$2:$AB$1000,AH$6)/COUNT($Z$2:$Z$1000)*100</f>
        <v>2.51572327044025</v>
      </c>
      <c r="AI8" s="1" t="n">
        <f aca="false">COUNTIFS($Z$2:$Z$1000,$AD8,$AB$2:$AB$1000,AI$6)/COUNT($Z$2:$Z$1000)*100</f>
        <v>0.628930817610063</v>
      </c>
      <c r="AJ8" s="1" t="n">
        <v>1</v>
      </c>
      <c r="AK8" s="1" t="n">
        <v>5</v>
      </c>
      <c r="AL8" s="1" t="n">
        <f aca="false">AK8-AJ8</f>
        <v>4</v>
      </c>
      <c r="AN8" s="1" t="n">
        <v>2</v>
      </c>
      <c r="AO8" s="1" t="n">
        <f aca="false">COUNTIFS($AJ$2:$AJ$1000,$AN8,$AL$2:$AL$1000,AO$6)/COUNT($AJ$2:$AJ$1000)*100</f>
        <v>20.5479452054794</v>
      </c>
      <c r="AP8" s="1" t="n">
        <f aca="false">COUNTIFS($AJ$2:$AJ$1000,$AN8,$AL$2:$AL$1000,AP$6)/COUNT($AJ$2:$AJ$1000)*100</f>
        <v>10.2739726027397</v>
      </c>
      <c r="AQ8" s="1" t="n">
        <f aca="false">COUNTIFS($AJ$2:$AJ$1000,$AN8,$AL$2:$AL$1000,AQ$6)/COUNT($AJ$2:$AJ$1000)*100</f>
        <v>13.013698630137</v>
      </c>
      <c r="AR8" s="1" t="n">
        <f aca="false">COUNTIFS($AJ$2:$AJ$1000,$AN8,$AL$2:$AL$1000,AR$6)/COUNT($AJ$2:$AJ$1000)*100</f>
        <v>2.73972602739726</v>
      </c>
      <c r="AS8" s="1" t="n">
        <f aca="false">COUNTIFS($AJ$2:$AJ$1000,$AN8,$AL$2:$AL$1000,AS$6)/COUNT($AJ$2:$AJ$1000)*100</f>
        <v>2.73972602739726</v>
      </c>
      <c r="AT8" s="1" t="n">
        <f aca="false">COUNTIFS($AJ$2:$AJ$1000,$AN8,$AL$2:$AL$1000,AT$6)/COUNT($AJ$2:$AJ$1000)*100</f>
        <v>0.684931506849315</v>
      </c>
      <c r="AU8" s="1" t="n">
        <v>6</v>
      </c>
      <c r="AV8" s="1" t="n">
        <v>12</v>
      </c>
      <c r="AW8" s="1" t="n">
        <f aca="false">AV8-AU8</f>
        <v>6</v>
      </c>
      <c r="AY8" s="1" t="n">
        <v>2</v>
      </c>
      <c r="AZ8" s="3" t="n">
        <f aca="false">COUNTIFS($AU$2:$AU$1000,$AY8,$AW$2:$AW$1000,AZ$6)/COUNT($AU$2:$AU$1000)*100</f>
        <v>9.74358974358974</v>
      </c>
      <c r="BA8" s="1" t="n">
        <f aca="false">COUNTIFS($AU$2:$AU$1000,$AY8,$AW$2:$AW$1000,BA$6)/COUNT($AU$2:$AU$1000)*100</f>
        <v>3.07692307692308</v>
      </c>
      <c r="BB8" s="3" t="n">
        <f aca="false">COUNTIFS($AU$2:$AU$1000,$AY8,$AW$2:$AW$1000,BB$6)/COUNT($AU$2:$AU$1000)*100</f>
        <v>14.3589743589744</v>
      </c>
      <c r="BC8" s="1" t="n">
        <f aca="false">COUNTIFS($AU$2:$AU$1000,$AY8,$AW$2:$AW$1000,BC$6)/COUNT($AU$2:$AU$1000)*100</f>
        <v>4.1025641025641</v>
      </c>
      <c r="BD8" s="3" t="n">
        <f aca="false">COUNTIFS($AU$2:$AU$1000,$AY8,$AW$2:$AW$1000,BD$6)/COUNT($AU$2:$AU$1000)*100</f>
        <v>5.64102564102564</v>
      </c>
      <c r="BE8" s="1" t="n">
        <f aca="false">COUNTIFS($AU$2:$AU$1000,$AY8,$AW$2:$AW$1000,BE$6)/COUNT($AU$2:$AU$1000)*100</f>
        <v>0</v>
      </c>
      <c r="BF8" s="3" t="n">
        <f aca="false">COUNTIFS($AU$2:$AU$1000,$AY8,$AW$2:$AW$1000,BF$6)/COUNT($AU$2:$AU$1000)*100</f>
        <v>2.05128205128205</v>
      </c>
      <c r="BG8" s="1" t="n">
        <f aca="false">COUNTIFS($AU$2:$AU$1000,$AY8,$AW$2:$AW$1000,BG$6)/COUNT($AU$2:$AU$1000)*100</f>
        <v>0</v>
      </c>
      <c r="BH8" s="1" t="n">
        <f aca="false">COUNTIFS($AU$2:$AU$1000,$AY8,$AW$2:$AW$1000,BH$6)/COUNT($AU$2:$AU$1000)*100</f>
        <v>0</v>
      </c>
      <c r="BI8" s="1" t="n">
        <f aca="false">COUNTIFS($AU$2:$AU$1000,$AY8,$AW$2:$AW$1000,BI$6)/COUNT($AU$2:$AU$1000)*100</f>
        <v>0</v>
      </c>
      <c r="BJ8" s="1" t="n">
        <f aca="false">COUNTIFS($AU$2:$AU$1000,$AY8,$AW$2:$AW$1000,BJ$6)/COUNT($AU$2:$AU$1000)*100</f>
        <v>0</v>
      </c>
    </row>
    <row r="9" customFormat="false" ht="16" hidden="false" customHeight="false" outlineLevel="0" collapsed="false">
      <c r="A9" s="1" t="n">
        <v>1</v>
      </c>
      <c r="B9" s="1" t="n">
        <v>1</v>
      </c>
      <c r="C9" s="1" t="n">
        <f aca="false">B9-A9</f>
        <v>0</v>
      </c>
      <c r="E9" s="1" t="n">
        <v>3</v>
      </c>
      <c r="F9" s="1" t="n">
        <f aca="false">COUNTIFS($A$2:$A$1000,$E9,$C$2:$C$1000,F$6)/COUNT($A$2:$A$1000)*100</f>
        <v>0.869565217391304</v>
      </c>
      <c r="G9" s="1" t="n">
        <f aca="false">COUNTIFS($A$2:$A$1000,$E9,$C$2:$C$1000,G$6)/COUNT($A$2:$A$1000)*100</f>
        <v>0</v>
      </c>
      <c r="H9" s="1" t="n">
        <f aca="false">COUNTIFS($A$2:$A$1000,$E9,$C$2:$C$1000,H$6)/COUNT($A$2:$A$1000)*100</f>
        <v>0</v>
      </c>
      <c r="I9" s="1" t="n">
        <v>2</v>
      </c>
      <c r="J9" s="1" t="n">
        <v>2</v>
      </c>
      <c r="K9" s="1" t="n">
        <f aca="false">J9-I9</f>
        <v>0</v>
      </c>
      <c r="M9" s="1" t="n">
        <v>3</v>
      </c>
      <c r="N9" s="1" t="n">
        <f aca="false">COUNTIFS($I$2:$I$1000,$M9,$K$2:$K$1000,N$6)/COUNT($I$2:$I$1000)*100</f>
        <v>9.14285714285714</v>
      </c>
      <c r="O9" s="1" t="n">
        <f aca="false">COUNTIFS($I$2:$I$1000,$M9,$K$2:$K$1000,O$6)/COUNT($I$2:$I$1000)*100</f>
        <v>0</v>
      </c>
      <c r="P9" s="1" t="n">
        <f aca="false">COUNTIFS($I$2:$I$1000,$M9,$K$2:$K$1000,P$6)/COUNT($I$2:$I$1000)*100</f>
        <v>0</v>
      </c>
      <c r="Q9" s="1" t="n">
        <v>2</v>
      </c>
      <c r="R9" s="1" t="n">
        <v>2</v>
      </c>
      <c r="S9" s="1" t="n">
        <f aca="false">R9-Q9</f>
        <v>0</v>
      </c>
      <c r="U9" s="1" t="n">
        <v>3</v>
      </c>
      <c r="V9" s="1" t="n">
        <f aca="false">COUNTIFS($Q$2:$Q$1000,$U9,$S$2:$S$1000,V$6)/COUNT($Q$2:$Q$1000)*100</f>
        <v>5.88235294117647</v>
      </c>
      <c r="W9" s="1" t="n">
        <f aca="false">COUNTIFS($Q$2:$Q$1000,$U9,$S$2:$S$1000,W$6)/COUNT($Q$2:$Q$1000)*100</f>
        <v>0.735294117647059</v>
      </c>
      <c r="X9" s="1" t="n">
        <f aca="false">COUNTIFS($Q$2:$Q$1000,$U9,$S$2:$S$1000,X$6)/COUNT($Q$2:$Q$1000)*100</f>
        <v>1.47058823529412</v>
      </c>
      <c r="Y9" s="1" t="n">
        <f aca="false">COUNTIFS($Q$2:$Q$1000,$U9,$S$2:$S$1000,Y$6)/COUNT($Q$2:$Q$1000)*100</f>
        <v>0.735294117647059</v>
      </c>
      <c r="Z9" s="1" t="n">
        <v>1</v>
      </c>
      <c r="AA9" s="1" t="n">
        <v>1</v>
      </c>
      <c r="AB9" s="1" t="n">
        <f aca="false">AA9-Z9</f>
        <v>0</v>
      </c>
      <c r="AD9" s="1" t="n">
        <v>3</v>
      </c>
      <c r="AE9" s="1" t="n">
        <f aca="false">COUNTIFS($Z$2:$Z$1000,$AD9,$AB$2:$AB$1000,AE$6)/COUNT($Z$2:$Z$1000)*100</f>
        <v>4.40251572327044</v>
      </c>
      <c r="AF9" s="1" t="n">
        <f aca="false">COUNTIFS($Z$2:$Z$1000,$AD9,$AB$2:$AB$1000,AF$6)/COUNT($Z$2:$Z$1000)*100</f>
        <v>1.25786163522013</v>
      </c>
      <c r="AG9" s="1" t="n">
        <f aca="false">COUNTIFS($Z$2:$Z$1000,$AD9,$AB$2:$AB$1000,AG$6)/COUNT($Z$2:$Z$1000)*100</f>
        <v>3.77358490566038</v>
      </c>
      <c r="AH9" s="1" t="n">
        <f aca="false">COUNTIFS($Z$2:$Z$1000,$AD9,$AB$2:$AB$1000,AH$6)/COUNT($Z$2:$Z$1000)*100</f>
        <v>0</v>
      </c>
      <c r="AI9" s="1" t="n">
        <f aca="false">COUNTIFS($Z$2:$Z$1000,$AD9,$AB$2:$AB$1000,AI$6)/COUNT($Z$2:$Z$1000)*100</f>
        <v>0</v>
      </c>
      <c r="AJ9" s="1" t="n">
        <v>4</v>
      </c>
      <c r="AK9" s="1" t="n">
        <v>4</v>
      </c>
      <c r="AL9" s="1" t="n">
        <f aca="false">AK9-AJ9</f>
        <v>0</v>
      </c>
      <c r="AN9" s="1" t="n">
        <v>3</v>
      </c>
      <c r="AO9" s="1" t="n">
        <f aca="false">COUNTIFS($AJ$2:$AJ$1000,$AN9,$AL$2:$AL$1000,AO$6)/COUNT($AJ$2:$AJ$1000)*100</f>
        <v>2.73972602739726</v>
      </c>
      <c r="AP9" s="1" t="n">
        <f aca="false">COUNTIFS($AJ$2:$AJ$1000,$AN9,$AL$2:$AL$1000,AP$6)/COUNT($AJ$2:$AJ$1000)*100</f>
        <v>0.684931506849315</v>
      </c>
      <c r="AQ9" s="1" t="n">
        <f aca="false">COUNTIFS($AJ$2:$AJ$1000,$AN9,$AL$2:$AL$1000,AQ$6)/COUNT($AJ$2:$AJ$1000)*100</f>
        <v>4.10958904109589</v>
      </c>
      <c r="AR9" s="1" t="n">
        <f aca="false">COUNTIFS($AJ$2:$AJ$1000,$AN9,$AL$2:$AL$1000,AR$6)/COUNT($AJ$2:$AJ$1000)*100</f>
        <v>1.36986301369863</v>
      </c>
      <c r="AS9" s="1" t="n">
        <f aca="false">COUNTIFS($AJ$2:$AJ$1000,$AN9,$AL$2:$AL$1000,AS$6)/COUNT($AJ$2:$AJ$1000)*100</f>
        <v>0</v>
      </c>
      <c r="AT9" s="1" t="n">
        <f aca="false">COUNTIFS($AJ$2:$AJ$1000,$AN9,$AL$2:$AL$1000,AT$6)/COUNT($AJ$2:$AJ$1000)*100</f>
        <v>0.684931506849315</v>
      </c>
      <c r="AU9" s="1" t="n">
        <v>2</v>
      </c>
      <c r="AV9" s="1" t="n">
        <v>4</v>
      </c>
      <c r="AW9" s="1" t="n">
        <f aca="false">AV9-AU9</f>
        <v>2</v>
      </c>
      <c r="AY9" s="1" t="n">
        <v>3</v>
      </c>
      <c r="AZ9" s="1" t="n">
        <f aca="false">COUNTIFS($AU$2:$AU$1000,$AY9,$AW$2:$AW$1000,AZ$6)/COUNT($AU$2:$AU$1000)*100</f>
        <v>5.64102564102564</v>
      </c>
      <c r="BA9" s="1" t="n">
        <f aca="false">COUNTIFS($AU$2:$AU$1000,$AY9,$AW$2:$AW$1000,BA$6)/COUNT($AU$2:$AU$1000)*100</f>
        <v>0</v>
      </c>
      <c r="BB9" s="1" t="n">
        <f aca="false">COUNTIFS($AU$2:$AU$1000,$AY9,$AW$2:$AW$1000,BB$6)/COUNT($AU$2:$AU$1000)*100</f>
        <v>3.07692307692308</v>
      </c>
      <c r="BC9" s="1" t="n">
        <f aca="false">COUNTIFS($AU$2:$AU$1000,$AY9,$AW$2:$AW$1000,BC$6)/COUNT($AU$2:$AU$1000)*100</f>
        <v>1.53846153846154</v>
      </c>
      <c r="BD9" s="1" t="n">
        <f aca="false">COUNTIFS($AU$2:$AU$1000,$AY9,$AW$2:$AW$1000,BD$6)/COUNT($AU$2:$AU$1000)*100</f>
        <v>2.05128205128205</v>
      </c>
      <c r="BE9" s="1" t="n">
        <f aca="false">COUNTIFS($AU$2:$AU$1000,$AY9,$AW$2:$AW$1000,BE$6)/COUNT($AU$2:$AU$1000)*100</f>
        <v>0.512820512820513</v>
      </c>
      <c r="BF9" s="1" t="n">
        <f aca="false">COUNTIFS($AU$2:$AU$1000,$AY9,$AW$2:$AW$1000,BF$6)/COUNT($AU$2:$AU$1000)*100</f>
        <v>0</v>
      </c>
      <c r="BG9" s="1" t="n">
        <f aca="false">COUNTIFS($AU$2:$AU$1000,$AY9,$AW$2:$AW$1000,BG$6)/COUNT($AU$2:$AU$1000)*100</f>
        <v>0</v>
      </c>
      <c r="BH9" s="1" t="n">
        <f aca="false">COUNTIFS($AU$2:$AU$1000,$AY9,$AW$2:$AW$1000,BH$6)/COUNT($AU$2:$AU$1000)*100</f>
        <v>0</v>
      </c>
      <c r="BI9" s="1" t="n">
        <f aca="false">COUNTIFS($AU$2:$AU$1000,$AY9,$AW$2:$AW$1000,BI$6)/COUNT($AU$2:$AU$1000)*100</f>
        <v>0</v>
      </c>
      <c r="BJ9" s="1" t="n">
        <f aca="false">COUNTIFS($AU$2:$AU$1000,$AY9,$AW$2:$AW$1000,BJ$6)/COUNT($AU$2:$AU$1000)*100</f>
        <v>0</v>
      </c>
    </row>
    <row r="10" customFormat="false" ht="16" hidden="false" customHeight="false" outlineLevel="0" collapsed="false">
      <c r="A10" s="1" t="n">
        <v>1</v>
      </c>
      <c r="B10" s="1" t="n">
        <v>1</v>
      </c>
      <c r="C10" s="1" t="n">
        <f aca="false">B10-A10</f>
        <v>0</v>
      </c>
      <c r="E10" s="1" t="n">
        <v>4</v>
      </c>
      <c r="F10" s="1" t="n">
        <f aca="false">COUNTIFS($A$2:$A$1000,$E10,$C$2:$C$1000,F$6)/COUNT($A$2:$A$1000)*100</f>
        <v>0.869565217391304</v>
      </c>
      <c r="G10" s="1" t="n">
        <f aca="false">COUNTIFS($A$2:$A$1000,$E10,$C$2:$C$1000,G$6)/COUNT($A$2:$A$1000)*100</f>
        <v>0</v>
      </c>
      <c r="H10" s="1" t="n">
        <f aca="false">COUNTIFS($A$2:$A$1000,$E10,$C$2:$C$1000,H$6)/COUNT($A$2:$A$1000)*100</f>
        <v>0</v>
      </c>
      <c r="I10" s="1" t="n">
        <v>1</v>
      </c>
      <c r="J10" s="1" t="n">
        <v>1</v>
      </c>
      <c r="K10" s="1" t="n">
        <f aca="false">J10-I10</f>
        <v>0</v>
      </c>
      <c r="M10" s="1" t="n">
        <v>4</v>
      </c>
      <c r="N10" s="1" t="n">
        <f aca="false">COUNTIFS($I$2:$I$1000,$M10,$K$2:$K$1000,N$6)/COUNT($I$2:$I$1000)*100</f>
        <v>2.85714285714286</v>
      </c>
      <c r="O10" s="1" t="n">
        <f aca="false">COUNTIFS($I$2:$I$1000,$M10,$K$2:$K$1000,O$6)/COUNT($I$2:$I$1000)*100</f>
        <v>0</v>
      </c>
      <c r="P10" s="1" t="n">
        <f aca="false">COUNTIFS($I$2:$I$1000,$M10,$K$2:$K$1000,P$6)/COUNT($I$2:$I$1000)*100</f>
        <v>0</v>
      </c>
      <c r="Q10" s="1" t="n">
        <v>3</v>
      </c>
      <c r="R10" s="1" t="n">
        <v>3</v>
      </c>
      <c r="S10" s="1" t="n">
        <f aca="false">R10-Q10</f>
        <v>0</v>
      </c>
      <c r="U10" s="1" t="n">
        <v>4</v>
      </c>
      <c r="V10" s="1" t="n">
        <f aca="false">COUNTIFS($Q$2:$Q$1000,$U10,$S$2:$S$1000,V$6)/COUNT($Q$2:$Q$1000)*100</f>
        <v>13.9705882352941</v>
      </c>
      <c r="W10" s="1" t="n">
        <f aca="false">COUNTIFS($Q$2:$Q$1000,$U10,$S$2:$S$1000,W$6)/COUNT($Q$2:$Q$1000)*100</f>
        <v>1.47058823529412</v>
      </c>
      <c r="X10" s="1" t="n">
        <f aca="false">COUNTIFS($Q$2:$Q$1000,$U10,$S$2:$S$1000,X$6)/COUNT($Q$2:$Q$1000)*100</f>
        <v>2.20588235294118</v>
      </c>
      <c r="Y10" s="1" t="n">
        <f aca="false">COUNTIFS($Q$2:$Q$1000,$U10,$S$2:$S$1000,Y$6)/COUNT($Q$2:$Q$1000)*100</f>
        <v>0.735294117647059</v>
      </c>
      <c r="Z10" s="1" t="n">
        <v>2</v>
      </c>
      <c r="AA10" s="1" t="n">
        <v>4</v>
      </c>
      <c r="AB10" s="1" t="n">
        <f aca="false">AA10-Z10</f>
        <v>2</v>
      </c>
      <c r="AD10" s="1" t="n">
        <v>4</v>
      </c>
      <c r="AE10" s="1" t="n">
        <f aca="false">COUNTIFS($Z$2:$Z$1000,$AD10,$AB$2:$AB$1000,AE$6)/COUNT($Z$2:$Z$1000)*100</f>
        <v>6.28930817610063</v>
      </c>
      <c r="AF10" s="1" t="n">
        <f aca="false">COUNTIFS($Z$2:$Z$1000,$AD10,$AB$2:$AB$1000,AF$6)/COUNT($Z$2:$Z$1000)*100</f>
        <v>0.628930817610063</v>
      </c>
      <c r="AG10" s="1" t="n">
        <f aca="false">COUNTIFS($Z$2:$Z$1000,$AD10,$AB$2:$AB$1000,AG$6)/COUNT($Z$2:$Z$1000)*100</f>
        <v>5.0314465408805</v>
      </c>
      <c r="AH10" s="1" t="n">
        <f aca="false">COUNTIFS($Z$2:$Z$1000,$AD10,$AB$2:$AB$1000,AH$6)/COUNT($Z$2:$Z$1000)*100</f>
        <v>0</v>
      </c>
      <c r="AI10" s="1" t="n">
        <f aca="false">COUNTIFS($Z$2:$Z$1000,$AD10,$AB$2:$AB$1000,AI$6)/COUNT($Z$2:$Z$1000)*100</f>
        <v>0</v>
      </c>
      <c r="AJ10" s="1" t="n">
        <v>3</v>
      </c>
      <c r="AK10" s="1" t="n">
        <v>8</v>
      </c>
      <c r="AL10" s="1" t="n">
        <f aca="false">AK10-AJ10</f>
        <v>5</v>
      </c>
      <c r="AN10" s="1" t="n">
        <v>4</v>
      </c>
      <c r="AO10" s="1" t="n">
        <f aca="false">COUNTIFS($AJ$2:$AJ$1000,$AN10,$AL$2:$AL$1000,AO$6)/COUNT($AJ$2:$AJ$1000)*100</f>
        <v>3.42465753424658</v>
      </c>
      <c r="AP10" s="1" t="n">
        <f aca="false">COUNTIFS($AJ$2:$AJ$1000,$AN10,$AL$2:$AL$1000,AP$6)/COUNT($AJ$2:$AJ$1000)*100</f>
        <v>1.36986301369863</v>
      </c>
      <c r="AQ10" s="1" t="n">
        <f aca="false">COUNTIFS($AJ$2:$AJ$1000,$AN10,$AL$2:$AL$1000,AQ$6)/COUNT($AJ$2:$AJ$1000)*100</f>
        <v>6.16438356164384</v>
      </c>
      <c r="AR10" s="1" t="n">
        <f aca="false">COUNTIFS($AJ$2:$AJ$1000,$AN10,$AL$2:$AL$1000,AR$6)/COUNT($AJ$2:$AJ$1000)*100</f>
        <v>1.36986301369863</v>
      </c>
      <c r="AS10" s="1" t="n">
        <f aca="false">COUNTIFS($AJ$2:$AJ$1000,$AN10,$AL$2:$AL$1000,AS$6)/COUNT($AJ$2:$AJ$1000)*100</f>
        <v>2.73972602739726</v>
      </c>
      <c r="AT10" s="1" t="n">
        <f aca="false">COUNTIFS($AJ$2:$AJ$1000,$AN10,$AL$2:$AL$1000,AT$6)/COUNT($AJ$2:$AJ$1000)*100</f>
        <v>0</v>
      </c>
      <c r="AU10" s="1" t="n">
        <v>4</v>
      </c>
      <c r="AV10" s="1" t="n">
        <v>7</v>
      </c>
      <c r="AW10" s="1" t="n">
        <f aca="false">AV10-AU10</f>
        <v>3</v>
      </c>
      <c r="AY10" s="1" t="n">
        <v>4</v>
      </c>
      <c r="AZ10" s="1" t="n">
        <f aca="false">COUNTIFS($AU$2:$AU$1000,$AY10,$AW$2:$AW$1000,AZ$6)/COUNT($AU$2:$AU$1000)*100</f>
        <v>4.61538461538462</v>
      </c>
      <c r="BA10" s="1" t="n">
        <f aca="false">COUNTIFS($AU$2:$AU$1000,$AY10,$AW$2:$AW$1000,BA$6)/COUNT($AU$2:$AU$1000)*100</f>
        <v>0.512820512820513</v>
      </c>
      <c r="BB10" s="3" t="n">
        <f aca="false">COUNTIFS($AU$2:$AU$1000,$AY10,$AW$2:$AW$1000,BB$6)/COUNT($AU$2:$AU$1000)*100</f>
        <v>7.17948717948718</v>
      </c>
      <c r="BC10" s="1" t="n">
        <f aca="false">COUNTIFS($AU$2:$AU$1000,$AY10,$AW$2:$AW$1000,BC$6)/COUNT($AU$2:$AU$1000)*100</f>
        <v>3.58974358974359</v>
      </c>
      <c r="BD10" s="1" t="n">
        <f aca="false">COUNTIFS($AU$2:$AU$1000,$AY10,$AW$2:$AW$1000,BD$6)/COUNT($AU$2:$AU$1000)*100</f>
        <v>1.02564102564103</v>
      </c>
      <c r="BE10" s="1" t="n">
        <f aca="false">COUNTIFS($AU$2:$AU$1000,$AY10,$AW$2:$AW$1000,BE$6)/COUNT($AU$2:$AU$1000)*100</f>
        <v>0.512820512820513</v>
      </c>
      <c r="BF10" s="3" t="n">
        <f aca="false">COUNTIFS($AU$2:$AU$1000,$AY10,$AW$2:$AW$1000,BF$6)/COUNT($AU$2:$AU$1000)*100</f>
        <v>1.02564102564103</v>
      </c>
      <c r="BG10" s="1" t="n">
        <f aca="false">COUNTIFS($AU$2:$AU$1000,$AY10,$AW$2:$AW$1000,BG$6)/COUNT($AU$2:$AU$1000)*100</f>
        <v>0</v>
      </c>
      <c r="BH10" s="3" t="n">
        <f aca="false">COUNTIFS($AU$2:$AU$1000,$AY10,$AW$2:$AW$1000,BH$6)/COUNT($AU$2:$AU$1000)*100</f>
        <v>0.512820512820513</v>
      </c>
      <c r="BI10" s="1" t="n">
        <f aca="false">COUNTIFS($AU$2:$AU$1000,$AY10,$AW$2:$AW$1000,BI$6)/COUNT($AU$2:$AU$1000)*100</f>
        <v>0</v>
      </c>
      <c r="BJ10" s="3" t="n">
        <f aca="false">COUNTIFS($AU$2:$AU$1000,$AY10,$AW$2:$AW$1000,BJ$6)/COUNT($AU$2:$AU$1000)*100</f>
        <v>0.512820512820513</v>
      </c>
    </row>
    <row r="11" customFormat="false" ht="16" hidden="false" customHeight="false" outlineLevel="0" collapsed="false">
      <c r="A11" s="1" t="n">
        <v>2</v>
      </c>
      <c r="B11" s="1" t="n">
        <v>2</v>
      </c>
      <c r="C11" s="1" t="n">
        <f aca="false">B11-A11</f>
        <v>0</v>
      </c>
      <c r="E11" s="1" t="n">
        <v>5</v>
      </c>
      <c r="F11" s="1" t="n">
        <f aca="false">COUNTIFS($A$2:$A$1000,$E11,$C$2:$C$1000,F$6)/COUNT($A$2:$A$1000)*100</f>
        <v>0</v>
      </c>
      <c r="G11" s="1" t="n">
        <f aca="false">COUNTIFS($A$2:$A$1000,$E11,$C$2:$C$1000,G$6)/COUNT($A$2:$A$1000)*100</f>
        <v>0</v>
      </c>
      <c r="H11" s="1" t="n">
        <f aca="false">COUNTIFS($A$2:$A$1000,$E11,$C$2:$C$1000,H$6)/COUNT($A$2:$A$1000)*100</f>
        <v>0</v>
      </c>
      <c r="I11" s="1" t="n">
        <v>1</v>
      </c>
      <c r="J11" s="1" t="n">
        <v>1</v>
      </c>
      <c r="K11" s="1" t="n">
        <f aca="false">J11-I11</f>
        <v>0</v>
      </c>
      <c r="M11" s="1" t="n">
        <v>5</v>
      </c>
      <c r="N11" s="1" t="n">
        <f aca="false">COUNTIFS($I$2:$I$1000,$M11,$K$2:$K$1000,N$6)/COUNT($I$2:$I$1000)*100</f>
        <v>0</v>
      </c>
      <c r="O11" s="1" t="n">
        <f aca="false">COUNTIFS($I$2:$I$1000,$M11,$K$2:$K$1000,O$6)/COUNT($I$2:$I$1000)*100</f>
        <v>0</v>
      </c>
      <c r="P11" s="1" t="n">
        <f aca="false">COUNTIFS($I$2:$I$1000,$M11,$K$2:$K$1000,P$6)/COUNT($I$2:$I$1000)*100</f>
        <v>0</v>
      </c>
      <c r="Q11" s="1" t="n">
        <v>2</v>
      </c>
      <c r="R11" s="1" t="n">
        <v>4</v>
      </c>
      <c r="S11" s="1" t="n">
        <f aca="false">R11-Q11</f>
        <v>2</v>
      </c>
      <c r="U11" s="1" t="n">
        <v>5</v>
      </c>
      <c r="V11" s="1" t="n">
        <f aca="false">COUNTIFS($Q$2:$Q$1000,$U11,$S$2:$S$1000,V$6)/COUNT($Q$2:$Q$1000)*100</f>
        <v>0.735294117647059</v>
      </c>
      <c r="W11" s="1" t="n">
        <f aca="false">COUNTIFS($Q$2:$Q$1000,$U11,$S$2:$S$1000,W$6)/COUNT($Q$2:$Q$1000)*100</f>
        <v>0</v>
      </c>
      <c r="X11" s="1" t="n">
        <f aca="false">COUNTIFS($Q$2:$Q$1000,$U11,$S$2:$S$1000,X$6)/COUNT($Q$2:$Q$1000)*100</f>
        <v>1.47058823529412</v>
      </c>
      <c r="Y11" s="1" t="n">
        <f aca="false">COUNTIFS($Q$2:$Q$1000,$U11,$S$2:$S$1000,Y$6)/COUNT($Q$2:$Q$1000)*100</f>
        <v>0</v>
      </c>
      <c r="Z11" s="1" t="n">
        <v>2</v>
      </c>
      <c r="AA11" s="1" t="n">
        <v>3</v>
      </c>
      <c r="AB11" s="1" t="n">
        <f aca="false">AA11-Z11</f>
        <v>1</v>
      </c>
      <c r="AD11" s="1" t="n">
        <v>5</v>
      </c>
      <c r="AE11" s="1" t="n">
        <f aca="false">COUNTIFS($Z$2:$Z$1000,$AD11,$AB$2:$AB$1000,AE$6)/COUNT($Z$2:$Z$1000)*100</f>
        <v>1.88679245283019</v>
      </c>
      <c r="AF11" s="1" t="n">
        <f aca="false">COUNTIFS($Z$2:$Z$1000,$AD11,$AB$2:$AB$1000,AF$6)/COUNT($Z$2:$Z$1000)*100</f>
        <v>0.628930817610063</v>
      </c>
      <c r="AG11" s="1" t="n">
        <f aca="false">COUNTIFS($Z$2:$Z$1000,$AD11,$AB$2:$AB$1000,AG$6)/COUNT($Z$2:$Z$1000)*100</f>
        <v>0</v>
      </c>
      <c r="AH11" s="1" t="n">
        <f aca="false">COUNTIFS($Z$2:$Z$1000,$AD11,$AB$2:$AB$1000,AH$6)/COUNT($Z$2:$Z$1000)*100</f>
        <v>0.628930817610063</v>
      </c>
      <c r="AI11" s="1" t="n">
        <f aca="false">COUNTIFS($Z$2:$Z$1000,$AD11,$AB$2:$AB$1000,AI$6)/COUNT($Z$2:$Z$1000)*100</f>
        <v>0</v>
      </c>
      <c r="AJ11" s="1" t="n">
        <v>4</v>
      </c>
      <c r="AK11" s="1" t="n">
        <v>6</v>
      </c>
      <c r="AL11" s="1" t="n">
        <f aca="false">AK11-AJ11</f>
        <v>2</v>
      </c>
      <c r="AN11" s="1" t="n">
        <v>5</v>
      </c>
      <c r="AO11" s="1" t="n">
        <f aca="false">COUNTIFS($AJ$2:$AJ$1000,$AN11,$AL$2:$AL$1000,AO$6)/COUNT($AJ$2:$AJ$1000)*100</f>
        <v>0.684931506849315</v>
      </c>
      <c r="AP11" s="1" t="n">
        <f aca="false">COUNTIFS($AJ$2:$AJ$1000,$AN11,$AL$2:$AL$1000,AP$6)/COUNT($AJ$2:$AJ$1000)*100</f>
        <v>0.684931506849315</v>
      </c>
      <c r="AQ11" s="1" t="n">
        <f aca="false">COUNTIFS($AJ$2:$AJ$1000,$AN11,$AL$2:$AL$1000,AQ$6)/COUNT($AJ$2:$AJ$1000)*100</f>
        <v>1.36986301369863</v>
      </c>
      <c r="AR11" s="1" t="n">
        <f aca="false">COUNTIFS($AJ$2:$AJ$1000,$AN11,$AL$2:$AL$1000,AR$6)/COUNT($AJ$2:$AJ$1000)*100</f>
        <v>2.73972602739726</v>
      </c>
      <c r="AS11" s="1" t="n">
        <f aca="false">COUNTIFS($AJ$2:$AJ$1000,$AN11,$AL$2:$AL$1000,AS$6)/COUNT($AJ$2:$AJ$1000)*100</f>
        <v>0</v>
      </c>
      <c r="AT11" s="1" t="n">
        <f aca="false">COUNTIFS($AJ$2:$AJ$1000,$AN11,$AL$2:$AL$1000,AT$6)/COUNT($AJ$2:$AJ$1000)*100</f>
        <v>0</v>
      </c>
      <c r="AU11" s="1" t="n">
        <v>4</v>
      </c>
      <c r="AV11" s="1" t="n">
        <v>6</v>
      </c>
      <c r="AW11" s="1" t="n">
        <f aca="false">AV11-AU11</f>
        <v>2</v>
      </c>
      <c r="AY11" s="1" t="n">
        <v>5</v>
      </c>
      <c r="AZ11" s="1" t="n">
        <f aca="false">COUNTIFS($AU$2:$AU$1000,$AY11,$AW$2:$AW$1000,AZ$6)/COUNT($AU$2:$AU$1000)*100</f>
        <v>0</v>
      </c>
      <c r="BA11" s="1" t="n">
        <f aca="false">COUNTIFS($AU$2:$AU$1000,$AY11,$AW$2:$AW$1000,BA$6)/COUNT($AU$2:$AU$1000)*100</f>
        <v>0</v>
      </c>
      <c r="BB11" s="1" t="n">
        <f aca="false">COUNTIFS($AU$2:$AU$1000,$AY11,$AW$2:$AW$1000,BB$6)/COUNT($AU$2:$AU$1000)*100</f>
        <v>1.02564102564103</v>
      </c>
      <c r="BC11" s="1" t="n">
        <f aca="false">COUNTIFS($AU$2:$AU$1000,$AY11,$AW$2:$AW$1000,BC$6)/COUNT($AU$2:$AU$1000)*100</f>
        <v>0.512820512820513</v>
      </c>
      <c r="BD11" s="1" t="n">
        <f aca="false">COUNTIFS($AU$2:$AU$1000,$AY11,$AW$2:$AW$1000,BD$6)/COUNT($AU$2:$AU$1000)*100</f>
        <v>1.02564102564103</v>
      </c>
      <c r="BE11" s="1" t="n">
        <f aca="false">COUNTIFS($AU$2:$AU$1000,$AY11,$AW$2:$AW$1000,BE$6)/COUNT($AU$2:$AU$1000)*100</f>
        <v>0</v>
      </c>
      <c r="BF11" s="1" t="n">
        <f aca="false">COUNTIFS($AU$2:$AU$1000,$AY11,$AW$2:$AW$1000,BF$6)/COUNT($AU$2:$AU$1000)*100</f>
        <v>0</v>
      </c>
      <c r="BG11" s="1" t="n">
        <f aca="false">COUNTIFS($AU$2:$AU$1000,$AY11,$AW$2:$AW$1000,BG$6)/COUNT($AU$2:$AU$1000)*100</f>
        <v>0</v>
      </c>
      <c r="BH11" s="1" t="n">
        <f aca="false">COUNTIFS($AU$2:$AU$1000,$AY11,$AW$2:$AW$1000,BH$6)/COUNT($AU$2:$AU$1000)*100</f>
        <v>0</v>
      </c>
      <c r="BI11" s="1" t="n">
        <f aca="false">COUNTIFS($AU$2:$AU$1000,$AY11,$AW$2:$AW$1000,BI$6)/COUNT($AU$2:$AU$1000)*100</f>
        <v>0</v>
      </c>
      <c r="BJ11" s="1" t="n">
        <f aca="false">COUNTIFS($AU$2:$AU$1000,$AY11,$AW$2:$AW$1000,BJ$6)/COUNT($AU$2:$AU$1000)*100</f>
        <v>0</v>
      </c>
    </row>
    <row r="12" customFormat="false" ht="16" hidden="false" customHeight="false" outlineLevel="0" collapsed="false">
      <c r="A12" s="1" t="n">
        <v>2</v>
      </c>
      <c r="B12" s="1" t="n">
        <v>2</v>
      </c>
      <c r="C12" s="1" t="n">
        <f aca="false">B12-A12</f>
        <v>0</v>
      </c>
      <c r="I12" s="1" t="n">
        <v>2</v>
      </c>
      <c r="J12" s="1" t="n">
        <v>2</v>
      </c>
      <c r="K12" s="1" t="n">
        <f aca="false">J12-I12</f>
        <v>0</v>
      </c>
      <c r="Q12" s="1" t="n">
        <v>2</v>
      </c>
      <c r="R12" s="1" t="n">
        <v>2</v>
      </c>
      <c r="S12" s="1" t="n">
        <f aca="false">R12-Q12</f>
        <v>0</v>
      </c>
      <c r="U12" s="1" t="n">
        <v>6</v>
      </c>
      <c r="V12" s="1" t="n">
        <f aca="false">COUNTIFS($Q$2:$Q$1000,$U12,$S$2:$S$1000,V$6)/COUNT($Q$2:$Q$1000)*100</f>
        <v>0</v>
      </c>
      <c r="W12" s="1" t="n">
        <f aca="false">COUNTIFS($Q$2:$Q$1000,$U12,$S$2:$S$1000,W$6)/COUNT($Q$2:$Q$1000)*100</f>
        <v>0</v>
      </c>
      <c r="X12" s="1" t="n">
        <f aca="false">COUNTIFS($Q$2:$Q$1000,$U12,$S$2:$S$1000,X$6)/COUNT($Q$2:$Q$1000)*100</f>
        <v>0</v>
      </c>
      <c r="Y12" s="1" t="n">
        <f aca="false">COUNTIFS($Q$2:$Q$1000,$U12,$S$2:$S$1000,Y$6)/COUNT($Q$2:$Q$1000)*100</f>
        <v>0</v>
      </c>
      <c r="Z12" s="1" t="n">
        <v>1</v>
      </c>
      <c r="AA12" s="1" t="n">
        <v>1</v>
      </c>
      <c r="AB12" s="1" t="n">
        <f aca="false">AA12-Z12</f>
        <v>0</v>
      </c>
      <c r="AD12" s="1" t="n">
        <v>6</v>
      </c>
      <c r="AE12" s="1" t="n">
        <f aca="false">COUNTIFS($Z$2:$Z$1000,$AD12,$AB$2:$AB$1000,AE$6)/COUNT($Z$2:$Z$1000)*100</f>
        <v>1.25786163522013</v>
      </c>
      <c r="AF12" s="1" t="n">
        <f aca="false">COUNTIFS($Z$2:$Z$1000,$AD12,$AB$2:$AB$1000,AF$6)/COUNT($Z$2:$Z$1000)*100</f>
        <v>0</v>
      </c>
      <c r="AG12" s="1" t="n">
        <f aca="false">COUNTIFS($Z$2:$Z$1000,$AD12,$AB$2:$AB$1000,AG$6)/COUNT($Z$2:$Z$1000)*100</f>
        <v>0</v>
      </c>
      <c r="AH12" s="1" t="n">
        <f aca="false">COUNTIFS($Z$2:$Z$1000,$AD12,$AB$2:$AB$1000,AH$6)/COUNT($Z$2:$Z$1000)*100</f>
        <v>0</v>
      </c>
      <c r="AI12" s="1" t="n">
        <f aca="false">COUNTIFS($Z$2:$Z$1000,$AD12,$AB$2:$AB$1000,AI$6)/COUNT($Z$2:$Z$1000)*100</f>
        <v>0</v>
      </c>
      <c r="AJ12" s="1" t="n">
        <v>3</v>
      </c>
      <c r="AK12" s="1" t="n">
        <v>5</v>
      </c>
      <c r="AL12" s="1" t="n">
        <f aca="false">AK12-AJ12</f>
        <v>2</v>
      </c>
      <c r="AN12" s="1" t="n">
        <v>6</v>
      </c>
      <c r="AO12" s="1" t="n">
        <f aca="false">COUNTIFS($AJ$2:$AJ$1000,$AN12,$AL$2:$AL$1000,AO$6)/COUNT($AJ$2:$AJ$1000)*100</f>
        <v>0.684931506849315</v>
      </c>
      <c r="AP12" s="1" t="n">
        <f aca="false">COUNTIFS($AJ$2:$AJ$1000,$AN12,$AL$2:$AL$1000,AP$6)/COUNT($AJ$2:$AJ$1000)*100</f>
        <v>0</v>
      </c>
      <c r="AQ12" s="1" t="n">
        <f aca="false">COUNTIFS($AJ$2:$AJ$1000,$AN12,$AL$2:$AL$1000,AQ$6)/COUNT($AJ$2:$AJ$1000)*100</f>
        <v>0</v>
      </c>
      <c r="AR12" s="1" t="n">
        <f aca="false">COUNTIFS($AJ$2:$AJ$1000,$AN12,$AL$2:$AL$1000,AR$6)/COUNT($AJ$2:$AJ$1000)*100</f>
        <v>0</v>
      </c>
      <c r="AS12" s="1" t="n">
        <f aca="false">COUNTIFS($AJ$2:$AJ$1000,$AN12,$AL$2:$AL$1000,AS$6)/COUNT($AJ$2:$AJ$1000)*100</f>
        <v>0.684931506849315</v>
      </c>
      <c r="AT12" s="1" t="n">
        <f aca="false">COUNTIFS($AJ$2:$AJ$1000,$AN12,$AL$2:$AL$1000,AT$6)/COUNT($AJ$2:$AJ$1000)*100</f>
        <v>0</v>
      </c>
      <c r="AU12" s="1" t="n">
        <v>4</v>
      </c>
      <c r="AV12" s="1" t="n">
        <v>10</v>
      </c>
      <c r="AW12" s="1" t="n">
        <f aca="false">AV12-AU12</f>
        <v>6</v>
      </c>
      <c r="AY12" s="1" t="n">
        <v>6</v>
      </c>
      <c r="AZ12" s="1" t="n">
        <f aca="false">COUNTIFS($AU$2:$AU$1000,$AY12,$AW$2:$AW$1000,AZ$6)/COUNT($AU$2:$AU$1000)*100</f>
        <v>0.512820512820513</v>
      </c>
      <c r="BA12" s="1" t="n">
        <f aca="false">COUNTIFS($AU$2:$AU$1000,$AY12,$AW$2:$AW$1000,BA$6)/COUNT($AU$2:$AU$1000)*100</f>
        <v>0</v>
      </c>
      <c r="BB12" s="1" t="n">
        <f aca="false">COUNTIFS($AU$2:$AU$1000,$AY12,$AW$2:$AW$1000,BB$6)/COUNT($AU$2:$AU$1000)*100</f>
        <v>1.02564102564103</v>
      </c>
      <c r="BC12" s="1" t="n">
        <f aca="false">COUNTIFS($AU$2:$AU$1000,$AY12,$AW$2:$AW$1000,BC$6)/COUNT($AU$2:$AU$1000)*100</f>
        <v>1.02564102564103</v>
      </c>
      <c r="BD12" s="1" t="n">
        <f aca="false">COUNTIFS($AU$2:$AU$1000,$AY12,$AW$2:$AW$1000,BD$6)/COUNT($AU$2:$AU$1000)*100</f>
        <v>1.02564102564103</v>
      </c>
      <c r="BE12" s="1" t="n">
        <f aca="false">COUNTIFS($AU$2:$AU$1000,$AY12,$AW$2:$AW$1000,BE$6)/COUNT($AU$2:$AU$1000)*100</f>
        <v>0</v>
      </c>
      <c r="BF12" s="3" t="n">
        <f aca="false">COUNTIFS($AU$2:$AU$1000,$AY12,$AW$2:$AW$1000,BF$6)/COUNT($AU$2:$AU$1000)*100</f>
        <v>1.02564102564103</v>
      </c>
      <c r="BG12" s="1" t="n">
        <f aca="false">COUNTIFS($AU$2:$AU$1000,$AY12,$AW$2:$AW$1000,BG$6)/COUNT($AU$2:$AU$1000)*100</f>
        <v>0</v>
      </c>
      <c r="BH12" s="1" t="n">
        <f aca="false">COUNTIFS($AU$2:$AU$1000,$AY12,$AW$2:$AW$1000,BH$6)/COUNT($AU$2:$AU$1000)*100</f>
        <v>0</v>
      </c>
      <c r="BI12" s="1" t="n">
        <f aca="false">COUNTIFS($AU$2:$AU$1000,$AY12,$AW$2:$AW$1000,BI$6)/COUNT($AU$2:$AU$1000)*100</f>
        <v>0</v>
      </c>
      <c r="BJ12" s="1" t="n">
        <f aca="false">COUNTIFS($AU$2:$AU$1000,$AY12,$AW$2:$AW$1000,BJ$6)/COUNT($AU$2:$AU$1000)*100</f>
        <v>0</v>
      </c>
    </row>
    <row r="13" customFormat="false" ht="16" hidden="false" customHeight="false" outlineLevel="0" collapsed="false">
      <c r="A13" s="1" t="n">
        <v>1</v>
      </c>
      <c r="B13" s="1" t="n">
        <v>1</v>
      </c>
      <c r="C13" s="1" t="n">
        <f aca="false">B13-A13</f>
        <v>0</v>
      </c>
      <c r="I13" s="1" t="n">
        <v>1</v>
      </c>
      <c r="J13" s="1" t="n">
        <v>1</v>
      </c>
      <c r="K13" s="1" t="n">
        <f aca="false">J13-I13</f>
        <v>0</v>
      </c>
      <c r="Q13" s="1" t="n">
        <v>3</v>
      </c>
      <c r="R13" s="1" t="n">
        <v>5</v>
      </c>
      <c r="S13" s="1" t="n">
        <f aca="false">R13-Q13</f>
        <v>2</v>
      </c>
      <c r="U13" s="1" t="n">
        <v>7</v>
      </c>
      <c r="V13" s="1" t="n">
        <f aca="false">COUNTIFS($Q$2:$Q$1000,$U13,$S$2:$S$1000,V$6)/COUNT($Q$2:$Q$1000)*100</f>
        <v>0</v>
      </c>
      <c r="W13" s="1" t="n">
        <f aca="false">COUNTIFS($Q$2:$Q$1000,$U13,$S$2:$S$1000,W$6)/COUNT($Q$2:$Q$1000)*100</f>
        <v>0</v>
      </c>
      <c r="X13" s="1" t="n">
        <f aca="false">COUNTIFS($Q$2:$Q$1000,$U13,$S$2:$S$1000,X$6)/COUNT($Q$2:$Q$1000)*100</f>
        <v>0</v>
      </c>
      <c r="Y13" s="1" t="n">
        <f aca="false">COUNTIFS($Q$2:$Q$1000,$U13,$S$2:$S$1000,Y$6)/COUNT($Q$2:$Q$1000)*100</f>
        <v>0</v>
      </c>
      <c r="Z13" s="1" t="n">
        <v>2</v>
      </c>
      <c r="AA13" s="1" t="n">
        <v>2</v>
      </c>
      <c r="AB13" s="1" t="n">
        <f aca="false">AA13-Z13</f>
        <v>0</v>
      </c>
      <c r="AD13" s="1" t="n">
        <v>7</v>
      </c>
      <c r="AE13" s="1" t="n">
        <f aca="false">COUNTIFS($Z$2:$Z$1000,$AD13,$AB$2:$AB$1000,AE$6)/COUNT($Z$2:$Z$1000)*100</f>
        <v>0</v>
      </c>
      <c r="AF13" s="1" t="n">
        <f aca="false">COUNTIFS($Z$2:$Z$1000,$AD13,$AB$2:$AB$1000,AF$6)/COUNT($Z$2:$Z$1000)*100</f>
        <v>0</v>
      </c>
      <c r="AG13" s="1" t="n">
        <f aca="false">COUNTIFS($Z$2:$Z$1000,$AD13,$AB$2:$AB$1000,AG$6)/COUNT($Z$2:$Z$1000)*100</f>
        <v>0</v>
      </c>
      <c r="AH13" s="1" t="n">
        <f aca="false">COUNTIFS($Z$2:$Z$1000,$AD13,$AB$2:$AB$1000,AH$6)/COUNT($Z$2:$Z$1000)*100</f>
        <v>0</v>
      </c>
      <c r="AI13" s="1" t="n">
        <f aca="false">COUNTIFS($Z$2:$Z$1000,$AD13,$AB$2:$AB$1000,AI$6)/COUNT($Z$2:$Z$1000)*100</f>
        <v>0</v>
      </c>
      <c r="AJ13" s="1" t="n">
        <v>4</v>
      </c>
      <c r="AK13" s="1" t="n">
        <v>8</v>
      </c>
      <c r="AL13" s="1" t="n">
        <f aca="false">AK13-AJ13</f>
        <v>4</v>
      </c>
      <c r="AN13" s="1" t="n">
        <v>7</v>
      </c>
      <c r="AO13" s="1" t="n">
        <f aca="false">COUNTIFS($AJ$2:$AJ$1000,$AN13,$AL$2:$AL$1000,AO$6)/COUNT($AJ$2:$AJ$1000)*100</f>
        <v>0</v>
      </c>
      <c r="AP13" s="1" t="n">
        <f aca="false">COUNTIFS($AJ$2:$AJ$1000,$AN13,$AL$2:$AL$1000,AP$6)/COUNT($AJ$2:$AJ$1000)*100</f>
        <v>0</v>
      </c>
      <c r="AQ13" s="1" t="n">
        <f aca="false">COUNTIFS($AJ$2:$AJ$1000,$AN13,$AL$2:$AL$1000,AQ$6)/COUNT($AJ$2:$AJ$1000)*100</f>
        <v>0</v>
      </c>
      <c r="AR13" s="1" t="n">
        <f aca="false">COUNTIFS($AJ$2:$AJ$1000,$AN13,$AL$2:$AL$1000,AR$6)/COUNT($AJ$2:$AJ$1000)*100</f>
        <v>0</v>
      </c>
      <c r="AS13" s="1" t="n">
        <f aca="false">COUNTIFS($AJ$2:$AJ$1000,$AN13,$AL$2:$AL$1000,AS$6)/COUNT($AJ$2:$AJ$1000)*100</f>
        <v>0</v>
      </c>
      <c r="AT13" s="1" t="n">
        <f aca="false">COUNTIFS($AJ$2:$AJ$1000,$AN13,$AL$2:$AL$1000,AT$6)/COUNT($AJ$2:$AJ$1000)*100</f>
        <v>0</v>
      </c>
      <c r="AU13" s="1" t="n">
        <v>2</v>
      </c>
      <c r="AV13" s="1" t="n">
        <v>2</v>
      </c>
      <c r="AW13" s="1" t="n">
        <f aca="false">AV13-AU13</f>
        <v>0</v>
      </c>
      <c r="AY13" s="1" t="n">
        <v>7</v>
      </c>
      <c r="AZ13" s="1" t="n">
        <f aca="false">COUNTIFS($AU$2:$AU$1000,$AY13,$AW$2:$AW$1000,AZ$6)/COUNT($AU$2:$AU$1000)*100</f>
        <v>0</v>
      </c>
      <c r="BA13" s="1" t="n">
        <f aca="false">COUNTIFS($AU$2:$AU$1000,$AY13,$AW$2:$AW$1000,BA$6)/COUNT($AU$2:$AU$1000)*100</f>
        <v>0</v>
      </c>
      <c r="BB13" s="1" t="n">
        <f aca="false">COUNTIFS($AU$2:$AU$1000,$AY13,$AW$2:$AW$1000,BB$6)/COUNT($AU$2:$AU$1000)*100</f>
        <v>0</v>
      </c>
      <c r="BC13" s="1" t="n">
        <f aca="false">COUNTIFS($AU$2:$AU$1000,$AY13,$AW$2:$AW$1000,BC$6)/COUNT($AU$2:$AU$1000)*100</f>
        <v>0.512820512820513</v>
      </c>
      <c r="BD13" s="1" t="n">
        <f aca="false">COUNTIFS($AU$2:$AU$1000,$AY13,$AW$2:$AW$1000,BD$6)/COUNT($AU$2:$AU$1000)*100</f>
        <v>0</v>
      </c>
      <c r="BE13" s="1" t="n">
        <f aca="false">COUNTIFS($AU$2:$AU$1000,$AY13,$AW$2:$AW$1000,BE$6)/COUNT($AU$2:$AU$1000)*100</f>
        <v>0</v>
      </c>
      <c r="BF13" s="1" t="n">
        <f aca="false">COUNTIFS($AU$2:$AU$1000,$AY13,$AW$2:$AW$1000,BF$6)/COUNT($AU$2:$AU$1000)*100</f>
        <v>0</v>
      </c>
      <c r="BG13" s="1" t="n">
        <f aca="false">COUNTIFS($AU$2:$AU$1000,$AY13,$AW$2:$AW$1000,BG$6)/COUNT($AU$2:$AU$1000)*100</f>
        <v>0</v>
      </c>
      <c r="BH13" s="1" t="n">
        <f aca="false">COUNTIFS($AU$2:$AU$1000,$AY13,$AW$2:$AW$1000,BH$6)/COUNT($AU$2:$AU$1000)*100</f>
        <v>0</v>
      </c>
      <c r="BI13" s="1" t="n">
        <f aca="false">COUNTIFS($AU$2:$AU$1000,$AY13,$AW$2:$AW$1000,BI$6)/COUNT($AU$2:$AU$1000)*100</f>
        <v>0</v>
      </c>
      <c r="BJ13" s="1" t="n">
        <f aca="false">COUNTIFS($AU$2:$AU$1000,$AY13,$AW$2:$AW$1000,BJ$6)/COUNT($AU$2:$AU$1000)*100</f>
        <v>0</v>
      </c>
    </row>
    <row r="14" customFormat="false" ht="16" hidden="false" customHeight="false" outlineLevel="0" collapsed="false">
      <c r="A14" s="1" t="n">
        <v>1</v>
      </c>
      <c r="B14" s="1" t="n">
        <v>1</v>
      </c>
      <c r="C14" s="1" t="n">
        <f aca="false">B14-A14</f>
        <v>0</v>
      </c>
      <c r="I14" s="1" t="n">
        <v>1</v>
      </c>
      <c r="J14" s="1" t="n">
        <v>1</v>
      </c>
      <c r="K14" s="1" t="n">
        <f aca="false">J14-I14</f>
        <v>0</v>
      </c>
      <c r="Q14" s="1" t="n">
        <v>4</v>
      </c>
      <c r="R14" s="1" t="n">
        <v>4</v>
      </c>
      <c r="S14" s="1" t="n">
        <f aca="false">R14-Q14</f>
        <v>0</v>
      </c>
      <c r="U14" s="1" t="n">
        <v>8</v>
      </c>
      <c r="V14" s="1" t="n">
        <f aca="false">COUNTIFS($Q$2:$Q$1000,$U14,$S$2:$S$1000,V$6)/COUNT($Q$2:$Q$1000)*100</f>
        <v>0</v>
      </c>
      <c r="W14" s="1" t="n">
        <f aca="false">COUNTIFS($Q$2:$Q$1000,$U14,$S$2:$S$1000,W$6)/COUNT($Q$2:$Q$1000)*100</f>
        <v>0</v>
      </c>
      <c r="X14" s="1" t="n">
        <f aca="false">COUNTIFS($Q$2:$Q$1000,$U14,$S$2:$S$1000,X$6)/COUNT($Q$2:$Q$1000)*100</f>
        <v>0</v>
      </c>
      <c r="Y14" s="1" t="n">
        <f aca="false">COUNTIFS($Q$2:$Q$1000,$U14,$S$2:$S$1000,Y$6)/COUNT($Q$2:$Q$1000)*100</f>
        <v>0</v>
      </c>
      <c r="Z14" s="1" t="n">
        <v>1</v>
      </c>
      <c r="AA14" s="1" t="n">
        <v>2</v>
      </c>
      <c r="AB14" s="1" t="n">
        <f aca="false">AA14-Z14</f>
        <v>1</v>
      </c>
      <c r="AD14" s="1" t="n">
        <v>8</v>
      </c>
      <c r="AE14" s="1" t="n">
        <f aca="false">COUNTIFS($Z$2:$Z$1000,$AD14,$AB$2:$AB$1000,AE$6)/COUNT($Z$2:$Z$1000)*100</f>
        <v>0</v>
      </c>
      <c r="AF14" s="1" t="n">
        <f aca="false">COUNTIFS($Z$2:$Z$1000,$AD14,$AB$2:$AB$1000,AF$6)/COUNT($Z$2:$Z$1000)*100</f>
        <v>0</v>
      </c>
      <c r="AG14" s="1" t="n">
        <f aca="false">COUNTIFS($Z$2:$Z$1000,$AD14,$AB$2:$AB$1000,AG$6)/COUNT($Z$2:$Z$1000)*100</f>
        <v>0</v>
      </c>
      <c r="AH14" s="1" t="n">
        <f aca="false">COUNTIFS($Z$2:$Z$1000,$AD14,$AB$2:$AB$1000,AH$6)/COUNT($Z$2:$Z$1000)*100</f>
        <v>0</v>
      </c>
      <c r="AI14" s="1" t="n">
        <f aca="false">COUNTIFS($Z$2:$Z$1000,$AD14,$AB$2:$AB$1000,AI$6)/COUNT($Z$2:$Z$1000)*100</f>
        <v>0.628930817610063</v>
      </c>
      <c r="AJ14" s="1" t="n">
        <v>2</v>
      </c>
      <c r="AK14" s="1" t="n">
        <v>4</v>
      </c>
      <c r="AL14" s="1" t="n">
        <f aca="false">AK14-AJ14</f>
        <v>2</v>
      </c>
      <c r="AN14" s="1" t="n">
        <v>8</v>
      </c>
      <c r="AO14" s="1" t="n">
        <f aca="false">COUNTIFS($AJ$2:$AJ$1000,$AN14,$AL$2:$AL$1000,AO$6)/COUNT($AJ$2:$AJ$1000)*100</f>
        <v>0</v>
      </c>
      <c r="AP14" s="1" t="n">
        <f aca="false">COUNTIFS($AJ$2:$AJ$1000,$AN14,$AL$2:$AL$1000,AP$6)/COUNT($AJ$2:$AJ$1000)*100</f>
        <v>0</v>
      </c>
      <c r="AQ14" s="1" t="n">
        <f aca="false">COUNTIFS($AJ$2:$AJ$1000,$AN14,$AL$2:$AL$1000,AQ$6)/COUNT($AJ$2:$AJ$1000)*100</f>
        <v>0</v>
      </c>
      <c r="AR14" s="1" t="n">
        <f aca="false">COUNTIFS($AJ$2:$AJ$1000,$AN14,$AL$2:$AL$1000,AR$6)/COUNT($AJ$2:$AJ$1000)*100</f>
        <v>0</v>
      </c>
      <c r="AS14" s="1" t="n">
        <f aca="false">COUNTIFS($AJ$2:$AJ$1000,$AN14,$AL$2:$AL$1000,AS$6)/COUNT($AJ$2:$AJ$1000)*100</f>
        <v>0</v>
      </c>
      <c r="AT14" s="1" t="n">
        <f aca="false">COUNTIFS($AJ$2:$AJ$1000,$AN14,$AL$2:$AL$1000,AT$6)/COUNT($AJ$2:$AJ$1000)*100</f>
        <v>0</v>
      </c>
      <c r="AU14" s="1" t="n">
        <v>4</v>
      </c>
      <c r="AV14" s="1" t="n">
        <v>8</v>
      </c>
      <c r="AW14" s="1" t="n">
        <f aca="false">AV14-AU14</f>
        <v>4</v>
      </c>
      <c r="AY14" s="1" t="n">
        <v>8</v>
      </c>
      <c r="AZ14" s="1" t="n">
        <f aca="false">COUNTIFS($AU$2:$AU$1000,$AY14,$AW$2:$AW$1000,AZ$6)/COUNT($AU$2:$AU$1000)*100</f>
        <v>0</v>
      </c>
      <c r="BA14" s="1" t="n">
        <f aca="false">COUNTIFS($AU$2:$AU$1000,$AY14,$AW$2:$AW$1000,BA$6)/COUNT($AU$2:$AU$1000)*100</f>
        <v>0.512820512820513</v>
      </c>
      <c r="BB14" s="1" t="n">
        <f aca="false">COUNTIFS($AU$2:$AU$1000,$AY14,$AW$2:$AW$1000,BB$6)/COUNT($AU$2:$AU$1000)*100</f>
        <v>0.512820512820513</v>
      </c>
      <c r="BC14" s="1" t="n">
        <f aca="false">COUNTIFS($AU$2:$AU$1000,$AY14,$AW$2:$AW$1000,BC$6)/COUNT($AU$2:$AU$1000)*100</f>
        <v>1.02564102564103</v>
      </c>
      <c r="BD14" s="1" t="n">
        <f aca="false">COUNTIFS($AU$2:$AU$1000,$AY14,$AW$2:$AW$1000,BD$6)/COUNT($AU$2:$AU$1000)*100</f>
        <v>0</v>
      </c>
      <c r="BE14" s="1" t="n">
        <f aca="false">COUNTIFS($AU$2:$AU$1000,$AY14,$AW$2:$AW$1000,BE$6)/COUNT($AU$2:$AU$1000)*100</f>
        <v>0</v>
      </c>
      <c r="BF14" s="1" t="n">
        <f aca="false">COUNTIFS($AU$2:$AU$1000,$AY14,$AW$2:$AW$1000,BF$6)/COUNT($AU$2:$AU$1000)*100</f>
        <v>0</v>
      </c>
      <c r="BG14" s="1" t="n">
        <f aca="false">COUNTIFS($AU$2:$AU$1000,$AY14,$AW$2:$AW$1000,BG$6)/COUNT($AU$2:$AU$1000)*100</f>
        <v>0</v>
      </c>
      <c r="BH14" s="1" t="n">
        <f aca="false">COUNTIFS($AU$2:$AU$1000,$AY14,$AW$2:$AW$1000,BH$6)/COUNT($AU$2:$AU$1000)*100</f>
        <v>0</v>
      </c>
      <c r="BI14" s="1" t="n">
        <f aca="false">COUNTIFS($AU$2:$AU$1000,$AY14,$AW$2:$AW$1000,BI$6)/COUNT($AU$2:$AU$1000)*100</f>
        <v>0</v>
      </c>
      <c r="BJ14" s="1" t="n">
        <f aca="false">COUNTIFS($AU$2:$AU$1000,$AY14,$AW$2:$AW$1000,BJ$6)/COUNT($AU$2:$AU$1000)*100</f>
        <v>0</v>
      </c>
    </row>
    <row r="15" customFormat="false" ht="16" hidden="false" customHeight="false" outlineLevel="0" collapsed="false">
      <c r="A15" s="1" t="n">
        <v>2</v>
      </c>
      <c r="B15" s="1" t="n">
        <v>2</v>
      </c>
      <c r="C15" s="1" t="n">
        <f aca="false">B15-A15</f>
        <v>0</v>
      </c>
      <c r="I15" s="1" t="n">
        <v>1</v>
      </c>
      <c r="J15" s="1" t="n">
        <v>1</v>
      </c>
      <c r="K15" s="1" t="n">
        <f aca="false">J15-I15</f>
        <v>0</v>
      </c>
      <c r="Q15" s="1" t="n">
        <v>2</v>
      </c>
      <c r="R15" s="1" t="n">
        <v>4</v>
      </c>
      <c r="S15" s="1" t="n">
        <f aca="false">R15-Q15</f>
        <v>2</v>
      </c>
      <c r="U15" s="1" t="n">
        <v>9</v>
      </c>
      <c r="V15" s="1" t="n">
        <f aca="false">COUNTIFS($Q$2:$Q$1000,$U15,$S$2:$S$1000,V$6)/COUNT($Q$2:$Q$1000)*100</f>
        <v>0</v>
      </c>
      <c r="W15" s="1" t="n">
        <f aca="false">COUNTIFS($Q$2:$Q$1000,$U15,$S$2:$S$1000,W$6)/COUNT($Q$2:$Q$1000)*100</f>
        <v>0</v>
      </c>
      <c r="X15" s="1" t="n">
        <f aca="false">COUNTIFS($Q$2:$Q$1000,$U15,$S$2:$S$1000,X$6)/COUNT($Q$2:$Q$1000)*100</f>
        <v>0</v>
      </c>
      <c r="Y15" s="1" t="n">
        <f aca="false">COUNTIFS($Q$2:$Q$1000,$U15,$S$2:$S$1000,Y$6)/COUNT($Q$2:$Q$1000)*100</f>
        <v>0</v>
      </c>
      <c r="Z15" s="1" t="n">
        <v>1</v>
      </c>
      <c r="AA15" s="1" t="n">
        <v>3</v>
      </c>
      <c r="AB15" s="1" t="n">
        <f aca="false">AA15-Z15</f>
        <v>2</v>
      </c>
      <c r="AD15" s="1" t="n">
        <v>9</v>
      </c>
      <c r="AE15" s="1" t="n">
        <f aca="false">COUNTIFS($Z$2:$Z$1000,$AD15,$AB$2:$AB$1000,AE$6)/COUNT($Z$2:$Z$1000)*100</f>
        <v>0</v>
      </c>
      <c r="AF15" s="1" t="n">
        <f aca="false">COUNTIFS($Z$2:$Z$1000,$AD15,$AB$2:$AB$1000,AF$6)/COUNT($Z$2:$Z$1000)*100</f>
        <v>0</v>
      </c>
      <c r="AG15" s="1" t="n">
        <f aca="false">COUNTIFS($Z$2:$Z$1000,$AD15,$AB$2:$AB$1000,AG$6)/COUNT($Z$2:$Z$1000)*100</f>
        <v>0</v>
      </c>
      <c r="AH15" s="1" t="n">
        <f aca="false">COUNTIFS($Z$2:$Z$1000,$AD15,$AB$2:$AB$1000,AH$6)/COUNT($Z$2:$Z$1000)*100</f>
        <v>0</v>
      </c>
      <c r="AI15" s="1" t="n">
        <f aca="false">COUNTIFS($Z$2:$Z$1000,$AD15,$AB$2:$AB$1000,AI$6)/COUNT($Z$2:$Z$1000)*100</f>
        <v>0</v>
      </c>
      <c r="AJ15" s="1" t="n">
        <v>1</v>
      </c>
      <c r="AK15" s="1" t="n">
        <v>1</v>
      </c>
      <c r="AL15" s="1" t="n">
        <f aca="false">AK15-AJ15</f>
        <v>0</v>
      </c>
      <c r="AN15" s="1" t="n">
        <v>9</v>
      </c>
      <c r="AO15" s="1" t="n">
        <f aca="false">COUNTIFS($AJ$2:$AJ$1000,$AN15,$AL$2:$AL$1000,AO$6)/COUNT($AJ$2:$AJ$1000)*100</f>
        <v>0</v>
      </c>
      <c r="AP15" s="1" t="n">
        <f aca="false">COUNTIFS($AJ$2:$AJ$1000,$AN15,$AL$2:$AL$1000,AP$6)/COUNT($AJ$2:$AJ$1000)*100</f>
        <v>0</v>
      </c>
      <c r="AQ15" s="1" t="n">
        <f aca="false">COUNTIFS($AJ$2:$AJ$1000,$AN15,$AL$2:$AL$1000,AQ$6)/COUNT($AJ$2:$AJ$1000)*100</f>
        <v>0</v>
      </c>
      <c r="AR15" s="1" t="n">
        <f aca="false">COUNTIFS($AJ$2:$AJ$1000,$AN15,$AL$2:$AL$1000,AR$6)/COUNT($AJ$2:$AJ$1000)*100</f>
        <v>0</v>
      </c>
      <c r="AS15" s="1" t="n">
        <f aca="false">COUNTIFS($AJ$2:$AJ$1000,$AN15,$AL$2:$AL$1000,AS$6)/COUNT($AJ$2:$AJ$1000)*100</f>
        <v>0</v>
      </c>
      <c r="AT15" s="1" t="n">
        <f aca="false">COUNTIFS($AJ$2:$AJ$1000,$AN15,$AL$2:$AL$1000,AT$6)/COUNT($AJ$2:$AJ$1000)*100</f>
        <v>0</v>
      </c>
      <c r="AU15" s="1" t="n">
        <v>6</v>
      </c>
      <c r="AV15" s="1" t="n">
        <v>10</v>
      </c>
      <c r="AW15" s="1" t="n">
        <f aca="false">AV15-AU15</f>
        <v>4</v>
      </c>
      <c r="AY15" s="1" t="n">
        <v>9</v>
      </c>
      <c r="AZ15" s="1" t="n">
        <f aca="false">COUNTIFS($AU$2:$AU$1000,$AY15,$AW$2:$AW$1000,AZ$6)/COUNT($AU$2:$AU$1000)*100</f>
        <v>0</v>
      </c>
      <c r="BA15" s="1" t="n">
        <f aca="false">COUNTIFS($AU$2:$AU$1000,$AY15,$AW$2:$AW$1000,BA$6)/COUNT($AU$2:$AU$1000)*100</f>
        <v>0</v>
      </c>
      <c r="BB15" s="1" t="n">
        <f aca="false">COUNTIFS($AU$2:$AU$1000,$AY15,$AW$2:$AW$1000,BB$6)/COUNT($AU$2:$AU$1000)*100</f>
        <v>0</v>
      </c>
      <c r="BC15" s="1" t="n">
        <f aca="false">COUNTIFS($AU$2:$AU$1000,$AY15,$AW$2:$AW$1000,BC$6)/COUNT($AU$2:$AU$1000)*100</f>
        <v>0</v>
      </c>
      <c r="BD15" s="1" t="n">
        <f aca="false">COUNTIFS($AU$2:$AU$1000,$AY15,$AW$2:$AW$1000,BD$6)/COUNT($AU$2:$AU$1000)*100</f>
        <v>0</v>
      </c>
      <c r="BE15" s="1" t="n">
        <f aca="false">COUNTIFS($AU$2:$AU$1000,$AY15,$AW$2:$AW$1000,BE$6)/COUNT($AU$2:$AU$1000)*100</f>
        <v>0</v>
      </c>
      <c r="BF15" s="1" t="n">
        <f aca="false">COUNTIFS($AU$2:$AU$1000,$AY15,$AW$2:$AW$1000,BF$6)/COUNT($AU$2:$AU$1000)*100</f>
        <v>0</v>
      </c>
      <c r="BG15" s="1" t="n">
        <f aca="false">COUNTIFS($AU$2:$AU$1000,$AY15,$AW$2:$AW$1000,BG$6)/COUNT($AU$2:$AU$1000)*100</f>
        <v>0</v>
      </c>
      <c r="BH15" s="1" t="n">
        <f aca="false">COUNTIFS($AU$2:$AU$1000,$AY15,$AW$2:$AW$1000,BH$6)/COUNT($AU$2:$AU$1000)*100</f>
        <v>0</v>
      </c>
      <c r="BI15" s="1" t="n">
        <f aca="false">COUNTIFS($AU$2:$AU$1000,$AY15,$AW$2:$AW$1000,BI$6)/COUNT($AU$2:$AU$1000)*100</f>
        <v>0</v>
      </c>
      <c r="BJ15" s="1" t="n">
        <f aca="false">COUNTIFS($AU$2:$AU$1000,$AY15,$AW$2:$AW$1000,BJ$6)/COUNT($AU$2:$AU$1000)*100</f>
        <v>0</v>
      </c>
    </row>
    <row r="16" customFormat="false" ht="16" hidden="false" customHeight="false" outlineLevel="0" collapsed="false">
      <c r="A16" s="1" t="n">
        <v>2</v>
      </c>
      <c r="B16" s="1" t="n">
        <v>2</v>
      </c>
      <c r="C16" s="1" t="n">
        <f aca="false">B16-A16</f>
        <v>0</v>
      </c>
      <c r="I16" s="1" t="n">
        <v>1</v>
      </c>
      <c r="J16" s="1" t="n">
        <v>2</v>
      </c>
      <c r="K16" s="1" t="n">
        <f aca="false">J16-I16</f>
        <v>1</v>
      </c>
      <c r="Q16" s="1" t="n">
        <v>2</v>
      </c>
      <c r="R16" s="1" t="n">
        <v>2</v>
      </c>
      <c r="S16" s="1" t="n">
        <f aca="false">R16-Q16</f>
        <v>0</v>
      </c>
      <c r="Z16" s="1" t="n">
        <v>1</v>
      </c>
      <c r="AA16" s="1" t="n">
        <v>1</v>
      </c>
      <c r="AB16" s="1" t="n">
        <f aca="false">AA16-Z16</f>
        <v>0</v>
      </c>
      <c r="AJ16" s="1" t="n">
        <v>3</v>
      </c>
      <c r="AK16" s="1" t="n">
        <v>3</v>
      </c>
      <c r="AL16" s="1" t="n">
        <f aca="false">AK16-AJ16</f>
        <v>0</v>
      </c>
      <c r="AU16" s="1" t="n">
        <v>8</v>
      </c>
      <c r="AV16" s="1" t="n">
        <v>10</v>
      </c>
      <c r="AW16" s="1" t="n">
        <f aca="false">AV16-AU16</f>
        <v>2</v>
      </c>
    </row>
    <row r="17" customFormat="false" ht="16" hidden="false" customHeight="false" outlineLevel="0" collapsed="false">
      <c r="A17" s="1" t="n">
        <v>2</v>
      </c>
      <c r="B17" s="1" t="n">
        <v>2</v>
      </c>
      <c r="C17" s="1" t="n">
        <f aca="false">B17-A17</f>
        <v>0</v>
      </c>
      <c r="I17" s="1" t="n">
        <v>1</v>
      </c>
      <c r="J17" s="1" t="n">
        <v>1</v>
      </c>
      <c r="K17" s="1" t="n">
        <f aca="false">J17-I17</f>
        <v>0</v>
      </c>
      <c r="Q17" s="1" t="n">
        <v>2</v>
      </c>
      <c r="R17" s="1" t="n">
        <v>2</v>
      </c>
      <c r="S17" s="1" t="n">
        <f aca="false">R17-Q17</f>
        <v>0</v>
      </c>
      <c r="Z17" s="1" t="n">
        <v>2</v>
      </c>
      <c r="AA17" s="1" t="n">
        <v>4</v>
      </c>
      <c r="AB17" s="1" t="n">
        <f aca="false">AA17-Z17</f>
        <v>2</v>
      </c>
      <c r="AJ17" s="1" t="n">
        <v>1</v>
      </c>
      <c r="AK17" s="1" t="n">
        <v>2</v>
      </c>
      <c r="AL17" s="1" t="n">
        <f aca="false">AK17-AJ17</f>
        <v>1</v>
      </c>
      <c r="AU17" s="1" t="n">
        <v>4</v>
      </c>
      <c r="AV17" s="1" t="n">
        <v>10</v>
      </c>
      <c r="AW17" s="1" t="n">
        <f aca="false">AV17-AU17</f>
        <v>6</v>
      </c>
    </row>
    <row r="18" customFormat="false" ht="16" hidden="false" customHeight="false" outlineLevel="0" collapsed="false">
      <c r="A18" s="1" t="n">
        <v>1</v>
      </c>
      <c r="B18" s="1" t="n">
        <v>1</v>
      </c>
      <c r="C18" s="1" t="n">
        <f aca="false">B18-A18</f>
        <v>0</v>
      </c>
      <c r="I18" s="1" t="n">
        <v>1</v>
      </c>
      <c r="J18" s="1" t="n">
        <v>1</v>
      </c>
      <c r="K18" s="1" t="n">
        <f aca="false">J18-I18</f>
        <v>0</v>
      </c>
      <c r="Q18" s="1" t="n">
        <v>1</v>
      </c>
      <c r="R18" s="1" t="n">
        <v>1</v>
      </c>
      <c r="S18" s="1" t="n">
        <f aca="false">R18-Q18</f>
        <v>0</v>
      </c>
      <c r="Z18" s="1" t="n">
        <v>3</v>
      </c>
      <c r="AA18" s="1" t="n">
        <v>3</v>
      </c>
      <c r="AB18" s="1" t="n">
        <f aca="false">AA18-Z18</f>
        <v>0</v>
      </c>
      <c r="AJ18" s="1" t="n">
        <v>2</v>
      </c>
      <c r="AK18" s="1" t="n">
        <v>2</v>
      </c>
      <c r="AL18" s="1" t="n">
        <f aca="false">AK18-AJ18</f>
        <v>0</v>
      </c>
      <c r="AU18" s="1" t="n">
        <v>4</v>
      </c>
      <c r="AV18" s="1" t="n">
        <v>7</v>
      </c>
      <c r="AW18" s="1" t="n">
        <f aca="false">AV18-AU18</f>
        <v>3</v>
      </c>
    </row>
    <row r="19" customFormat="false" ht="16" hidden="false" customHeight="false" outlineLevel="0" collapsed="false">
      <c r="A19" s="1" t="n">
        <v>1</v>
      </c>
      <c r="B19" s="1" t="n">
        <v>1</v>
      </c>
      <c r="C19" s="1" t="n">
        <f aca="false">B19-A19</f>
        <v>0</v>
      </c>
      <c r="I19" s="1" t="n">
        <v>1</v>
      </c>
      <c r="J19" s="1" t="n">
        <v>1</v>
      </c>
      <c r="K19" s="1" t="n">
        <f aca="false">J19-I19</f>
        <v>0</v>
      </c>
      <c r="Q19" s="1" t="n">
        <v>2</v>
      </c>
      <c r="R19" s="1" t="n">
        <v>2</v>
      </c>
      <c r="S19" s="1" t="n">
        <f aca="false">R19-Q19</f>
        <v>0</v>
      </c>
      <c r="Z19" s="1" t="n">
        <v>2</v>
      </c>
      <c r="AA19" s="1" t="n">
        <v>2</v>
      </c>
      <c r="AB19" s="1" t="n">
        <f aca="false">AA19-Z19</f>
        <v>0</v>
      </c>
      <c r="AJ19" s="1" t="n">
        <v>1</v>
      </c>
      <c r="AK19" s="1" t="n">
        <v>2</v>
      </c>
      <c r="AL19" s="1" t="n">
        <f aca="false">AK19-AJ19</f>
        <v>1</v>
      </c>
      <c r="AU19" s="1" t="n">
        <v>2</v>
      </c>
      <c r="AV19" s="1" t="n">
        <v>6</v>
      </c>
      <c r="AW19" s="1" t="n">
        <f aca="false">AV19-AU19</f>
        <v>4</v>
      </c>
    </row>
    <row r="20" customFormat="false" ht="16" hidden="false" customHeight="false" outlineLevel="0" collapsed="false">
      <c r="A20" s="1" t="n">
        <v>2</v>
      </c>
      <c r="B20" s="1" t="n">
        <v>2</v>
      </c>
      <c r="C20" s="1" t="n">
        <f aca="false">B20-A20</f>
        <v>0</v>
      </c>
      <c r="I20" s="1" t="n">
        <v>2</v>
      </c>
      <c r="J20" s="1" t="n">
        <v>2</v>
      </c>
      <c r="K20" s="1" t="n">
        <f aca="false">J20-I20</f>
        <v>0</v>
      </c>
      <c r="Q20" s="1" t="n">
        <v>2</v>
      </c>
      <c r="R20" s="1" t="n">
        <v>2</v>
      </c>
      <c r="S20" s="1" t="n">
        <f aca="false">R20-Q20</f>
        <v>0</v>
      </c>
      <c r="Z20" s="1" t="n">
        <v>1</v>
      </c>
      <c r="AA20" s="1" t="n">
        <v>2</v>
      </c>
      <c r="AB20" s="1" t="n">
        <f aca="false">AA20-Z20</f>
        <v>1</v>
      </c>
      <c r="AJ20" s="1" t="n">
        <v>1</v>
      </c>
      <c r="AK20" s="1" t="n">
        <v>1</v>
      </c>
      <c r="AL20" s="1" t="n">
        <f aca="false">AK20-AJ20</f>
        <v>0</v>
      </c>
      <c r="AU20" s="1" t="n">
        <v>1</v>
      </c>
      <c r="AV20" s="1" t="n">
        <v>3</v>
      </c>
      <c r="AW20" s="1" t="n">
        <f aca="false">AV20-AU20</f>
        <v>2</v>
      </c>
    </row>
    <row r="21" customFormat="false" ht="16" hidden="false" customHeight="false" outlineLevel="0" collapsed="false">
      <c r="A21" s="1" t="n">
        <v>2</v>
      </c>
      <c r="B21" s="1" t="n">
        <v>2</v>
      </c>
      <c r="C21" s="1" t="n">
        <f aca="false">B21-A21</f>
        <v>0</v>
      </c>
      <c r="I21" s="1" t="n">
        <v>2</v>
      </c>
      <c r="J21" s="1" t="n">
        <v>2</v>
      </c>
      <c r="K21" s="1" t="n">
        <f aca="false">J21-I21</f>
        <v>0</v>
      </c>
      <c r="Q21" s="1" t="n">
        <v>1</v>
      </c>
      <c r="R21" s="1" t="n">
        <v>1</v>
      </c>
      <c r="S21" s="1" t="n">
        <f aca="false">R21-Q21</f>
        <v>0</v>
      </c>
      <c r="Z21" s="1" t="n">
        <v>1</v>
      </c>
      <c r="AA21" s="1" t="n">
        <v>1</v>
      </c>
      <c r="AB21" s="1" t="n">
        <f aca="false">AA21-Z21</f>
        <v>0</v>
      </c>
      <c r="AJ21" s="1" t="n">
        <v>1</v>
      </c>
      <c r="AK21" s="1" t="n">
        <v>3</v>
      </c>
      <c r="AL21" s="1" t="n">
        <f aca="false">AK21-AJ21</f>
        <v>2</v>
      </c>
      <c r="AU21" s="1" t="n">
        <v>1</v>
      </c>
      <c r="AV21" s="1" t="n">
        <v>1</v>
      </c>
      <c r="AW21" s="1" t="n">
        <f aca="false">AV21-AU21</f>
        <v>0</v>
      </c>
    </row>
    <row r="22" customFormat="false" ht="16" hidden="false" customHeight="false" outlineLevel="0" collapsed="false">
      <c r="A22" s="1" t="n">
        <v>2</v>
      </c>
      <c r="B22" s="1" t="n">
        <v>2</v>
      </c>
      <c r="C22" s="1" t="n">
        <f aca="false">B22-A22</f>
        <v>0</v>
      </c>
      <c r="I22" s="1" t="n">
        <v>1</v>
      </c>
      <c r="J22" s="1" t="n">
        <v>1</v>
      </c>
      <c r="K22" s="1" t="n">
        <f aca="false">J22-I22</f>
        <v>0</v>
      </c>
      <c r="Q22" s="1" t="n">
        <v>2</v>
      </c>
      <c r="R22" s="1" t="n">
        <v>2</v>
      </c>
      <c r="S22" s="1" t="n">
        <f aca="false">R22-Q22</f>
        <v>0</v>
      </c>
      <c r="Z22" s="1" t="n">
        <v>2</v>
      </c>
      <c r="AA22" s="1" t="n">
        <v>2</v>
      </c>
      <c r="AB22" s="1" t="n">
        <f aca="false">AA22-Z22</f>
        <v>0</v>
      </c>
      <c r="AJ22" s="1" t="n">
        <v>4</v>
      </c>
      <c r="AK22" s="1" t="n">
        <v>6</v>
      </c>
      <c r="AL22" s="1" t="n">
        <f aca="false">AK22-AJ22</f>
        <v>2</v>
      </c>
      <c r="AU22" s="1" t="n">
        <v>4</v>
      </c>
      <c r="AV22" s="1" t="n">
        <v>7</v>
      </c>
      <c r="AW22" s="1" t="n">
        <f aca="false">AV22-AU22</f>
        <v>3</v>
      </c>
    </row>
    <row r="23" customFormat="false" ht="16" hidden="false" customHeight="false" outlineLevel="0" collapsed="false">
      <c r="A23" s="1" t="n">
        <v>1</v>
      </c>
      <c r="B23" s="1" t="n">
        <v>1</v>
      </c>
      <c r="C23" s="1" t="n">
        <f aca="false">B23-A23</f>
        <v>0</v>
      </c>
      <c r="I23" s="1" t="n">
        <v>1</v>
      </c>
      <c r="J23" s="1" t="n">
        <v>1</v>
      </c>
      <c r="K23" s="1" t="n">
        <f aca="false">J23-I23</f>
        <v>0</v>
      </c>
      <c r="Q23" s="1" t="n">
        <v>2</v>
      </c>
      <c r="R23" s="1" t="n">
        <v>4</v>
      </c>
      <c r="S23" s="1" t="n">
        <f aca="false">R23-Q23</f>
        <v>2</v>
      </c>
      <c r="Z23" s="1" t="n">
        <v>3</v>
      </c>
      <c r="AA23" s="1" t="n">
        <v>4</v>
      </c>
      <c r="AB23" s="1" t="n">
        <f aca="false">AA23-Z23</f>
        <v>1</v>
      </c>
      <c r="AJ23" s="1" t="n">
        <v>2</v>
      </c>
      <c r="AK23" s="1" t="n">
        <v>3</v>
      </c>
      <c r="AL23" s="1" t="n">
        <f aca="false">AK23-AJ23</f>
        <v>1</v>
      </c>
      <c r="AU23" s="1" t="n">
        <v>6</v>
      </c>
      <c r="AV23" s="1" t="n">
        <v>10</v>
      </c>
      <c r="AW23" s="1" t="n">
        <f aca="false">AV23-AU23</f>
        <v>4</v>
      </c>
    </row>
    <row r="24" customFormat="false" ht="16" hidden="false" customHeight="false" outlineLevel="0" collapsed="false">
      <c r="A24" s="1" t="n">
        <v>1</v>
      </c>
      <c r="B24" s="1" t="n">
        <v>1</v>
      </c>
      <c r="C24" s="1" t="n">
        <f aca="false">B24-A24</f>
        <v>0</v>
      </c>
      <c r="I24" s="1" t="n">
        <v>2</v>
      </c>
      <c r="J24" s="1" t="n">
        <v>2</v>
      </c>
      <c r="K24" s="1" t="n">
        <f aca="false">J24-I24</f>
        <v>0</v>
      </c>
      <c r="Q24" s="1" t="n">
        <v>3</v>
      </c>
      <c r="R24" s="1" t="n">
        <v>5</v>
      </c>
      <c r="S24" s="1" t="n">
        <f aca="false">R24-Q24</f>
        <v>2</v>
      </c>
      <c r="Z24" s="1" t="n">
        <v>2</v>
      </c>
      <c r="AA24" s="1" t="n">
        <v>2</v>
      </c>
      <c r="AB24" s="1" t="n">
        <f aca="false">AA24-Z24</f>
        <v>0</v>
      </c>
      <c r="AJ24" s="1" t="n">
        <v>2</v>
      </c>
      <c r="AK24" s="1" t="n">
        <v>2</v>
      </c>
      <c r="AL24" s="1" t="n">
        <f aca="false">AK24-AJ24</f>
        <v>0</v>
      </c>
      <c r="AU24" s="1" t="n">
        <v>2</v>
      </c>
      <c r="AV24" s="1" t="n">
        <v>6</v>
      </c>
      <c r="AW24" s="1" t="n">
        <f aca="false">AV24-AU24</f>
        <v>4</v>
      </c>
    </row>
    <row r="25" customFormat="false" ht="16" hidden="false" customHeight="false" outlineLevel="0" collapsed="false">
      <c r="A25" s="1" t="n">
        <v>1</v>
      </c>
      <c r="B25" s="1" t="n">
        <v>1</v>
      </c>
      <c r="C25" s="1" t="n">
        <f aca="false">B25-A25</f>
        <v>0</v>
      </c>
      <c r="I25" s="1" t="n">
        <v>1</v>
      </c>
      <c r="J25" s="1" t="n">
        <v>1</v>
      </c>
      <c r="K25" s="1" t="n">
        <f aca="false">J25-I25</f>
        <v>0</v>
      </c>
      <c r="Q25" s="1" t="n">
        <v>4</v>
      </c>
      <c r="R25" s="1" t="n">
        <v>6</v>
      </c>
      <c r="S25" s="1" t="n">
        <f aca="false">R25-Q25</f>
        <v>2</v>
      </c>
      <c r="Z25" s="1" t="n">
        <v>4</v>
      </c>
      <c r="AA25" s="1" t="n">
        <v>4</v>
      </c>
      <c r="AB25" s="1" t="n">
        <f aca="false">AA25-Z25</f>
        <v>0</v>
      </c>
      <c r="AJ25" s="1" t="n">
        <v>2</v>
      </c>
      <c r="AK25" s="1" t="n">
        <v>4</v>
      </c>
      <c r="AL25" s="1" t="n">
        <f aca="false">AK25-AJ25</f>
        <v>2</v>
      </c>
      <c r="AU25" s="1" t="n">
        <v>2</v>
      </c>
      <c r="AV25" s="1" t="n">
        <v>6</v>
      </c>
      <c r="AW25" s="1" t="n">
        <f aca="false">AV25-AU25</f>
        <v>4</v>
      </c>
    </row>
    <row r="26" customFormat="false" ht="16" hidden="false" customHeight="false" outlineLevel="0" collapsed="false">
      <c r="A26" s="1" t="n">
        <v>2</v>
      </c>
      <c r="B26" s="1" t="n">
        <v>2</v>
      </c>
      <c r="C26" s="1" t="n">
        <f aca="false">B26-A26</f>
        <v>0</v>
      </c>
      <c r="I26" s="1" t="n">
        <v>2</v>
      </c>
      <c r="J26" s="1" t="n">
        <v>2</v>
      </c>
      <c r="K26" s="1" t="n">
        <f aca="false">J26-I26</f>
        <v>0</v>
      </c>
      <c r="Q26" s="1" t="n">
        <v>4</v>
      </c>
      <c r="R26" s="1" t="n">
        <v>4</v>
      </c>
      <c r="S26" s="1" t="n">
        <f aca="false">R26-Q26</f>
        <v>0</v>
      </c>
      <c r="Z26" s="1" t="n">
        <v>2</v>
      </c>
      <c r="AA26" s="1" t="n">
        <v>2</v>
      </c>
      <c r="AB26" s="1" t="n">
        <f aca="false">AA26-Z26</f>
        <v>0</v>
      </c>
      <c r="AJ26" s="1" t="n">
        <v>2</v>
      </c>
      <c r="AK26" s="1" t="n">
        <v>2</v>
      </c>
      <c r="AL26" s="1" t="n">
        <f aca="false">AK26-AJ26</f>
        <v>0</v>
      </c>
      <c r="AU26" s="1" t="n">
        <v>5</v>
      </c>
      <c r="AV26" s="1" t="n">
        <v>9</v>
      </c>
      <c r="AW26" s="1" t="n">
        <f aca="false">AV26-AU26</f>
        <v>4</v>
      </c>
    </row>
    <row r="27" customFormat="false" ht="16" hidden="false" customHeight="false" outlineLevel="0" collapsed="false">
      <c r="A27" s="1" t="n">
        <v>1</v>
      </c>
      <c r="B27" s="1" t="n">
        <v>1</v>
      </c>
      <c r="C27" s="1" t="n">
        <f aca="false">B27-A27</f>
        <v>0</v>
      </c>
      <c r="I27" s="1" t="n">
        <v>2</v>
      </c>
      <c r="J27" s="1" t="n">
        <v>2</v>
      </c>
      <c r="K27" s="1" t="n">
        <f aca="false">J27-I27</f>
        <v>0</v>
      </c>
      <c r="Q27" s="1" t="n">
        <v>1</v>
      </c>
      <c r="R27" s="1" t="n">
        <v>1</v>
      </c>
      <c r="S27" s="1" t="n">
        <f aca="false">R27-Q27</f>
        <v>0</v>
      </c>
      <c r="Z27" s="1" t="n">
        <v>2</v>
      </c>
      <c r="AA27" s="1" t="n">
        <v>2</v>
      </c>
      <c r="AB27" s="1" t="n">
        <f aca="false">AA27-Z27</f>
        <v>0</v>
      </c>
      <c r="AJ27" s="1" t="n">
        <v>5</v>
      </c>
      <c r="AK27" s="1" t="n">
        <v>6</v>
      </c>
      <c r="AL27" s="1" t="n">
        <f aca="false">AK27-AJ27</f>
        <v>1</v>
      </c>
      <c r="AU27" s="1" t="n">
        <v>1</v>
      </c>
      <c r="AV27" s="1" t="n">
        <v>6</v>
      </c>
      <c r="AW27" s="1" t="n">
        <f aca="false">AV27-AU27</f>
        <v>5</v>
      </c>
    </row>
    <row r="28" customFormat="false" ht="16" hidden="false" customHeight="false" outlineLevel="0" collapsed="false">
      <c r="A28" s="1" t="n">
        <v>2</v>
      </c>
      <c r="B28" s="1" t="n">
        <v>2</v>
      </c>
      <c r="C28" s="1" t="n">
        <f aca="false">B28-A28</f>
        <v>0</v>
      </c>
      <c r="I28" s="1" t="n">
        <v>1</v>
      </c>
      <c r="J28" s="1" t="n">
        <v>1</v>
      </c>
      <c r="K28" s="1" t="n">
        <f aca="false">J28-I28</f>
        <v>0</v>
      </c>
      <c r="Q28" s="1" t="n">
        <v>4</v>
      </c>
      <c r="R28" s="1" t="n">
        <v>4</v>
      </c>
      <c r="S28" s="1" t="n">
        <f aca="false">R28-Q28</f>
        <v>0</v>
      </c>
      <c r="Z28" s="1" t="n">
        <v>2</v>
      </c>
      <c r="AA28" s="1" t="n">
        <v>2</v>
      </c>
      <c r="AB28" s="1" t="n">
        <f aca="false">AA28-Z28</f>
        <v>0</v>
      </c>
      <c r="AJ28" s="1" t="n">
        <v>4</v>
      </c>
      <c r="AK28" s="1" t="n">
        <v>6</v>
      </c>
      <c r="AL28" s="1" t="n">
        <f aca="false">AK28-AJ28</f>
        <v>2</v>
      </c>
      <c r="AU28" s="1" t="n">
        <v>1</v>
      </c>
      <c r="AV28" s="1" t="n">
        <v>3</v>
      </c>
      <c r="AW28" s="1" t="n">
        <f aca="false">AV28-AU28</f>
        <v>2</v>
      </c>
    </row>
    <row r="29" customFormat="false" ht="16" hidden="false" customHeight="false" outlineLevel="0" collapsed="false">
      <c r="A29" s="1" t="n">
        <v>1</v>
      </c>
      <c r="B29" s="1" t="n">
        <v>1</v>
      </c>
      <c r="C29" s="1" t="n">
        <f aca="false">B29-A29</f>
        <v>0</v>
      </c>
      <c r="I29" s="1" t="n">
        <v>1</v>
      </c>
      <c r="J29" s="1" t="n">
        <v>1</v>
      </c>
      <c r="K29" s="1" t="n">
        <f aca="false">J29-I29</f>
        <v>0</v>
      </c>
      <c r="Q29" s="1" t="n">
        <v>2</v>
      </c>
      <c r="R29" s="1" t="n">
        <v>2</v>
      </c>
      <c r="S29" s="1" t="n">
        <f aca="false">R29-Q29</f>
        <v>0</v>
      </c>
      <c r="Z29" s="1" t="n">
        <v>1</v>
      </c>
      <c r="AA29" s="1" t="n">
        <v>1</v>
      </c>
      <c r="AB29" s="1" t="n">
        <f aca="false">AA29-Z29</f>
        <v>0</v>
      </c>
      <c r="AJ29" s="1" t="n">
        <v>4</v>
      </c>
      <c r="AK29" s="1" t="n">
        <v>4</v>
      </c>
      <c r="AL29" s="1" t="n">
        <f aca="false">AK29-AJ29</f>
        <v>0</v>
      </c>
      <c r="AU29" s="1" t="n">
        <v>2</v>
      </c>
      <c r="AV29" s="1" t="n">
        <v>6</v>
      </c>
      <c r="AW29" s="1" t="n">
        <f aca="false">AV29-AU29</f>
        <v>4</v>
      </c>
    </row>
    <row r="30" customFormat="false" ht="16" hidden="false" customHeight="false" outlineLevel="0" collapsed="false">
      <c r="A30" s="1" t="n">
        <v>2</v>
      </c>
      <c r="B30" s="1" t="n">
        <v>2</v>
      </c>
      <c r="C30" s="1" t="n">
        <f aca="false">B30-A30</f>
        <v>0</v>
      </c>
      <c r="I30" s="1" t="n">
        <v>1</v>
      </c>
      <c r="J30" s="1" t="n">
        <v>1</v>
      </c>
      <c r="K30" s="1" t="n">
        <f aca="false">J30-I30</f>
        <v>0</v>
      </c>
      <c r="Q30" s="1" t="n">
        <v>3</v>
      </c>
      <c r="R30" s="1" t="n">
        <v>3</v>
      </c>
      <c r="S30" s="1" t="n">
        <f aca="false">R30-Q30</f>
        <v>0</v>
      </c>
      <c r="Z30" s="1" t="n">
        <v>1</v>
      </c>
      <c r="AA30" s="1" t="n">
        <v>1</v>
      </c>
      <c r="AB30" s="1" t="n">
        <f aca="false">AA30-Z30</f>
        <v>0</v>
      </c>
      <c r="AJ30" s="1" t="n">
        <v>4</v>
      </c>
      <c r="AK30" s="1" t="n">
        <v>8</v>
      </c>
      <c r="AL30" s="1" t="n">
        <f aca="false">AK30-AJ30</f>
        <v>4</v>
      </c>
      <c r="AU30" s="1" t="n">
        <v>1</v>
      </c>
      <c r="AV30" s="1" t="n">
        <v>3</v>
      </c>
      <c r="AW30" s="1" t="n">
        <f aca="false">AV30-AU30</f>
        <v>2</v>
      </c>
    </row>
    <row r="31" customFormat="false" ht="16" hidden="false" customHeight="false" outlineLevel="0" collapsed="false">
      <c r="A31" s="1" t="n">
        <v>2</v>
      </c>
      <c r="B31" s="1" t="n">
        <v>2</v>
      </c>
      <c r="C31" s="1" t="n">
        <f aca="false">B31-A31</f>
        <v>0</v>
      </c>
      <c r="I31" s="1" t="n">
        <v>2</v>
      </c>
      <c r="J31" s="1" t="n">
        <v>2</v>
      </c>
      <c r="K31" s="1" t="n">
        <f aca="false">J31-I31</f>
        <v>0</v>
      </c>
      <c r="Q31" s="1" t="n">
        <v>4</v>
      </c>
      <c r="R31" s="1" t="n">
        <v>4</v>
      </c>
      <c r="S31" s="1" t="n">
        <f aca="false">R31-Q31</f>
        <v>0</v>
      </c>
      <c r="Z31" s="1" t="n">
        <v>3</v>
      </c>
      <c r="AA31" s="1" t="n">
        <v>3</v>
      </c>
      <c r="AB31" s="1" t="n">
        <f aca="false">AA31-Z31</f>
        <v>0</v>
      </c>
      <c r="AJ31" s="1" t="n">
        <v>1</v>
      </c>
      <c r="AK31" s="1" t="n">
        <v>3</v>
      </c>
      <c r="AL31" s="1" t="n">
        <f aca="false">AK31-AJ31</f>
        <v>2</v>
      </c>
      <c r="AU31" s="1" t="n">
        <v>1</v>
      </c>
      <c r="AV31" s="1" t="n">
        <v>5</v>
      </c>
      <c r="AW31" s="1" t="n">
        <f aca="false">AV31-AU31</f>
        <v>4</v>
      </c>
    </row>
    <row r="32" customFormat="false" ht="16" hidden="false" customHeight="false" outlineLevel="0" collapsed="false">
      <c r="A32" s="1" t="n">
        <v>2</v>
      </c>
      <c r="B32" s="1" t="n">
        <v>2</v>
      </c>
      <c r="C32" s="1" t="n">
        <f aca="false">B32-A32</f>
        <v>0</v>
      </c>
      <c r="I32" s="1" t="n">
        <v>3</v>
      </c>
      <c r="J32" s="1" t="n">
        <v>3</v>
      </c>
      <c r="K32" s="1" t="n">
        <f aca="false">J32-I32</f>
        <v>0</v>
      </c>
      <c r="Q32" s="1" t="n">
        <v>4</v>
      </c>
      <c r="R32" s="1" t="n">
        <v>4</v>
      </c>
      <c r="S32" s="1" t="n">
        <f aca="false">R32-Q32</f>
        <v>0</v>
      </c>
      <c r="Z32" s="1" t="n">
        <v>3</v>
      </c>
      <c r="AA32" s="1" t="n">
        <v>3</v>
      </c>
      <c r="AB32" s="1" t="n">
        <f aca="false">AA32-Z32</f>
        <v>0</v>
      </c>
      <c r="AJ32" s="1" t="n">
        <v>3</v>
      </c>
      <c r="AK32" s="1" t="n">
        <v>6</v>
      </c>
      <c r="AL32" s="1" t="n">
        <f aca="false">AK32-AJ32</f>
        <v>3</v>
      </c>
      <c r="AU32" s="1" t="n">
        <v>4</v>
      </c>
      <c r="AV32" s="1" t="n">
        <v>7</v>
      </c>
      <c r="AW32" s="1" t="n">
        <f aca="false">AV32-AU32</f>
        <v>3</v>
      </c>
    </row>
    <row r="33" customFormat="false" ht="16" hidden="false" customHeight="false" outlineLevel="0" collapsed="false">
      <c r="A33" s="1" t="n">
        <v>1</v>
      </c>
      <c r="B33" s="1" t="n">
        <v>1</v>
      </c>
      <c r="C33" s="1" t="n">
        <f aca="false">B33-A33</f>
        <v>0</v>
      </c>
      <c r="I33" s="1" t="n">
        <v>2</v>
      </c>
      <c r="J33" s="1" t="n">
        <v>2</v>
      </c>
      <c r="K33" s="1" t="n">
        <f aca="false">J33-I33</f>
        <v>0</v>
      </c>
      <c r="Q33" s="1" t="n">
        <v>1</v>
      </c>
      <c r="R33" s="1" t="n">
        <v>1</v>
      </c>
      <c r="S33" s="1" t="n">
        <f aca="false">R33-Q33</f>
        <v>0</v>
      </c>
      <c r="Z33" s="1" t="n">
        <v>2</v>
      </c>
      <c r="AA33" s="1" t="n">
        <v>2</v>
      </c>
      <c r="AB33" s="1" t="n">
        <f aca="false">AA33-Z33</f>
        <v>0</v>
      </c>
      <c r="AJ33" s="1" t="n">
        <v>4</v>
      </c>
      <c r="AK33" s="1" t="n">
        <v>6</v>
      </c>
      <c r="AL33" s="1" t="n">
        <f aca="false">AK33-AJ33</f>
        <v>2</v>
      </c>
      <c r="AU33" s="1" t="n">
        <v>2</v>
      </c>
      <c r="AV33" s="1" t="n">
        <v>6</v>
      </c>
      <c r="AW33" s="1" t="n">
        <f aca="false">AV33-AU33</f>
        <v>4</v>
      </c>
    </row>
    <row r="34" customFormat="false" ht="16" hidden="false" customHeight="false" outlineLevel="0" collapsed="false">
      <c r="A34" s="1" t="n">
        <v>2</v>
      </c>
      <c r="B34" s="1" t="n">
        <v>2</v>
      </c>
      <c r="C34" s="1" t="n">
        <f aca="false">B34-A34</f>
        <v>0</v>
      </c>
      <c r="I34" s="1" t="n">
        <v>2</v>
      </c>
      <c r="J34" s="1" t="n">
        <v>2</v>
      </c>
      <c r="K34" s="1" t="n">
        <f aca="false">J34-I34</f>
        <v>0</v>
      </c>
      <c r="Q34" s="1" t="n">
        <v>2</v>
      </c>
      <c r="R34" s="1" t="n">
        <v>4</v>
      </c>
      <c r="S34" s="1" t="n">
        <f aca="false">R34-Q34</f>
        <v>2</v>
      </c>
      <c r="Z34" s="1" t="n">
        <v>2</v>
      </c>
      <c r="AA34" s="1" t="n">
        <v>2</v>
      </c>
      <c r="AB34" s="1" t="n">
        <f aca="false">AA34-Z34</f>
        <v>0</v>
      </c>
      <c r="AJ34" s="1" t="n">
        <v>2</v>
      </c>
      <c r="AK34" s="1" t="n">
        <v>2</v>
      </c>
      <c r="AL34" s="1" t="n">
        <f aca="false">AK34-AJ34</f>
        <v>0</v>
      </c>
      <c r="AU34" s="1" t="n">
        <v>1</v>
      </c>
      <c r="AV34" s="1" t="n">
        <v>5</v>
      </c>
      <c r="AW34" s="1" t="n">
        <f aca="false">AV34-AU34</f>
        <v>4</v>
      </c>
    </row>
    <row r="35" customFormat="false" ht="16" hidden="false" customHeight="false" outlineLevel="0" collapsed="false">
      <c r="A35" s="1" t="n">
        <v>1</v>
      </c>
      <c r="B35" s="1" t="n">
        <v>1</v>
      </c>
      <c r="C35" s="1" t="n">
        <f aca="false">B35-A35</f>
        <v>0</v>
      </c>
      <c r="I35" s="1" t="n">
        <v>1</v>
      </c>
      <c r="J35" s="1" t="n">
        <v>1</v>
      </c>
      <c r="K35" s="1" t="n">
        <f aca="false">J35-I35</f>
        <v>0</v>
      </c>
      <c r="Q35" s="1" t="n">
        <v>1</v>
      </c>
      <c r="R35" s="1" t="n">
        <v>1</v>
      </c>
      <c r="S35" s="1" t="n">
        <f aca="false">R35-Q35</f>
        <v>0</v>
      </c>
      <c r="Z35" s="1" t="n">
        <v>5</v>
      </c>
      <c r="AA35" s="1" t="n">
        <v>5</v>
      </c>
      <c r="AB35" s="1" t="n">
        <f aca="false">AA35-Z35</f>
        <v>0</v>
      </c>
      <c r="AJ35" s="1" t="n">
        <v>1</v>
      </c>
      <c r="AK35" s="1" t="n">
        <v>1</v>
      </c>
      <c r="AL35" s="1" t="n">
        <f aca="false">AK35-AJ35</f>
        <v>0</v>
      </c>
      <c r="AU35" s="1" t="n">
        <v>2</v>
      </c>
      <c r="AV35" s="1" t="n">
        <v>4</v>
      </c>
      <c r="AW35" s="1" t="n">
        <f aca="false">AV35-AU35</f>
        <v>2</v>
      </c>
    </row>
    <row r="36" customFormat="false" ht="16" hidden="false" customHeight="false" outlineLevel="0" collapsed="false">
      <c r="A36" s="1" t="n">
        <v>2</v>
      </c>
      <c r="B36" s="1" t="n">
        <v>2</v>
      </c>
      <c r="C36" s="1" t="n">
        <f aca="false">B36-A36</f>
        <v>0</v>
      </c>
      <c r="I36" s="1" t="n">
        <v>1</v>
      </c>
      <c r="J36" s="1" t="n">
        <v>1</v>
      </c>
      <c r="K36" s="1" t="n">
        <f aca="false">J36-I36</f>
        <v>0</v>
      </c>
      <c r="Q36" s="1" t="n">
        <v>2</v>
      </c>
      <c r="R36" s="1" t="n">
        <v>2</v>
      </c>
      <c r="S36" s="1" t="n">
        <f aca="false">R36-Q36</f>
        <v>0</v>
      </c>
      <c r="Z36" s="1" t="n">
        <v>4</v>
      </c>
      <c r="AA36" s="1" t="n">
        <v>4</v>
      </c>
      <c r="AB36" s="1" t="n">
        <f aca="false">AA36-Z36</f>
        <v>0</v>
      </c>
      <c r="AJ36" s="1" t="n">
        <v>1</v>
      </c>
      <c r="AK36" s="1" t="n">
        <v>3</v>
      </c>
      <c r="AL36" s="1" t="n">
        <f aca="false">AK36-AJ36</f>
        <v>2</v>
      </c>
      <c r="AU36" s="1" t="n">
        <v>4</v>
      </c>
      <c r="AV36" s="1" t="n">
        <v>6</v>
      </c>
      <c r="AW36" s="1" t="n">
        <f aca="false">AV36-AU36</f>
        <v>2</v>
      </c>
    </row>
    <row r="37" customFormat="false" ht="16" hidden="false" customHeight="false" outlineLevel="0" collapsed="false">
      <c r="A37" s="1" t="n">
        <v>2</v>
      </c>
      <c r="B37" s="1" t="n">
        <v>2</v>
      </c>
      <c r="C37" s="1" t="n">
        <f aca="false">B37-A37</f>
        <v>0</v>
      </c>
      <c r="I37" s="1" t="n">
        <v>2</v>
      </c>
      <c r="J37" s="1" t="n">
        <v>2</v>
      </c>
      <c r="K37" s="1" t="n">
        <f aca="false">J37-I37</f>
        <v>0</v>
      </c>
      <c r="Q37" s="1" t="n">
        <v>2</v>
      </c>
      <c r="R37" s="1" t="n">
        <v>4</v>
      </c>
      <c r="S37" s="1" t="n">
        <f aca="false">R37-Q37</f>
        <v>2</v>
      </c>
      <c r="Z37" s="1" t="n">
        <v>5</v>
      </c>
      <c r="AA37" s="1" t="n">
        <v>8</v>
      </c>
      <c r="AB37" s="1" t="n">
        <f aca="false">AA37-Z37</f>
        <v>3</v>
      </c>
      <c r="AJ37" s="1" t="n">
        <v>4</v>
      </c>
      <c r="AK37" s="1" t="n">
        <v>7</v>
      </c>
      <c r="AL37" s="1" t="n">
        <f aca="false">AK37-AJ37</f>
        <v>3</v>
      </c>
      <c r="AU37" s="1" t="n">
        <v>2</v>
      </c>
      <c r="AV37" s="1" t="n">
        <v>8</v>
      </c>
      <c r="AW37" s="1" t="n">
        <f aca="false">AV37-AU37</f>
        <v>6</v>
      </c>
    </row>
    <row r="38" customFormat="false" ht="16" hidden="false" customHeight="false" outlineLevel="0" collapsed="false">
      <c r="A38" s="1" t="n">
        <v>1</v>
      </c>
      <c r="B38" s="1" t="n">
        <v>1</v>
      </c>
      <c r="C38" s="1" t="n">
        <f aca="false">B38-A38</f>
        <v>0</v>
      </c>
      <c r="I38" s="1" t="n">
        <v>1</v>
      </c>
      <c r="J38" s="1" t="n">
        <v>1</v>
      </c>
      <c r="K38" s="1" t="n">
        <f aca="false">J38-I38</f>
        <v>0</v>
      </c>
      <c r="Q38" s="1" t="n">
        <v>4</v>
      </c>
      <c r="R38" s="1" t="n">
        <v>6</v>
      </c>
      <c r="S38" s="1" t="n">
        <f aca="false">R38-Q38</f>
        <v>2</v>
      </c>
      <c r="Z38" s="1" t="n">
        <v>1</v>
      </c>
      <c r="AA38" s="1" t="n">
        <v>1</v>
      </c>
      <c r="AB38" s="1" t="n">
        <f aca="false">AA38-Z38</f>
        <v>0</v>
      </c>
      <c r="AJ38" s="1" t="n">
        <v>2</v>
      </c>
      <c r="AK38" s="1" t="n">
        <v>2</v>
      </c>
      <c r="AL38" s="1" t="n">
        <f aca="false">AK38-AJ38</f>
        <v>0</v>
      </c>
      <c r="AU38" s="1" t="n">
        <v>1</v>
      </c>
      <c r="AV38" s="1" t="n">
        <v>3</v>
      </c>
      <c r="AW38" s="1" t="n">
        <f aca="false">AV38-AU38</f>
        <v>2</v>
      </c>
    </row>
    <row r="39" customFormat="false" ht="16" hidden="false" customHeight="false" outlineLevel="0" collapsed="false">
      <c r="A39" s="1" t="n">
        <v>2</v>
      </c>
      <c r="B39" s="1" t="n">
        <v>2</v>
      </c>
      <c r="C39" s="1" t="n">
        <f aca="false">B39-A39</f>
        <v>0</v>
      </c>
      <c r="I39" s="1" t="n">
        <v>1</v>
      </c>
      <c r="J39" s="1" t="n">
        <v>1</v>
      </c>
      <c r="K39" s="1" t="n">
        <f aca="false">J39-I39</f>
        <v>0</v>
      </c>
      <c r="Q39" s="1" t="n">
        <v>4</v>
      </c>
      <c r="R39" s="1" t="n">
        <v>7</v>
      </c>
      <c r="S39" s="1" t="n">
        <f aca="false">R39-Q39</f>
        <v>3</v>
      </c>
      <c r="Z39" s="1" t="n">
        <v>4</v>
      </c>
      <c r="AA39" s="1" t="n">
        <v>4</v>
      </c>
      <c r="AB39" s="1" t="n">
        <f aca="false">AA39-Z39</f>
        <v>0</v>
      </c>
      <c r="AJ39" s="1" t="n">
        <v>2</v>
      </c>
      <c r="AK39" s="1" t="n">
        <v>4</v>
      </c>
      <c r="AL39" s="1" t="n">
        <f aca="false">AK39-AJ39</f>
        <v>2</v>
      </c>
      <c r="AU39" s="1" t="n">
        <v>2</v>
      </c>
      <c r="AV39" s="1" t="n">
        <v>5</v>
      </c>
      <c r="AW39" s="1" t="n">
        <f aca="false">AV39-AU39</f>
        <v>3</v>
      </c>
    </row>
    <row r="40" customFormat="false" ht="16" hidden="false" customHeight="false" outlineLevel="0" collapsed="false">
      <c r="A40" s="1" t="n">
        <v>1</v>
      </c>
      <c r="B40" s="1" t="n">
        <v>1</v>
      </c>
      <c r="C40" s="1" t="n">
        <f aca="false">B40-A40</f>
        <v>0</v>
      </c>
      <c r="I40" s="1" t="n">
        <v>1</v>
      </c>
      <c r="J40" s="1" t="n">
        <v>1</v>
      </c>
      <c r="K40" s="1" t="n">
        <f aca="false">J40-I40</f>
        <v>0</v>
      </c>
      <c r="Q40" s="1" t="n">
        <v>4</v>
      </c>
      <c r="R40" s="1" t="n">
        <v>4</v>
      </c>
      <c r="S40" s="1" t="n">
        <f aca="false">R40-Q40</f>
        <v>0</v>
      </c>
      <c r="Z40" s="1" t="n">
        <v>4</v>
      </c>
      <c r="AA40" s="1" t="n">
        <v>5</v>
      </c>
      <c r="AB40" s="1" t="n">
        <f aca="false">AA40-Z40</f>
        <v>1</v>
      </c>
      <c r="AJ40" s="1" t="n">
        <v>5</v>
      </c>
      <c r="AK40" s="1" t="n">
        <v>7</v>
      </c>
      <c r="AL40" s="1" t="n">
        <f aca="false">AK40-AJ40</f>
        <v>2</v>
      </c>
      <c r="AU40" s="1" t="n">
        <v>4</v>
      </c>
      <c r="AV40" s="1" t="n">
        <v>7</v>
      </c>
      <c r="AW40" s="1" t="n">
        <f aca="false">AV40-AU40</f>
        <v>3</v>
      </c>
    </row>
    <row r="41" customFormat="false" ht="16" hidden="false" customHeight="false" outlineLevel="0" collapsed="false">
      <c r="A41" s="1" t="n">
        <v>1</v>
      </c>
      <c r="B41" s="1" t="n">
        <v>1</v>
      </c>
      <c r="C41" s="1" t="n">
        <f aca="false">B41-A41</f>
        <v>0</v>
      </c>
      <c r="I41" s="1" t="n">
        <v>2</v>
      </c>
      <c r="J41" s="1" t="n">
        <v>2</v>
      </c>
      <c r="K41" s="1" t="n">
        <f aca="false">J41-I41</f>
        <v>0</v>
      </c>
      <c r="Q41" s="1" t="n">
        <v>2</v>
      </c>
      <c r="R41" s="1" t="n">
        <v>4</v>
      </c>
      <c r="S41" s="1" t="n">
        <f aca="false">R41-Q41</f>
        <v>2</v>
      </c>
      <c r="Z41" s="1" t="n">
        <v>3</v>
      </c>
      <c r="AA41" s="1" t="n">
        <v>5</v>
      </c>
      <c r="AB41" s="1" t="n">
        <f aca="false">AA41-Z41</f>
        <v>2</v>
      </c>
      <c r="AJ41" s="1" t="n">
        <v>3</v>
      </c>
      <c r="AK41" s="1" t="n">
        <v>3</v>
      </c>
      <c r="AL41" s="1" t="n">
        <f aca="false">AK41-AJ41</f>
        <v>0</v>
      </c>
      <c r="AU41" s="1" t="n">
        <v>3</v>
      </c>
      <c r="AV41" s="1" t="n">
        <v>5</v>
      </c>
      <c r="AW41" s="1" t="n">
        <f aca="false">AV41-AU41</f>
        <v>2</v>
      </c>
    </row>
    <row r="42" customFormat="false" ht="16" hidden="false" customHeight="false" outlineLevel="0" collapsed="false">
      <c r="A42" s="1" t="n">
        <v>2</v>
      </c>
      <c r="B42" s="1" t="n">
        <v>2</v>
      </c>
      <c r="C42" s="1" t="n">
        <f aca="false">B42-A42</f>
        <v>0</v>
      </c>
      <c r="I42" s="1" t="n">
        <v>3</v>
      </c>
      <c r="J42" s="1" t="n">
        <v>3</v>
      </c>
      <c r="K42" s="1" t="n">
        <f aca="false">J42-I42</f>
        <v>0</v>
      </c>
      <c r="Q42" s="1" t="n">
        <v>2</v>
      </c>
      <c r="R42" s="1" t="n">
        <v>3</v>
      </c>
      <c r="S42" s="1" t="n">
        <f aca="false">R42-Q42</f>
        <v>1</v>
      </c>
      <c r="Z42" s="1" t="n">
        <v>6</v>
      </c>
      <c r="AA42" s="1" t="n">
        <v>6</v>
      </c>
      <c r="AB42" s="1" t="n">
        <f aca="false">AA42-Z42</f>
        <v>0</v>
      </c>
      <c r="AJ42" s="1" t="n">
        <v>2</v>
      </c>
      <c r="AK42" s="1" t="n">
        <v>3</v>
      </c>
      <c r="AL42" s="1" t="n">
        <f aca="false">AK42-AJ42</f>
        <v>1</v>
      </c>
      <c r="AU42" s="1" t="n">
        <v>1</v>
      </c>
      <c r="AV42" s="1" t="n">
        <v>3</v>
      </c>
      <c r="AW42" s="1" t="n">
        <f aca="false">AV42-AU42</f>
        <v>2</v>
      </c>
    </row>
    <row r="43" customFormat="false" ht="16" hidden="false" customHeight="false" outlineLevel="0" collapsed="false">
      <c r="A43" s="1" t="n">
        <v>1</v>
      </c>
      <c r="B43" s="1" t="n">
        <v>1</v>
      </c>
      <c r="C43" s="1" t="n">
        <f aca="false">B43-A43</f>
        <v>0</v>
      </c>
      <c r="I43" s="1" t="n">
        <v>1</v>
      </c>
      <c r="J43" s="1" t="n">
        <v>1</v>
      </c>
      <c r="K43" s="1" t="n">
        <f aca="false">J43-I43</f>
        <v>0</v>
      </c>
      <c r="Q43" s="1" t="n">
        <v>3</v>
      </c>
      <c r="R43" s="1" t="n">
        <v>3</v>
      </c>
      <c r="S43" s="1" t="n">
        <f aca="false">R43-Q43</f>
        <v>0</v>
      </c>
      <c r="Z43" s="1" t="n">
        <v>5</v>
      </c>
      <c r="AA43" s="1" t="n">
        <v>5</v>
      </c>
      <c r="AB43" s="1" t="n">
        <f aca="false">AA43-Z43</f>
        <v>0</v>
      </c>
      <c r="AJ43" s="1" t="n">
        <v>2</v>
      </c>
      <c r="AK43" s="1" t="n">
        <v>3</v>
      </c>
      <c r="AL43" s="1" t="n">
        <f aca="false">AK43-AJ43</f>
        <v>1</v>
      </c>
      <c r="AU43" s="1" t="n">
        <v>3</v>
      </c>
      <c r="AV43" s="1" t="n">
        <v>5</v>
      </c>
      <c r="AW43" s="1" t="n">
        <f aca="false">AV43-AU43</f>
        <v>2</v>
      </c>
    </row>
    <row r="44" customFormat="false" ht="16" hidden="false" customHeight="false" outlineLevel="0" collapsed="false">
      <c r="A44" s="1" t="n">
        <v>1</v>
      </c>
      <c r="B44" s="1" t="n">
        <v>1</v>
      </c>
      <c r="C44" s="1" t="n">
        <f aca="false">B44-A44</f>
        <v>0</v>
      </c>
      <c r="I44" s="1" t="n">
        <v>2</v>
      </c>
      <c r="J44" s="1" t="n">
        <v>3</v>
      </c>
      <c r="K44" s="1" t="n">
        <f aca="false">J44-I44</f>
        <v>1</v>
      </c>
      <c r="Q44" s="1" t="n">
        <v>2</v>
      </c>
      <c r="R44" s="1" t="n">
        <v>2</v>
      </c>
      <c r="S44" s="1" t="n">
        <f aca="false">R44-Q44</f>
        <v>0</v>
      </c>
      <c r="Z44" s="1" t="n">
        <v>1</v>
      </c>
      <c r="AA44" s="1" t="n">
        <v>4</v>
      </c>
      <c r="AB44" s="1" t="n">
        <f aca="false">AA44-Z44</f>
        <v>3</v>
      </c>
      <c r="AJ44" s="1" t="n">
        <v>4</v>
      </c>
      <c r="AK44" s="1" t="n">
        <v>4</v>
      </c>
      <c r="AL44" s="1" t="n">
        <f aca="false">AK44-AJ44</f>
        <v>0</v>
      </c>
      <c r="AU44" s="1" t="n">
        <v>2</v>
      </c>
      <c r="AV44" s="1" t="n">
        <v>8</v>
      </c>
      <c r="AW44" s="1" t="n">
        <f aca="false">AV44-AU44</f>
        <v>6</v>
      </c>
    </row>
    <row r="45" customFormat="false" ht="16" hidden="false" customHeight="false" outlineLevel="0" collapsed="false">
      <c r="A45" s="1" t="n">
        <v>1</v>
      </c>
      <c r="B45" s="1" t="n">
        <v>1</v>
      </c>
      <c r="C45" s="1" t="n">
        <f aca="false">B45-A45</f>
        <v>0</v>
      </c>
      <c r="I45" s="1" t="n">
        <v>1</v>
      </c>
      <c r="J45" s="1" t="n">
        <v>1</v>
      </c>
      <c r="K45" s="1" t="n">
        <f aca="false">J45-I45</f>
        <v>0</v>
      </c>
      <c r="Q45" s="1" t="n">
        <v>4</v>
      </c>
      <c r="R45" s="1" t="n">
        <v>5</v>
      </c>
      <c r="S45" s="1" t="n">
        <f aca="false">R45-Q45</f>
        <v>1</v>
      </c>
      <c r="Z45" s="1" t="n">
        <v>4</v>
      </c>
      <c r="AA45" s="1" t="n">
        <v>4</v>
      </c>
      <c r="AB45" s="1" t="n">
        <f aca="false">AA45-Z45</f>
        <v>0</v>
      </c>
      <c r="AJ45" s="1" t="n">
        <v>5</v>
      </c>
      <c r="AK45" s="1" t="n">
        <v>7</v>
      </c>
      <c r="AL45" s="1" t="n">
        <f aca="false">AK45-AJ45</f>
        <v>2</v>
      </c>
      <c r="AU45" s="1" t="n">
        <v>3</v>
      </c>
      <c r="AV45" s="1" t="n">
        <v>6</v>
      </c>
      <c r="AW45" s="1" t="n">
        <f aca="false">AV45-AU45</f>
        <v>3</v>
      </c>
    </row>
    <row r="46" customFormat="false" ht="16" hidden="false" customHeight="false" outlineLevel="0" collapsed="false">
      <c r="A46" s="1" t="n">
        <v>2</v>
      </c>
      <c r="B46" s="1" t="n">
        <v>2</v>
      </c>
      <c r="C46" s="1" t="n">
        <f aca="false">B46-A46</f>
        <v>0</v>
      </c>
      <c r="I46" s="1" t="n">
        <v>2</v>
      </c>
      <c r="J46" s="1" t="n">
        <v>2</v>
      </c>
      <c r="K46" s="1" t="n">
        <f aca="false">J46-I46</f>
        <v>0</v>
      </c>
      <c r="Q46" s="1" t="n">
        <v>4</v>
      </c>
      <c r="R46" s="1" t="n">
        <v>6</v>
      </c>
      <c r="S46" s="1" t="n">
        <f aca="false">R46-Q46</f>
        <v>2</v>
      </c>
      <c r="Z46" s="1" t="n">
        <v>4</v>
      </c>
      <c r="AA46" s="1" t="n">
        <v>6</v>
      </c>
      <c r="AB46" s="1" t="n">
        <f aca="false">AA46-Z46</f>
        <v>2</v>
      </c>
      <c r="AJ46" s="1" t="n">
        <v>2</v>
      </c>
      <c r="AK46" s="1" t="n">
        <v>2</v>
      </c>
      <c r="AL46" s="1" t="n">
        <f aca="false">AK46-AJ46</f>
        <v>0</v>
      </c>
      <c r="AU46" s="1" t="n">
        <v>4</v>
      </c>
      <c r="AV46" s="1" t="n">
        <v>4</v>
      </c>
      <c r="AW46" s="1" t="n">
        <f aca="false">AV46-AU46</f>
        <v>0</v>
      </c>
    </row>
    <row r="47" customFormat="false" ht="16" hidden="false" customHeight="false" outlineLevel="0" collapsed="false">
      <c r="A47" s="1" t="n">
        <v>1</v>
      </c>
      <c r="B47" s="1" t="n">
        <v>1</v>
      </c>
      <c r="C47" s="1" t="n">
        <f aca="false">B47-A47</f>
        <v>0</v>
      </c>
      <c r="I47" s="1" t="n">
        <v>2</v>
      </c>
      <c r="J47" s="1" t="n">
        <v>2</v>
      </c>
      <c r="K47" s="1" t="n">
        <f aca="false">J47-I47</f>
        <v>0</v>
      </c>
      <c r="Q47" s="1" t="n">
        <v>4</v>
      </c>
      <c r="R47" s="1" t="n">
        <v>4</v>
      </c>
      <c r="S47" s="1" t="n">
        <f aca="false">R47-Q47</f>
        <v>0</v>
      </c>
      <c r="Z47" s="1" t="n">
        <v>1</v>
      </c>
      <c r="AA47" s="1" t="n">
        <v>2</v>
      </c>
      <c r="AB47" s="1" t="n">
        <f aca="false">AA47-Z47</f>
        <v>1</v>
      </c>
      <c r="AJ47" s="1" t="n">
        <v>1</v>
      </c>
      <c r="AK47" s="1" t="n">
        <v>1</v>
      </c>
      <c r="AL47" s="1" t="n">
        <f aca="false">AK47-AJ47</f>
        <v>0</v>
      </c>
      <c r="AU47" s="1" t="n">
        <v>4</v>
      </c>
      <c r="AV47" s="1" t="n">
        <v>12</v>
      </c>
      <c r="AW47" s="1" t="n">
        <f aca="false">AV47-AU47</f>
        <v>8</v>
      </c>
    </row>
    <row r="48" customFormat="false" ht="16" hidden="false" customHeight="false" outlineLevel="0" collapsed="false">
      <c r="A48" s="1" t="n">
        <v>2</v>
      </c>
      <c r="B48" s="1" t="n">
        <v>2</v>
      </c>
      <c r="C48" s="1" t="n">
        <f aca="false">B48-A48</f>
        <v>0</v>
      </c>
      <c r="I48" s="1" t="n">
        <v>2</v>
      </c>
      <c r="J48" s="1" t="n">
        <v>2</v>
      </c>
      <c r="K48" s="1" t="n">
        <f aca="false">J48-I48</f>
        <v>0</v>
      </c>
      <c r="Q48" s="1" t="n">
        <v>1</v>
      </c>
      <c r="R48" s="1" t="n">
        <v>1</v>
      </c>
      <c r="S48" s="1" t="n">
        <f aca="false">R48-Q48</f>
        <v>0</v>
      </c>
      <c r="Z48" s="1" t="n">
        <v>2</v>
      </c>
      <c r="AA48" s="1" t="n">
        <v>3</v>
      </c>
      <c r="AB48" s="1" t="n">
        <f aca="false">AA48-Z48</f>
        <v>1</v>
      </c>
      <c r="AJ48" s="1" t="n">
        <v>5</v>
      </c>
      <c r="AK48" s="1" t="n">
        <v>5</v>
      </c>
      <c r="AL48" s="1" t="n">
        <f aca="false">AK48-AJ48</f>
        <v>0</v>
      </c>
      <c r="AU48" s="1" t="n">
        <v>3</v>
      </c>
      <c r="AV48" s="1" t="n">
        <v>5</v>
      </c>
      <c r="AW48" s="1" t="n">
        <f aca="false">AV48-AU48</f>
        <v>2</v>
      </c>
    </row>
    <row r="49" customFormat="false" ht="16" hidden="false" customHeight="false" outlineLevel="0" collapsed="false">
      <c r="A49" s="1" t="n">
        <v>2</v>
      </c>
      <c r="B49" s="1" t="n">
        <v>2</v>
      </c>
      <c r="C49" s="1" t="n">
        <f aca="false">B49-A49</f>
        <v>0</v>
      </c>
      <c r="I49" s="1" t="n">
        <v>3</v>
      </c>
      <c r="J49" s="1" t="n">
        <v>3</v>
      </c>
      <c r="K49" s="1" t="n">
        <f aca="false">J49-I49</f>
        <v>0</v>
      </c>
      <c r="Q49" s="1" t="n">
        <v>4</v>
      </c>
      <c r="R49" s="1" t="n">
        <v>4</v>
      </c>
      <c r="S49" s="1" t="n">
        <f aca="false">R49-Q49</f>
        <v>0</v>
      </c>
      <c r="Z49" s="1" t="n">
        <v>5</v>
      </c>
      <c r="AA49" s="1" t="n">
        <v>6</v>
      </c>
      <c r="AB49" s="1" t="n">
        <f aca="false">AA49-Z49</f>
        <v>1</v>
      </c>
      <c r="AJ49" s="1" t="n">
        <v>4</v>
      </c>
      <c r="AK49" s="1" t="n">
        <v>6</v>
      </c>
      <c r="AL49" s="1" t="n">
        <f aca="false">AK49-AJ49</f>
        <v>2</v>
      </c>
      <c r="AU49" s="1" t="n">
        <v>4</v>
      </c>
      <c r="AV49" s="1" t="n">
        <v>6</v>
      </c>
      <c r="AW49" s="1" t="n">
        <f aca="false">AV49-AU49</f>
        <v>2</v>
      </c>
    </row>
    <row r="50" customFormat="false" ht="16" hidden="false" customHeight="false" outlineLevel="0" collapsed="false">
      <c r="A50" s="1" t="n">
        <v>2</v>
      </c>
      <c r="B50" s="1" t="n">
        <v>2</v>
      </c>
      <c r="C50" s="1" t="n">
        <f aca="false">B50-A50</f>
        <v>0</v>
      </c>
      <c r="I50" s="1" t="n">
        <v>1</v>
      </c>
      <c r="J50" s="1" t="n">
        <v>1</v>
      </c>
      <c r="K50" s="1" t="n">
        <f aca="false">J50-I50</f>
        <v>0</v>
      </c>
      <c r="Q50" s="1" t="n">
        <v>2</v>
      </c>
      <c r="R50" s="1" t="n">
        <v>2</v>
      </c>
      <c r="S50" s="1" t="n">
        <f aca="false">R50-Q50</f>
        <v>0</v>
      </c>
      <c r="Z50" s="1" t="n">
        <v>2</v>
      </c>
      <c r="AA50" s="1" t="n">
        <v>4</v>
      </c>
      <c r="AB50" s="1" t="n">
        <f aca="false">AA50-Z50</f>
        <v>2</v>
      </c>
      <c r="AJ50" s="1" t="n">
        <v>4</v>
      </c>
      <c r="AK50" s="1" t="n">
        <v>4</v>
      </c>
      <c r="AL50" s="1" t="n">
        <f aca="false">AK50-AJ50</f>
        <v>0</v>
      </c>
      <c r="AU50" s="1" t="n">
        <v>2</v>
      </c>
      <c r="AV50" s="1" t="n">
        <v>4</v>
      </c>
      <c r="AW50" s="1" t="n">
        <f aca="false">AV50-AU50</f>
        <v>2</v>
      </c>
    </row>
    <row r="51" customFormat="false" ht="16" hidden="false" customHeight="false" outlineLevel="0" collapsed="false">
      <c r="A51" s="1" t="n">
        <v>1</v>
      </c>
      <c r="B51" s="1" t="n">
        <v>1</v>
      </c>
      <c r="C51" s="1" t="n">
        <f aca="false">B51-A51</f>
        <v>0</v>
      </c>
      <c r="I51" s="1" t="n">
        <v>2</v>
      </c>
      <c r="J51" s="1" t="n">
        <v>2</v>
      </c>
      <c r="K51" s="1" t="n">
        <f aca="false">J51-I51</f>
        <v>0</v>
      </c>
      <c r="Q51" s="1" t="n">
        <v>4</v>
      </c>
      <c r="R51" s="1" t="n">
        <v>4</v>
      </c>
      <c r="S51" s="1" t="n">
        <f aca="false">R51-Q51</f>
        <v>0</v>
      </c>
      <c r="Z51" s="1" t="n">
        <v>1</v>
      </c>
      <c r="AA51" s="1" t="n">
        <v>2</v>
      </c>
      <c r="AB51" s="1" t="n">
        <f aca="false">AA51-Z51</f>
        <v>1</v>
      </c>
      <c r="AJ51" s="1" t="n">
        <v>4</v>
      </c>
      <c r="AK51" s="1" t="n">
        <v>7</v>
      </c>
      <c r="AL51" s="1" t="n">
        <f aca="false">AK51-AJ51</f>
        <v>3</v>
      </c>
      <c r="AU51" s="1" t="n">
        <v>2</v>
      </c>
      <c r="AV51" s="1" t="n">
        <v>2</v>
      </c>
      <c r="AW51" s="1" t="n">
        <f aca="false">AV51-AU51</f>
        <v>0</v>
      </c>
    </row>
    <row r="52" customFormat="false" ht="16" hidden="false" customHeight="false" outlineLevel="0" collapsed="false">
      <c r="A52" s="1" t="n">
        <v>2</v>
      </c>
      <c r="B52" s="1" t="n">
        <v>2</v>
      </c>
      <c r="C52" s="1" t="n">
        <f aca="false">B52-A52</f>
        <v>0</v>
      </c>
      <c r="I52" s="1" t="n">
        <v>1</v>
      </c>
      <c r="J52" s="1" t="n">
        <v>1</v>
      </c>
      <c r="K52" s="1" t="n">
        <f aca="false">J52-I52</f>
        <v>0</v>
      </c>
      <c r="Q52" s="1" t="n">
        <v>5</v>
      </c>
      <c r="R52" s="1" t="n">
        <v>5</v>
      </c>
      <c r="S52" s="1" t="n">
        <f aca="false">R52-Q52</f>
        <v>0</v>
      </c>
      <c r="Z52" s="1" t="n">
        <v>3</v>
      </c>
      <c r="AA52" s="1" t="n">
        <v>3</v>
      </c>
      <c r="AB52" s="1" t="n">
        <f aca="false">AA52-Z52</f>
        <v>0</v>
      </c>
      <c r="AJ52" s="1" t="n">
        <v>2</v>
      </c>
      <c r="AK52" s="1" t="n">
        <v>2</v>
      </c>
      <c r="AL52" s="1" t="n">
        <f aca="false">AK52-AJ52</f>
        <v>0</v>
      </c>
      <c r="AU52" s="1" t="n">
        <v>1</v>
      </c>
      <c r="AV52" s="1" t="n">
        <v>3</v>
      </c>
      <c r="AW52" s="1" t="n">
        <f aca="false">AV52-AU52</f>
        <v>2</v>
      </c>
    </row>
    <row r="53" customFormat="false" ht="16" hidden="false" customHeight="false" outlineLevel="0" collapsed="false">
      <c r="A53" s="1" t="n">
        <v>2</v>
      </c>
      <c r="B53" s="1" t="n">
        <v>2</v>
      </c>
      <c r="C53" s="1" t="n">
        <f aca="false">B53-A53</f>
        <v>0</v>
      </c>
      <c r="I53" s="1" t="n">
        <v>2</v>
      </c>
      <c r="J53" s="1" t="n">
        <v>2</v>
      </c>
      <c r="K53" s="1" t="n">
        <f aca="false">J53-I53</f>
        <v>0</v>
      </c>
      <c r="Q53" s="1" t="n">
        <v>1</v>
      </c>
      <c r="R53" s="1" t="n">
        <v>1</v>
      </c>
      <c r="S53" s="1" t="n">
        <f aca="false">R53-Q53</f>
        <v>0</v>
      </c>
      <c r="Z53" s="1" t="n">
        <v>3</v>
      </c>
      <c r="AA53" s="1" t="n">
        <v>3</v>
      </c>
      <c r="AB53" s="1" t="n">
        <f aca="false">AA53-Z53</f>
        <v>0</v>
      </c>
      <c r="AJ53" s="1" t="n">
        <v>1</v>
      </c>
      <c r="AK53" s="1" t="n">
        <v>1</v>
      </c>
      <c r="AL53" s="1" t="n">
        <f aca="false">AK53-AJ53</f>
        <v>0</v>
      </c>
      <c r="AU53" s="1" t="n">
        <v>2</v>
      </c>
      <c r="AV53" s="1" t="n">
        <v>5</v>
      </c>
      <c r="AW53" s="1" t="n">
        <f aca="false">AV53-AU53</f>
        <v>3</v>
      </c>
    </row>
    <row r="54" customFormat="false" ht="16" hidden="false" customHeight="false" outlineLevel="0" collapsed="false">
      <c r="A54" s="1" t="n">
        <v>1</v>
      </c>
      <c r="B54" s="1" t="n">
        <v>1</v>
      </c>
      <c r="C54" s="1" t="n">
        <f aca="false">B54-A54</f>
        <v>0</v>
      </c>
      <c r="I54" s="1" t="n">
        <v>3</v>
      </c>
      <c r="J54" s="1" t="n">
        <v>3</v>
      </c>
      <c r="K54" s="1" t="n">
        <f aca="false">J54-I54</f>
        <v>0</v>
      </c>
      <c r="Q54" s="1" t="n">
        <v>2</v>
      </c>
      <c r="R54" s="1" t="n">
        <v>2</v>
      </c>
      <c r="S54" s="1" t="n">
        <f aca="false">R54-Q54</f>
        <v>0</v>
      </c>
      <c r="Z54" s="1" t="n">
        <v>4</v>
      </c>
      <c r="AA54" s="1" t="n">
        <v>6</v>
      </c>
      <c r="AB54" s="1" t="n">
        <f aca="false">AA54-Z54</f>
        <v>2</v>
      </c>
      <c r="AJ54" s="1" t="n">
        <v>2</v>
      </c>
      <c r="AK54" s="1" t="n">
        <v>4</v>
      </c>
      <c r="AL54" s="1" t="n">
        <f aca="false">AK54-AJ54</f>
        <v>2</v>
      </c>
      <c r="AU54" s="1" t="n">
        <v>8</v>
      </c>
      <c r="AV54" s="1" t="n">
        <v>11</v>
      </c>
      <c r="AW54" s="1" t="n">
        <f aca="false">AV54-AU54</f>
        <v>3</v>
      </c>
    </row>
    <row r="55" customFormat="false" ht="16" hidden="false" customHeight="false" outlineLevel="0" collapsed="false">
      <c r="A55" s="1" t="n">
        <v>1</v>
      </c>
      <c r="B55" s="1" t="n">
        <v>1</v>
      </c>
      <c r="C55" s="1" t="n">
        <f aca="false">B55-A55</f>
        <v>0</v>
      </c>
      <c r="I55" s="1" t="n">
        <v>2</v>
      </c>
      <c r="J55" s="1" t="n">
        <v>2</v>
      </c>
      <c r="K55" s="1" t="n">
        <f aca="false">J55-I55</f>
        <v>0</v>
      </c>
      <c r="Q55" s="1" t="n">
        <v>2</v>
      </c>
      <c r="R55" s="1" t="n">
        <v>4</v>
      </c>
      <c r="S55" s="1" t="n">
        <f aca="false">R55-Q55</f>
        <v>2</v>
      </c>
      <c r="Z55" s="1" t="n">
        <v>8</v>
      </c>
      <c r="AA55" s="1" t="n">
        <v>12</v>
      </c>
      <c r="AB55" s="1" t="n">
        <f aca="false">AA55-Z55</f>
        <v>4</v>
      </c>
      <c r="AJ55" s="1" t="n">
        <v>2</v>
      </c>
      <c r="AK55" s="1" t="n">
        <v>2</v>
      </c>
      <c r="AL55" s="1" t="n">
        <f aca="false">AK55-AJ55</f>
        <v>0</v>
      </c>
      <c r="AU55" s="1" t="n">
        <v>3</v>
      </c>
      <c r="AV55" s="1" t="n">
        <v>7</v>
      </c>
      <c r="AW55" s="1" t="n">
        <f aca="false">AV55-AU55</f>
        <v>4</v>
      </c>
    </row>
    <row r="56" customFormat="false" ht="16" hidden="false" customHeight="false" outlineLevel="0" collapsed="false">
      <c r="A56" s="1" t="n">
        <v>1</v>
      </c>
      <c r="B56" s="1" t="n">
        <v>1</v>
      </c>
      <c r="C56" s="1" t="n">
        <f aca="false">B56-A56</f>
        <v>0</v>
      </c>
      <c r="I56" s="1" t="n">
        <v>1</v>
      </c>
      <c r="J56" s="1" t="n">
        <v>3</v>
      </c>
      <c r="K56" s="1" t="n">
        <f aca="false">J56-I56</f>
        <v>2</v>
      </c>
      <c r="Q56" s="1" t="n">
        <v>4</v>
      </c>
      <c r="R56" s="1" t="n">
        <v>4</v>
      </c>
      <c r="S56" s="1" t="n">
        <f aca="false">R56-Q56</f>
        <v>0</v>
      </c>
      <c r="Z56" s="1" t="n">
        <v>4</v>
      </c>
      <c r="AA56" s="1" t="n">
        <v>6</v>
      </c>
      <c r="AB56" s="1" t="n">
        <f aca="false">AA56-Z56</f>
        <v>2</v>
      </c>
      <c r="AJ56" s="1" t="n">
        <v>4</v>
      </c>
      <c r="AK56" s="1" t="n">
        <v>5</v>
      </c>
      <c r="AL56" s="1" t="n">
        <f aca="false">AK56-AJ56</f>
        <v>1</v>
      </c>
      <c r="AU56" s="1" t="n">
        <v>2</v>
      </c>
      <c r="AV56" s="1" t="n">
        <v>6</v>
      </c>
      <c r="AW56" s="1" t="n">
        <f aca="false">AV56-AU56</f>
        <v>4</v>
      </c>
    </row>
    <row r="57" customFormat="false" ht="16" hidden="false" customHeight="false" outlineLevel="0" collapsed="false">
      <c r="A57" s="1" t="n">
        <v>2</v>
      </c>
      <c r="B57" s="1" t="n">
        <v>2</v>
      </c>
      <c r="C57" s="1" t="n">
        <f aca="false">B57-A57</f>
        <v>0</v>
      </c>
      <c r="I57" s="1" t="n">
        <v>2</v>
      </c>
      <c r="J57" s="1" t="n">
        <v>2</v>
      </c>
      <c r="K57" s="1" t="n">
        <f aca="false">J57-I57</f>
        <v>0</v>
      </c>
      <c r="Q57" s="1" t="n">
        <v>4</v>
      </c>
      <c r="R57" s="1" t="n">
        <v>4</v>
      </c>
      <c r="S57" s="1" t="n">
        <f aca="false">R57-Q57</f>
        <v>0</v>
      </c>
      <c r="Z57" s="1" t="n">
        <v>4</v>
      </c>
      <c r="AA57" s="1" t="n">
        <v>4</v>
      </c>
      <c r="AB57" s="1" t="n">
        <f aca="false">AA57-Z57</f>
        <v>0</v>
      </c>
      <c r="AJ57" s="1" t="n">
        <v>3</v>
      </c>
      <c r="AK57" s="1" t="n">
        <v>5</v>
      </c>
      <c r="AL57" s="1" t="n">
        <f aca="false">AK57-AJ57</f>
        <v>2</v>
      </c>
      <c r="AU57" s="1" t="n">
        <v>1</v>
      </c>
      <c r="AV57" s="1" t="n">
        <v>2</v>
      </c>
      <c r="AW57" s="1" t="n">
        <f aca="false">AV57-AU57</f>
        <v>1</v>
      </c>
    </row>
    <row r="58" customFormat="false" ht="16" hidden="false" customHeight="false" outlineLevel="0" collapsed="false">
      <c r="A58" s="1" t="n">
        <v>2</v>
      </c>
      <c r="B58" s="1" t="n">
        <v>2</v>
      </c>
      <c r="C58" s="1" t="n">
        <f aca="false">B58-A58</f>
        <v>0</v>
      </c>
      <c r="I58" s="1" t="n">
        <v>1</v>
      </c>
      <c r="J58" s="1" t="n">
        <v>1</v>
      </c>
      <c r="K58" s="1" t="n">
        <f aca="false">J58-I58</f>
        <v>0</v>
      </c>
      <c r="Q58" s="1" t="n">
        <v>2</v>
      </c>
      <c r="R58" s="1" t="n">
        <v>2</v>
      </c>
      <c r="S58" s="1" t="n">
        <f aca="false">R58-Q58</f>
        <v>0</v>
      </c>
      <c r="Z58" s="1" t="n">
        <v>2</v>
      </c>
      <c r="AA58" s="1" t="n">
        <v>4</v>
      </c>
      <c r="AB58" s="1" t="n">
        <f aca="false">AA58-Z58</f>
        <v>2</v>
      </c>
      <c r="AJ58" s="1" t="n">
        <v>4</v>
      </c>
      <c r="AK58" s="1" t="n">
        <v>6</v>
      </c>
      <c r="AL58" s="1" t="n">
        <f aca="false">AK58-AJ58</f>
        <v>2</v>
      </c>
      <c r="AU58" s="1" t="n">
        <v>2</v>
      </c>
      <c r="AV58" s="1" t="n">
        <v>6</v>
      </c>
      <c r="AW58" s="1" t="n">
        <f aca="false">AV58-AU58</f>
        <v>4</v>
      </c>
    </row>
    <row r="59" customFormat="false" ht="16" hidden="false" customHeight="false" outlineLevel="0" collapsed="false">
      <c r="A59" s="1" t="n">
        <v>1</v>
      </c>
      <c r="B59" s="1" t="n">
        <v>1</v>
      </c>
      <c r="C59" s="1" t="n">
        <f aca="false">B59-A59</f>
        <v>0</v>
      </c>
      <c r="I59" s="1" t="n">
        <v>1</v>
      </c>
      <c r="J59" s="1" t="n">
        <v>1</v>
      </c>
      <c r="K59" s="1" t="n">
        <f aca="false">J59-I59</f>
        <v>0</v>
      </c>
      <c r="Q59" s="1" t="n">
        <v>2</v>
      </c>
      <c r="R59" s="1" t="n">
        <v>2</v>
      </c>
      <c r="S59" s="1" t="n">
        <f aca="false">R59-Q59</f>
        <v>0</v>
      </c>
      <c r="Z59" s="1" t="n">
        <v>3</v>
      </c>
      <c r="AA59" s="1" t="n">
        <v>5</v>
      </c>
      <c r="AB59" s="1" t="n">
        <f aca="false">AA59-Z59</f>
        <v>2</v>
      </c>
      <c r="AJ59" s="1" t="n">
        <v>4</v>
      </c>
      <c r="AK59" s="1" t="n">
        <v>8</v>
      </c>
      <c r="AL59" s="1" t="n">
        <f aca="false">AK59-AJ59</f>
        <v>4</v>
      </c>
      <c r="AU59" s="1" t="n">
        <v>4</v>
      </c>
      <c r="AV59" s="1" t="n">
        <v>4</v>
      </c>
      <c r="AW59" s="1" t="n">
        <f aca="false">AV59-AU59</f>
        <v>0</v>
      </c>
    </row>
    <row r="60" customFormat="false" ht="16" hidden="false" customHeight="false" outlineLevel="0" collapsed="false">
      <c r="A60" s="1" t="n">
        <v>1</v>
      </c>
      <c r="B60" s="1" t="n">
        <v>1</v>
      </c>
      <c r="C60" s="1" t="n">
        <f aca="false">B60-A60</f>
        <v>0</v>
      </c>
      <c r="I60" s="1" t="n">
        <v>2</v>
      </c>
      <c r="J60" s="1" t="n">
        <v>4</v>
      </c>
      <c r="K60" s="1" t="n">
        <f aca="false">J60-I60</f>
        <v>2</v>
      </c>
      <c r="Q60" s="1" t="n">
        <v>4</v>
      </c>
      <c r="R60" s="1" t="n">
        <v>4</v>
      </c>
      <c r="S60" s="1" t="n">
        <f aca="false">R60-Q60</f>
        <v>0</v>
      </c>
      <c r="Z60" s="1" t="n">
        <v>4</v>
      </c>
      <c r="AA60" s="1" t="n">
        <v>4</v>
      </c>
      <c r="AB60" s="1" t="n">
        <f aca="false">AA60-Z60</f>
        <v>0</v>
      </c>
      <c r="AJ60" s="1" t="n">
        <v>2</v>
      </c>
      <c r="AK60" s="1" t="n">
        <v>4</v>
      </c>
      <c r="AL60" s="1" t="n">
        <f aca="false">AK60-AJ60</f>
        <v>2</v>
      </c>
      <c r="AU60" s="1" t="n">
        <v>5</v>
      </c>
      <c r="AV60" s="1" t="n">
        <v>8</v>
      </c>
      <c r="AW60" s="1" t="n">
        <f aca="false">AV60-AU60</f>
        <v>3</v>
      </c>
    </row>
    <row r="61" customFormat="false" ht="16" hidden="false" customHeight="false" outlineLevel="0" collapsed="false">
      <c r="A61" s="1" t="n">
        <v>2</v>
      </c>
      <c r="B61" s="1" t="n">
        <v>2</v>
      </c>
      <c r="C61" s="1" t="n">
        <f aca="false">B61-A61</f>
        <v>0</v>
      </c>
      <c r="I61" s="1" t="n">
        <v>1</v>
      </c>
      <c r="J61" s="1" t="n">
        <v>1</v>
      </c>
      <c r="K61" s="1" t="n">
        <f aca="false">J61-I61</f>
        <v>0</v>
      </c>
      <c r="Q61" s="1" t="n">
        <v>2</v>
      </c>
      <c r="R61" s="1" t="n">
        <v>4</v>
      </c>
      <c r="S61" s="1" t="n">
        <f aca="false">R61-Q61</f>
        <v>2</v>
      </c>
      <c r="Z61" s="1" t="n">
        <v>2</v>
      </c>
      <c r="AA61" s="1" t="n">
        <v>2</v>
      </c>
      <c r="AB61" s="1" t="n">
        <f aca="false">AA61-Z61</f>
        <v>0</v>
      </c>
      <c r="AJ61" s="1" t="n">
        <v>5</v>
      </c>
      <c r="AK61" s="1" t="n">
        <v>8</v>
      </c>
      <c r="AL61" s="1" t="n">
        <f aca="false">AK61-AJ61</f>
        <v>3</v>
      </c>
      <c r="AU61" s="1" t="n">
        <v>2</v>
      </c>
      <c r="AV61" s="1" t="n">
        <v>2</v>
      </c>
      <c r="AW61" s="1" t="n">
        <f aca="false">AV61-AU61</f>
        <v>0</v>
      </c>
    </row>
    <row r="62" customFormat="false" ht="16" hidden="false" customHeight="false" outlineLevel="0" collapsed="false">
      <c r="A62" s="1" t="n">
        <v>2</v>
      </c>
      <c r="B62" s="1" t="n">
        <v>2</v>
      </c>
      <c r="C62" s="1" t="n">
        <f aca="false">B62-A62</f>
        <v>0</v>
      </c>
      <c r="I62" s="1" t="n">
        <v>3</v>
      </c>
      <c r="J62" s="1" t="n">
        <v>3</v>
      </c>
      <c r="K62" s="1" t="n">
        <f aca="false">J62-I62</f>
        <v>0</v>
      </c>
      <c r="Q62" s="1" t="n">
        <v>2</v>
      </c>
      <c r="R62" s="1" t="n">
        <v>2</v>
      </c>
      <c r="S62" s="1" t="n">
        <f aca="false">R62-Q62</f>
        <v>0</v>
      </c>
      <c r="Z62" s="1" t="n">
        <v>3</v>
      </c>
      <c r="AA62" s="1" t="n">
        <v>3</v>
      </c>
      <c r="AB62" s="1" t="n">
        <f aca="false">AA62-Z62</f>
        <v>0</v>
      </c>
      <c r="AJ62" s="1" t="n">
        <v>6</v>
      </c>
      <c r="AK62" s="1" t="n">
        <v>6</v>
      </c>
      <c r="AL62" s="1" t="n">
        <f aca="false">AK62-AJ62</f>
        <v>0</v>
      </c>
      <c r="AU62" s="1" t="n">
        <v>4</v>
      </c>
      <c r="AV62" s="1" t="n">
        <v>9</v>
      </c>
      <c r="AW62" s="1" t="n">
        <f aca="false">AV62-AU62</f>
        <v>5</v>
      </c>
    </row>
    <row r="63" customFormat="false" ht="16" hidden="false" customHeight="false" outlineLevel="0" collapsed="false">
      <c r="A63" s="1" t="n">
        <v>1</v>
      </c>
      <c r="B63" s="1" t="n">
        <v>1</v>
      </c>
      <c r="C63" s="1" t="n">
        <f aca="false">B63-A63</f>
        <v>0</v>
      </c>
      <c r="I63" s="1" t="n">
        <v>2</v>
      </c>
      <c r="J63" s="1" t="n">
        <v>2</v>
      </c>
      <c r="K63" s="1" t="n">
        <f aca="false">J63-I63</f>
        <v>0</v>
      </c>
      <c r="Q63" s="1" t="n">
        <v>1</v>
      </c>
      <c r="R63" s="1" t="n">
        <v>3</v>
      </c>
      <c r="S63" s="1" t="n">
        <f aca="false">R63-Q63</f>
        <v>2</v>
      </c>
      <c r="Z63" s="1" t="n">
        <v>3</v>
      </c>
      <c r="AA63" s="1" t="n">
        <v>3</v>
      </c>
      <c r="AB63" s="1" t="n">
        <f aca="false">AA63-Z63</f>
        <v>0</v>
      </c>
      <c r="AJ63" s="1" t="n">
        <v>2</v>
      </c>
      <c r="AK63" s="1" t="n">
        <v>4</v>
      </c>
      <c r="AL63" s="1" t="n">
        <f aca="false">AK63-AJ63</f>
        <v>2</v>
      </c>
      <c r="AU63" s="1" t="n">
        <v>2</v>
      </c>
      <c r="AV63" s="1" t="n">
        <v>6</v>
      </c>
      <c r="AW63" s="1" t="n">
        <f aca="false">AV63-AU63</f>
        <v>4</v>
      </c>
    </row>
    <row r="64" customFormat="false" ht="16" hidden="false" customHeight="false" outlineLevel="0" collapsed="false">
      <c r="A64" s="1" t="n">
        <v>1</v>
      </c>
      <c r="B64" s="1" t="n">
        <v>1</v>
      </c>
      <c r="C64" s="1" t="n">
        <f aca="false">B64-A64</f>
        <v>0</v>
      </c>
      <c r="I64" s="1" t="n">
        <v>1</v>
      </c>
      <c r="J64" s="1" t="n">
        <v>1</v>
      </c>
      <c r="K64" s="1" t="n">
        <f aca="false">J64-I64</f>
        <v>0</v>
      </c>
      <c r="Q64" s="1" t="n">
        <v>2</v>
      </c>
      <c r="R64" s="1" t="n">
        <v>2</v>
      </c>
      <c r="S64" s="1" t="n">
        <f aca="false">R64-Q64</f>
        <v>0</v>
      </c>
      <c r="Z64" s="1" t="n">
        <v>2</v>
      </c>
      <c r="AA64" s="1" t="n">
        <v>2</v>
      </c>
      <c r="AB64" s="1" t="n">
        <f aca="false">AA64-Z64</f>
        <v>0</v>
      </c>
      <c r="AJ64" s="1" t="n">
        <v>2</v>
      </c>
      <c r="AK64" s="1" t="n">
        <v>2</v>
      </c>
      <c r="AL64" s="1" t="n">
        <f aca="false">AK64-AJ64</f>
        <v>0</v>
      </c>
      <c r="AU64" s="1" t="n">
        <v>3</v>
      </c>
      <c r="AV64" s="1" t="n">
        <v>8</v>
      </c>
      <c r="AW64" s="1" t="n">
        <f aca="false">AV64-AU64</f>
        <v>5</v>
      </c>
    </row>
    <row r="65" customFormat="false" ht="16" hidden="false" customHeight="false" outlineLevel="0" collapsed="false">
      <c r="A65" s="1" t="n">
        <v>2</v>
      </c>
      <c r="B65" s="1" t="n">
        <v>2</v>
      </c>
      <c r="C65" s="1" t="n">
        <f aca="false">B65-A65</f>
        <v>0</v>
      </c>
      <c r="I65" s="1" t="n">
        <v>1</v>
      </c>
      <c r="J65" s="1" t="n">
        <v>1</v>
      </c>
      <c r="K65" s="1" t="n">
        <f aca="false">J65-I65</f>
        <v>0</v>
      </c>
      <c r="Q65" s="1" t="n">
        <v>2</v>
      </c>
      <c r="R65" s="1" t="n">
        <v>2</v>
      </c>
      <c r="S65" s="1" t="n">
        <f aca="false">R65-Q65</f>
        <v>0</v>
      </c>
      <c r="Z65" s="1" t="n">
        <v>6</v>
      </c>
      <c r="AA65" s="1" t="n">
        <v>6</v>
      </c>
      <c r="AB65" s="1" t="n">
        <f aca="false">AA65-Z65</f>
        <v>0</v>
      </c>
      <c r="AJ65" s="1" t="n">
        <v>2</v>
      </c>
      <c r="AK65" s="1" t="n">
        <v>5</v>
      </c>
      <c r="AL65" s="1" t="n">
        <f aca="false">AK65-AJ65</f>
        <v>3</v>
      </c>
      <c r="AU65" s="1" t="n">
        <v>6</v>
      </c>
      <c r="AV65" s="1" t="n">
        <v>12</v>
      </c>
      <c r="AW65" s="1" t="n">
        <f aca="false">AV65-AU65</f>
        <v>6</v>
      </c>
    </row>
    <row r="66" customFormat="false" ht="16" hidden="false" customHeight="false" outlineLevel="0" collapsed="false">
      <c r="A66" s="1" t="n">
        <v>1</v>
      </c>
      <c r="B66" s="1" t="n">
        <v>1</v>
      </c>
      <c r="C66" s="1" t="n">
        <f aca="false">B66-A66</f>
        <v>0</v>
      </c>
      <c r="I66" s="1" t="n">
        <v>3</v>
      </c>
      <c r="J66" s="1" t="n">
        <v>3</v>
      </c>
      <c r="K66" s="1" t="n">
        <f aca="false">J66-I66</f>
        <v>0</v>
      </c>
      <c r="Q66" s="1" t="n">
        <v>1</v>
      </c>
      <c r="R66" s="1" t="n">
        <v>1</v>
      </c>
      <c r="S66" s="1" t="n">
        <f aca="false">R66-Q66</f>
        <v>0</v>
      </c>
      <c r="Z66" s="1" t="n">
        <v>5</v>
      </c>
      <c r="AA66" s="1" t="n">
        <v>5</v>
      </c>
      <c r="AB66" s="1" t="n">
        <f aca="false">AA66-Z66</f>
        <v>0</v>
      </c>
      <c r="AJ66" s="1" t="n">
        <v>3</v>
      </c>
      <c r="AK66" s="1" t="n">
        <v>5</v>
      </c>
      <c r="AL66" s="1" t="n">
        <f aca="false">AK66-AJ66</f>
        <v>2</v>
      </c>
      <c r="AU66" s="1" t="n">
        <v>6</v>
      </c>
      <c r="AV66" s="1" t="n">
        <v>9</v>
      </c>
      <c r="AW66" s="1" t="n">
        <f aca="false">AV66-AU66</f>
        <v>3</v>
      </c>
    </row>
    <row r="67" customFormat="false" ht="16" hidden="false" customHeight="false" outlineLevel="0" collapsed="false">
      <c r="A67" s="1" t="n">
        <v>1</v>
      </c>
      <c r="B67" s="1" t="n">
        <v>1</v>
      </c>
      <c r="C67" s="1" t="n">
        <f aca="false">B67-A67</f>
        <v>0</v>
      </c>
      <c r="I67" s="1" t="n">
        <v>1</v>
      </c>
      <c r="J67" s="1" t="n">
        <v>1</v>
      </c>
      <c r="K67" s="1" t="n">
        <f aca="false">J67-I67</f>
        <v>0</v>
      </c>
      <c r="Q67" s="1" t="n">
        <v>1</v>
      </c>
      <c r="R67" s="1" t="n">
        <v>1</v>
      </c>
      <c r="S67" s="1" t="n">
        <f aca="false">R67-Q67</f>
        <v>0</v>
      </c>
      <c r="Z67" s="1" t="n">
        <v>4</v>
      </c>
      <c r="AA67" s="1" t="n">
        <v>4</v>
      </c>
      <c r="AB67" s="1" t="n">
        <f aca="false">AA67-Z67</f>
        <v>0</v>
      </c>
      <c r="AJ67" s="1" t="n">
        <v>6</v>
      </c>
      <c r="AK67" s="1" t="n">
        <v>10</v>
      </c>
      <c r="AL67" s="1" t="n">
        <f aca="false">AK67-AJ67</f>
        <v>4</v>
      </c>
      <c r="AU67" s="1" t="n">
        <v>4</v>
      </c>
      <c r="AV67" s="1" t="n">
        <v>14</v>
      </c>
      <c r="AW67" s="1" t="n">
        <f aca="false">AV67-AU67</f>
        <v>10</v>
      </c>
    </row>
    <row r="68" customFormat="false" ht="16" hidden="false" customHeight="false" outlineLevel="0" collapsed="false">
      <c r="A68" s="1" t="n">
        <v>1</v>
      </c>
      <c r="B68" s="1" t="n">
        <v>1</v>
      </c>
      <c r="C68" s="1" t="n">
        <f aca="false">B68-A68</f>
        <v>0</v>
      </c>
      <c r="I68" s="1" t="n">
        <v>1</v>
      </c>
      <c r="J68" s="1" t="n">
        <v>2</v>
      </c>
      <c r="K68" s="1" t="n">
        <f aca="false">J68-I68</f>
        <v>1</v>
      </c>
      <c r="Q68" s="1" t="n">
        <v>2</v>
      </c>
      <c r="R68" s="1" t="n">
        <v>2</v>
      </c>
      <c r="S68" s="1" t="n">
        <f aca="false">R68-Q68</f>
        <v>0</v>
      </c>
      <c r="Z68" s="1" t="n">
        <v>1</v>
      </c>
      <c r="AA68" s="1" t="n">
        <v>1</v>
      </c>
      <c r="AB68" s="1" t="n">
        <f aca="false">AA68-Z68</f>
        <v>0</v>
      </c>
      <c r="AJ68" s="1" t="n">
        <v>5</v>
      </c>
      <c r="AK68" s="1" t="n">
        <v>8</v>
      </c>
      <c r="AL68" s="1" t="n">
        <f aca="false">AK68-AJ68</f>
        <v>3</v>
      </c>
      <c r="AU68" s="1" t="n">
        <v>2</v>
      </c>
      <c r="AV68" s="1" t="n">
        <v>8</v>
      </c>
      <c r="AW68" s="1" t="n">
        <f aca="false">AV68-AU68</f>
        <v>6</v>
      </c>
    </row>
    <row r="69" customFormat="false" ht="16" hidden="false" customHeight="false" outlineLevel="0" collapsed="false">
      <c r="A69" s="1" t="n">
        <v>2</v>
      </c>
      <c r="B69" s="1" t="n">
        <v>2</v>
      </c>
      <c r="C69" s="1" t="n">
        <f aca="false">B69-A69</f>
        <v>0</v>
      </c>
      <c r="I69" s="1" t="n">
        <v>1</v>
      </c>
      <c r="J69" s="1" t="n">
        <v>1</v>
      </c>
      <c r="K69" s="1" t="n">
        <f aca="false">J69-I69</f>
        <v>0</v>
      </c>
      <c r="Q69" s="1" t="n">
        <v>1</v>
      </c>
      <c r="R69" s="1" t="n">
        <v>1</v>
      </c>
      <c r="S69" s="1" t="n">
        <f aca="false">R69-Q69</f>
        <v>0</v>
      </c>
      <c r="Z69" s="1" t="n">
        <v>4</v>
      </c>
      <c r="AA69" s="1" t="n">
        <v>6</v>
      </c>
      <c r="AB69" s="1" t="n">
        <f aca="false">AA69-Z69</f>
        <v>2</v>
      </c>
      <c r="AJ69" s="1" t="n">
        <v>5</v>
      </c>
      <c r="AK69" s="1" t="n">
        <v>8</v>
      </c>
      <c r="AL69" s="1" t="n">
        <f aca="false">AK69-AJ69</f>
        <v>3</v>
      </c>
      <c r="AU69" s="1" t="n">
        <v>2</v>
      </c>
      <c r="AV69" s="1" t="n">
        <v>4</v>
      </c>
      <c r="AW69" s="1" t="n">
        <f aca="false">AV69-AU69</f>
        <v>2</v>
      </c>
    </row>
    <row r="70" customFormat="false" ht="16" hidden="false" customHeight="false" outlineLevel="0" collapsed="false">
      <c r="A70" s="1" t="n">
        <v>2</v>
      </c>
      <c r="B70" s="1" t="n">
        <v>2</v>
      </c>
      <c r="C70" s="1" t="n">
        <f aca="false">B70-A70</f>
        <v>0</v>
      </c>
      <c r="I70" s="1" t="n">
        <v>1</v>
      </c>
      <c r="J70" s="1" t="n">
        <v>1</v>
      </c>
      <c r="K70" s="1" t="n">
        <f aca="false">J70-I70</f>
        <v>0</v>
      </c>
      <c r="Q70" s="1" t="n">
        <v>1</v>
      </c>
      <c r="R70" s="1" t="n">
        <v>1</v>
      </c>
      <c r="S70" s="1" t="n">
        <f aca="false">R70-Q70</f>
        <v>0</v>
      </c>
      <c r="Z70" s="1" t="n">
        <v>3</v>
      </c>
      <c r="AA70" s="1" t="n">
        <v>5</v>
      </c>
      <c r="AB70" s="1" t="n">
        <f aca="false">AA70-Z70</f>
        <v>2</v>
      </c>
      <c r="AJ70" s="1" t="n">
        <v>1</v>
      </c>
      <c r="AK70" s="1" t="n">
        <v>3</v>
      </c>
      <c r="AL70" s="1" t="n">
        <f aca="false">AK70-AJ70</f>
        <v>2</v>
      </c>
      <c r="AU70" s="1" t="n">
        <v>3</v>
      </c>
      <c r="AV70" s="1" t="n">
        <v>7</v>
      </c>
      <c r="AW70" s="1" t="n">
        <f aca="false">AV70-AU70</f>
        <v>4</v>
      </c>
    </row>
    <row r="71" customFormat="false" ht="16" hidden="false" customHeight="false" outlineLevel="0" collapsed="false">
      <c r="A71" s="1" t="n">
        <v>1</v>
      </c>
      <c r="B71" s="1" t="n">
        <v>1</v>
      </c>
      <c r="C71" s="1" t="n">
        <f aca="false">B71-A71</f>
        <v>0</v>
      </c>
      <c r="I71" s="1" t="n">
        <v>2</v>
      </c>
      <c r="J71" s="1" t="n">
        <v>2</v>
      </c>
      <c r="K71" s="1" t="n">
        <f aca="false">J71-I71</f>
        <v>0</v>
      </c>
      <c r="Q71" s="1" t="n">
        <v>1</v>
      </c>
      <c r="R71" s="1" t="n">
        <v>3</v>
      </c>
      <c r="S71" s="1" t="n">
        <f aca="false">R71-Q71</f>
        <v>2</v>
      </c>
      <c r="Z71" s="1" t="n">
        <v>1</v>
      </c>
      <c r="AA71" s="1" t="n">
        <v>1</v>
      </c>
      <c r="AB71" s="1" t="n">
        <f aca="false">AA71-Z71</f>
        <v>0</v>
      </c>
      <c r="AJ71" s="1" t="n">
        <v>2</v>
      </c>
      <c r="AK71" s="1" t="n">
        <v>4</v>
      </c>
      <c r="AL71" s="1" t="n">
        <f aca="false">AK71-AJ71</f>
        <v>2</v>
      </c>
      <c r="AU71" s="1" t="n">
        <v>4</v>
      </c>
      <c r="AV71" s="1" t="n">
        <v>4</v>
      </c>
      <c r="AW71" s="1" t="n">
        <f aca="false">AV71-AU71</f>
        <v>0</v>
      </c>
    </row>
    <row r="72" customFormat="false" ht="16" hidden="false" customHeight="false" outlineLevel="0" collapsed="false">
      <c r="A72" s="1" t="n">
        <v>2</v>
      </c>
      <c r="B72" s="1" t="n">
        <v>2</v>
      </c>
      <c r="C72" s="1" t="n">
        <f aca="false">B72-A72</f>
        <v>0</v>
      </c>
      <c r="I72" s="1" t="n">
        <v>2</v>
      </c>
      <c r="J72" s="1" t="n">
        <v>2</v>
      </c>
      <c r="K72" s="1" t="n">
        <f aca="false">J72-I72</f>
        <v>0</v>
      </c>
      <c r="Q72" s="1" t="n">
        <v>1</v>
      </c>
      <c r="R72" s="1" t="n">
        <v>1</v>
      </c>
      <c r="S72" s="1" t="n">
        <f aca="false">R72-Q72</f>
        <v>0</v>
      </c>
      <c r="Z72" s="1" t="n">
        <v>2</v>
      </c>
      <c r="AA72" s="1" t="n">
        <v>2</v>
      </c>
      <c r="AB72" s="1" t="n">
        <f aca="false">AA72-Z72</f>
        <v>0</v>
      </c>
      <c r="AJ72" s="1" t="n">
        <v>3</v>
      </c>
      <c r="AK72" s="1" t="n">
        <v>6</v>
      </c>
      <c r="AL72" s="1" t="n">
        <f aca="false">AK72-AJ72</f>
        <v>3</v>
      </c>
      <c r="AU72" s="1" t="n">
        <v>4</v>
      </c>
      <c r="AV72" s="1" t="n">
        <v>6</v>
      </c>
      <c r="AW72" s="1" t="n">
        <f aca="false">AV72-AU72</f>
        <v>2</v>
      </c>
    </row>
    <row r="73" customFormat="false" ht="16" hidden="false" customHeight="false" outlineLevel="0" collapsed="false">
      <c r="A73" s="1" t="n">
        <v>2</v>
      </c>
      <c r="B73" s="1" t="n">
        <v>2</v>
      </c>
      <c r="C73" s="1" t="n">
        <f aca="false">B73-A73</f>
        <v>0</v>
      </c>
      <c r="I73" s="1" t="n">
        <v>3</v>
      </c>
      <c r="J73" s="1" t="n">
        <v>3</v>
      </c>
      <c r="K73" s="1" t="n">
        <f aca="false">J73-I73</f>
        <v>0</v>
      </c>
      <c r="Q73" s="1" t="n">
        <v>1</v>
      </c>
      <c r="R73" s="1" t="n">
        <v>3</v>
      </c>
      <c r="S73" s="1" t="n">
        <f aca="false">R73-Q73</f>
        <v>2</v>
      </c>
      <c r="Z73" s="1" t="n">
        <v>1</v>
      </c>
      <c r="AA73" s="1" t="n">
        <v>1</v>
      </c>
      <c r="AB73" s="1" t="n">
        <f aca="false">AA73-Z73</f>
        <v>0</v>
      </c>
      <c r="AJ73" s="1" t="n">
        <v>2</v>
      </c>
      <c r="AK73" s="1" t="n">
        <v>6</v>
      </c>
      <c r="AL73" s="1" t="n">
        <f aca="false">AK73-AJ73</f>
        <v>4</v>
      </c>
      <c r="AU73" s="1" t="n">
        <v>2</v>
      </c>
      <c r="AV73" s="1" t="n">
        <v>5</v>
      </c>
      <c r="AW73" s="1" t="n">
        <f aca="false">AV73-AU73</f>
        <v>3</v>
      </c>
    </row>
    <row r="74" customFormat="false" ht="16" hidden="false" customHeight="false" outlineLevel="0" collapsed="false">
      <c r="A74" s="1" t="n">
        <v>2</v>
      </c>
      <c r="B74" s="1" t="n">
        <v>2</v>
      </c>
      <c r="C74" s="1" t="n">
        <f aca="false">B74-A74</f>
        <v>0</v>
      </c>
      <c r="I74" s="1" t="n">
        <v>3</v>
      </c>
      <c r="J74" s="1" t="n">
        <v>3</v>
      </c>
      <c r="K74" s="1" t="n">
        <f aca="false">J74-I74</f>
        <v>0</v>
      </c>
      <c r="Q74" s="1" t="n">
        <v>2</v>
      </c>
      <c r="R74" s="1" t="n">
        <v>4</v>
      </c>
      <c r="S74" s="1" t="n">
        <f aca="false">R74-Q74</f>
        <v>2</v>
      </c>
      <c r="Z74" s="1" t="n">
        <v>2</v>
      </c>
      <c r="AA74" s="1" t="n">
        <v>2</v>
      </c>
      <c r="AB74" s="1" t="n">
        <f aca="false">AA74-Z74</f>
        <v>0</v>
      </c>
      <c r="AJ74" s="1" t="n">
        <v>2</v>
      </c>
      <c r="AK74" s="1" t="n">
        <v>6</v>
      </c>
      <c r="AL74" s="1" t="n">
        <f aca="false">AK74-AJ74</f>
        <v>4</v>
      </c>
      <c r="AU74" s="1" t="n">
        <v>4</v>
      </c>
      <c r="AV74" s="1" t="n">
        <v>6</v>
      </c>
      <c r="AW74" s="1" t="n">
        <f aca="false">AV74-AU74</f>
        <v>2</v>
      </c>
    </row>
    <row r="75" customFormat="false" ht="16" hidden="false" customHeight="false" outlineLevel="0" collapsed="false">
      <c r="A75" s="1" t="n">
        <v>2</v>
      </c>
      <c r="B75" s="1" t="n">
        <v>2</v>
      </c>
      <c r="C75" s="1" t="n">
        <f aca="false">B75-A75</f>
        <v>0</v>
      </c>
      <c r="I75" s="1" t="n">
        <v>1</v>
      </c>
      <c r="J75" s="1" t="n">
        <v>1</v>
      </c>
      <c r="K75" s="1" t="n">
        <f aca="false">J75-I75</f>
        <v>0</v>
      </c>
      <c r="Q75" s="1" t="n">
        <v>1</v>
      </c>
      <c r="R75" s="1" t="n">
        <v>1</v>
      </c>
      <c r="S75" s="1" t="n">
        <f aca="false">R75-Q75</f>
        <v>0</v>
      </c>
      <c r="Z75" s="1" t="n">
        <v>2</v>
      </c>
      <c r="AA75" s="1" t="n">
        <v>4</v>
      </c>
      <c r="AB75" s="1" t="n">
        <f aca="false">AA75-Z75</f>
        <v>2</v>
      </c>
      <c r="AJ75" s="1" t="n">
        <v>2</v>
      </c>
      <c r="AK75" s="1" t="n">
        <v>4</v>
      </c>
      <c r="AL75" s="1" t="n">
        <f aca="false">AK75-AJ75</f>
        <v>2</v>
      </c>
      <c r="AU75" s="1" t="n">
        <v>2</v>
      </c>
      <c r="AV75" s="1" t="n">
        <v>2</v>
      </c>
      <c r="AW75" s="1" t="n">
        <f aca="false">AV75-AU75</f>
        <v>0</v>
      </c>
    </row>
    <row r="76" customFormat="false" ht="16" hidden="false" customHeight="false" outlineLevel="0" collapsed="false">
      <c r="A76" s="1" t="n">
        <v>2</v>
      </c>
      <c r="B76" s="1" t="n">
        <v>2</v>
      </c>
      <c r="C76" s="1" t="n">
        <f aca="false">B76-A76</f>
        <v>0</v>
      </c>
      <c r="I76" s="1" t="n">
        <v>1</v>
      </c>
      <c r="J76" s="1" t="n">
        <v>1</v>
      </c>
      <c r="K76" s="1" t="n">
        <f aca="false">J76-I76</f>
        <v>0</v>
      </c>
      <c r="Q76" s="1" t="n">
        <v>1</v>
      </c>
      <c r="R76" s="1" t="n">
        <v>3</v>
      </c>
      <c r="S76" s="1" t="n">
        <f aca="false">R76-Q76</f>
        <v>2</v>
      </c>
      <c r="Z76" s="1" t="n">
        <v>3</v>
      </c>
      <c r="AA76" s="1" t="n">
        <v>5</v>
      </c>
      <c r="AB76" s="1" t="n">
        <f aca="false">AA76-Z76</f>
        <v>2</v>
      </c>
      <c r="AJ76" s="1" t="n">
        <v>2</v>
      </c>
      <c r="AK76" s="1" t="n">
        <v>3</v>
      </c>
      <c r="AL76" s="1" t="n">
        <f aca="false">AK76-AJ76</f>
        <v>1</v>
      </c>
      <c r="AU76" s="1" t="n">
        <v>2</v>
      </c>
      <c r="AV76" s="1" t="n">
        <v>4</v>
      </c>
      <c r="AW76" s="1" t="n">
        <f aca="false">AV76-AU76</f>
        <v>2</v>
      </c>
    </row>
    <row r="77" customFormat="false" ht="16" hidden="false" customHeight="false" outlineLevel="0" collapsed="false">
      <c r="A77" s="1" t="n">
        <v>3</v>
      </c>
      <c r="B77" s="1" t="n">
        <v>3</v>
      </c>
      <c r="C77" s="1" t="n">
        <f aca="false">B77-A77</f>
        <v>0</v>
      </c>
      <c r="I77" s="1" t="n">
        <v>4</v>
      </c>
      <c r="J77" s="1" t="n">
        <v>4</v>
      </c>
      <c r="K77" s="1" t="n">
        <f aca="false">J77-I77</f>
        <v>0</v>
      </c>
      <c r="Q77" s="1" t="n">
        <v>2</v>
      </c>
      <c r="R77" s="1" t="n">
        <v>2</v>
      </c>
      <c r="S77" s="1" t="n">
        <f aca="false">R77-Q77</f>
        <v>0</v>
      </c>
      <c r="Z77" s="1" t="n">
        <v>2</v>
      </c>
      <c r="AA77" s="1" t="n">
        <v>5</v>
      </c>
      <c r="AB77" s="1" t="n">
        <f aca="false">AA77-Z77</f>
        <v>3</v>
      </c>
      <c r="AJ77" s="1" t="n">
        <v>1</v>
      </c>
      <c r="AK77" s="1" t="n">
        <v>2</v>
      </c>
      <c r="AL77" s="1" t="n">
        <f aca="false">AK77-AJ77</f>
        <v>1</v>
      </c>
      <c r="AU77" s="1" t="n">
        <v>2</v>
      </c>
      <c r="AV77" s="1" t="n">
        <v>4</v>
      </c>
      <c r="AW77" s="1" t="n">
        <f aca="false">AV77-AU77</f>
        <v>2</v>
      </c>
    </row>
    <row r="78" customFormat="false" ht="16" hidden="false" customHeight="false" outlineLevel="0" collapsed="false">
      <c r="A78" s="1" t="n">
        <v>4</v>
      </c>
      <c r="B78" s="1" t="n">
        <v>4</v>
      </c>
      <c r="C78" s="1" t="n">
        <f aca="false">B78-A78</f>
        <v>0</v>
      </c>
      <c r="I78" s="1" t="n">
        <v>1</v>
      </c>
      <c r="J78" s="1" t="n">
        <v>1</v>
      </c>
      <c r="K78" s="1" t="n">
        <f aca="false">J78-I78</f>
        <v>0</v>
      </c>
      <c r="Q78" s="1" t="n">
        <v>1</v>
      </c>
      <c r="R78" s="1" t="n">
        <v>1</v>
      </c>
      <c r="S78" s="1" t="n">
        <f aca="false">R78-Q78</f>
        <v>0</v>
      </c>
      <c r="Z78" s="1" t="n">
        <v>1</v>
      </c>
      <c r="AA78" s="1" t="n">
        <v>2</v>
      </c>
      <c r="AB78" s="1" t="n">
        <f aca="false">AA78-Z78</f>
        <v>1</v>
      </c>
      <c r="AJ78" s="1" t="n">
        <v>3</v>
      </c>
      <c r="AK78" s="1" t="n">
        <v>5</v>
      </c>
      <c r="AL78" s="1" t="n">
        <f aca="false">AK78-AJ78</f>
        <v>2</v>
      </c>
      <c r="AU78" s="1" t="n">
        <v>2</v>
      </c>
      <c r="AV78" s="1" t="n">
        <v>5</v>
      </c>
      <c r="AW78" s="1" t="n">
        <f aca="false">AV78-AU78</f>
        <v>3</v>
      </c>
    </row>
    <row r="79" customFormat="false" ht="16" hidden="false" customHeight="false" outlineLevel="0" collapsed="false">
      <c r="A79" s="1" t="n">
        <v>1</v>
      </c>
      <c r="B79" s="1" t="n">
        <v>1</v>
      </c>
      <c r="C79" s="1" t="n">
        <f aca="false">B79-A79</f>
        <v>0</v>
      </c>
      <c r="I79" s="1" t="n">
        <v>1</v>
      </c>
      <c r="J79" s="1" t="n">
        <v>1</v>
      </c>
      <c r="K79" s="1" t="n">
        <f aca="false">J79-I79</f>
        <v>0</v>
      </c>
      <c r="Q79" s="1" t="n">
        <v>1</v>
      </c>
      <c r="R79" s="1" t="n">
        <v>1</v>
      </c>
      <c r="S79" s="1" t="n">
        <f aca="false">R79-Q79</f>
        <v>0</v>
      </c>
      <c r="Z79" s="1" t="n">
        <v>2</v>
      </c>
      <c r="AA79" s="1" t="n">
        <v>2</v>
      </c>
      <c r="AB79" s="1" t="n">
        <f aca="false">AA79-Z79</f>
        <v>0</v>
      </c>
      <c r="AJ79" s="1" t="n">
        <v>2</v>
      </c>
      <c r="AK79" s="1" t="n">
        <v>2</v>
      </c>
      <c r="AL79" s="1" t="n">
        <f aca="false">AK79-AJ79</f>
        <v>0</v>
      </c>
      <c r="AU79" s="1" t="n">
        <v>2</v>
      </c>
      <c r="AV79" s="1" t="n">
        <v>4</v>
      </c>
      <c r="AW79" s="1" t="n">
        <f aca="false">AV79-AU79</f>
        <v>2</v>
      </c>
    </row>
    <row r="80" customFormat="false" ht="16" hidden="false" customHeight="false" outlineLevel="0" collapsed="false">
      <c r="A80" s="1" t="n">
        <v>1</v>
      </c>
      <c r="B80" s="1" t="n">
        <v>1</v>
      </c>
      <c r="C80" s="1" t="n">
        <f aca="false">B80-A80</f>
        <v>0</v>
      </c>
      <c r="I80" s="1" t="n">
        <v>2</v>
      </c>
      <c r="J80" s="1" t="n">
        <v>2</v>
      </c>
      <c r="K80" s="1" t="n">
        <f aca="false">J80-I80</f>
        <v>0</v>
      </c>
      <c r="Q80" s="1" t="n">
        <v>1</v>
      </c>
      <c r="R80" s="1" t="n">
        <v>1</v>
      </c>
      <c r="S80" s="1" t="n">
        <f aca="false">R80-Q80</f>
        <v>0</v>
      </c>
      <c r="Z80" s="1" t="n">
        <v>2</v>
      </c>
      <c r="AA80" s="1" t="n">
        <v>2</v>
      </c>
      <c r="AB80" s="1" t="n">
        <f aca="false">AA80-Z80</f>
        <v>0</v>
      </c>
      <c r="AJ80" s="1" t="n">
        <v>4</v>
      </c>
      <c r="AK80" s="1" t="n">
        <v>6</v>
      </c>
      <c r="AL80" s="1" t="n">
        <f aca="false">AK80-AJ80</f>
        <v>2</v>
      </c>
      <c r="AU80" s="1" t="n">
        <v>3</v>
      </c>
      <c r="AV80" s="1" t="n">
        <v>3</v>
      </c>
      <c r="AW80" s="1" t="n">
        <f aca="false">AV80-AU80</f>
        <v>0</v>
      </c>
    </row>
    <row r="81" customFormat="false" ht="16" hidden="false" customHeight="false" outlineLevel="0" collapsed="false">
      <c r="A81" s="1" t="n">
        <v>1</v>
      </c>
      <c r="B81" s="1" t="n">
        <v>1</v>
      </c>
      <c r="C81" s="1" t="n">
        <f aca="false">B81-A81</f>
        <v>0</v>
      </c>
      <c r="I81" s="1" t="n">
        <v>2</v>
      </c>
      <c r="J81" s="1" t="n">
        <v>2</v>
      </c>
      <c r="K81" s="1" t="n">
        <f aca="false">J81-I81</f>
        <v>0</v>
      </c>
      <c r="Q81" s="1" t="n">
        <v>1</v>
      </c>
      <c r="R81" s="1" t="n">
        <v>2</v>
      </c>
      <c r="S81" s="1" t="n">
        <f aca="false">R81-Q81</f>
        <v>1</v>
      </c>
      <c r="Z81" s="1" t="n">
        <v>3</v>
      </c>
      <c r="AA81" s="1" t="n">
        <v>5</v>
      </c>
      <c r="AB81" s="1" t="n">
        <f aca="false">AA81-Z81</f>
        <v>2</v>
      </c>
      <c r="AJ81" s="1" t="n">
        <v>2</v>
      </c>
      <c r="AK81" s="1" t="n">
        <v>5</v>
      </c>
      <c r="AL81" s="1" t="n">
        <f aca="false">AK81-AJ81</f>
        <v>3</v>
      </c>
      <c r="AU81" s="1" t="n">
        <v>1</v>
      </c>
      <c r="AV81" s="1" t="n">
        <v>1</v>
      </c>
      <c r="AW81" s="1" t="n">
        <f aca="false">AV81-AU81</f>
        <v>0</v>
      </c>
    </row>
    <row r="82" customFormat="false" ht="16" hidden="false" customHeight="false" outlineLevel="0" collapsed="false">
      <c r="A82" s="1" t="n">
        <v>1</v>
      </c>
      <c r="B82" s="1" t="n">
        <v>1</v>
      </c>
      <c r="C82" s="1" t="n">
        <f aca="false">B82-A82</f>
        <v>0</v>
      </c>
      <c r="I82" s="1" t="n">
        <v>3</v>
      </c>
      <c r="J82" s="1" t="n">
        <v>3</v>
      </c>
      <c r="K82" s="1" t="n">
        <f aca="false">J82-I82</f>
        <v>0</v>
      </c>
      <c r="Q82" s="1" t="n">
        <v>1</v>
      </c>
      <c r="R82" s="1" t="n">
        <v>1</v>
      </c>
      <c r="S82" s="1" t="n">
        <f aca="false">R82-Q82</f>
        <v>0</v>
      </c>
      <c r="Z82" s="1" t="n">
        <v>1</v>
      </c>
      <c r="AA82" s="1" t="n">
        <v>1</v>
      </c>
      <c r="AB82" s="1" t="n">
        <f aca="false">AA82-Z82</f>
        <v>0</v>
      </c>
      <c r="AJ82" s="1" t="n">
        <v>2</v>
      </c>
      <c r="AK82" s="1" t="n">
        <v>2</v>
      </c>
      <c r="AL82" s="1" t="n">
        <f aca="false">AK82-AJ82</f>
        <v>0</v>
      </c>
      <c r="AU82" s="1" t="n">
        <v>1</v>
      </c>
      <c r="AV82" s="1" t="n">
        <v>1</v>
      </c>
      <c r="AW82" s="1" t="n">
        <f aca="false">AV82-AU82</f>
        <v>0</v>
      </c>
    </row>
    <row r="83" customFormat="false" ht="16" hidden="false" customHeight="false" outlineLevel="0" collapsed="false">
      <c r="A83" s="1" t="n">
        <v>1</v>
      </c>
      <c r="B83" s="1" t="n">
        <v>1</v>
      </c>
      <c r="C83" s="1" t="n">
        <f aca="false">B83-A83</f>
        <v>0</v>
      </c>
      <c r="I83" s="1" t="n">
        <v>2</v>
      </c>
      <c r="J83" s="1" t="n">
        <v>2</v>
      </c>
      <c r="K83" s="1" t="n">
        <f aca="false">J83-I83</f>
        <v>0</v>
      </c>
      <c r="Q83" s="1" t="n">
        <v>1</v>
      </c>
      <c r="R83" s="1" t="n">
        <v>2</v>
      </c>
      <c r="S83" s="1" t="n">
        <f aca="false">R83-Q83</f>
        <v>1</v>
      </c>
      <c r="Z83" s="1" t="n">
        <v>2</v>
      </c>
      <c r="AA83" s="1" t="n">
        <v>4</v>
      </c>
      <c r="AB83" s="1" t="n">
        <f aca="false">AA83-Z83</f>
        <v>2</v>
      </c>
      <c r="AJ83" s="1" t="n">
        <v>4</v>
      </c>
      <c r="AK83" s="1" t="n">
        <v>6</v>
      </c>
      <c r="AL83" s="1" t="n">
        <f aca="false">AK83-AJ83</f>
        <v>2</v>
      </c>
      <c r="AU83" s="1" t="n">
        <v>2</v>
      </c>
      <c r="AV83" s="1" t="n">
        <v>4</v>
      </c>
      <c r="AW83" s="1" t="n">
        <f aca="false">AV83-AU83</f>
        <v>2</v>
      </c>
    </row>
    <row r="84" customFormat="false" ht="16" hidden="false" customHeight="false" outlineLevel="0" collapsed="false">
      <c r="A84" s="1" t="n">
        <v>1</v>
      </c>
      <c r="B84" s="1" t="n">
        <v>1</v>
      </c>
      <c r="C84" s="1" t="n">
        <f aca="false">B84-A84</f>
        <v>0</v>
      </c>
      <c r="I84" s="1" t="n">
        <v>1</v>
      </c>
      <c r="J84" s="1" t="n">
        <v>3</v>
      </c>
      <c r="K84" s="1" t="n">
        <f aca="false">J84-I84</f>
        <v>2</v>
      </c>
      <c r="Q84" s="1" t="n">
        <v>1</v>
      </c>
      <c r="R84" s="1" t="n">
        <v>2</v>
      </c>
      <c r="S84" s="1" t="n">
        <f aca="false">R84-Q84</f>
        <v>1</v>
      </c>
      <c r="Z84" s="1" t="n">
        <v>2</v>
      </c>
      <c r="AA84" s="1" t="n">
        <v>2</v>
      </c>
      <c r="AB84" s="1" t="n">
        <f aca="false">AA84-Z84</f>
        <v>0</v>
      </c>
      <c r="AJ84" s="1" t="n">
        <v>1</v>
      </c>
      <c r="AK84" s="1" t="n">
        <v>2</v>
      </c>
      <c r="AL84" s="1" t="n">
        <f aca="false">AK84-AJ84</f>
        <v>1</v>
      </c>
      <c r="AU84" s="1" t="n">
        <v>6</v>
      </c>
      <c r="AV84" s="1" t="n">
        <v>8</v>
      </c>
      <c r="AW84" s="1" t="n">
        <f aca="false">AV84-AU84</f>
        <v>2</v>
      </c>
    </row>
    <row r="85" customFormat="false" ht="16" hidden="false" customHeight="false" outlineLevel="0" collapsed="false">
      <c r="A85" s="1" t="n">
        <v>2</v>
      </c>
      <c r="B85" s="1" t="n">
        <v>2</v>
      </c>
      <c r="C85" s="1" t="n">
        <f aca="false">B85-A85</f>
        <v>0</v>
      </c>
      <c r="I85" s="1" t="n">
        <v>2</v>
      </c>
      <c r="J85" s="1" t="n">
        <v>2</v>
      </c>
      <c r="K85" s="1" t="n">
        <f aca="false">J85-I85</f>
        <v>0</v>
      </c>
      <c r="Q85" s="1" t="n">
        <v>2</v>
      </c>
      <c r="R85" s="1" t="n">
        <v>2</v>
      </c>
      <c r="S85" s="1" t="n">
        <f aca="false">R85-Q85</f>
        <v>0</v>
      </c>
      <c r="Z85" s="1" t="n">
        <v>1</v>
      </c>
      <c r="AA85" s="1" t="n">
        <v>3</v>
      </c>
      <c r="AB85" s="1" t="n">
        <f aca="false">AA85-Z85</f>
        <v>2</v>
      </c>
      <c r="AJ85" s="1" t="n">
        <v>2</v>
      </c>
      <c r="AK85" s="1" t="n">
        <v>2</v>
      </c>
      <c r="AL85" s="1" t="n">
        <f aca="false">AK85-AJ85</f>
        <v>0</v>
      </c>
      <c r="AU85" s="1" t="n">
        <v>1</v>
      </c>
      <c r="AV85" s="1" t="n">
        <v>3</v>
      </c>
      <c r="AW85" s="1" t="n">
        <f aca="false">AV85-AU85</f>
        <v>2</v>
      </c>
    </row>
    <row r="86" customFormat="false" ht="16" hidden="false" customHeight="false" outlineLevel="0" collapsed="false">
      <c r="A86" s="1" t="n">
        <v>1</v>
      </c>
      <c r="B86" s="1" t="n">
        <v>1</v>
      </c>
      <c r="C86" s="1" t="n">
        <f aca="false">B86-A86</f>
        <v>0</v>
      </c>
      <c r="I86" s="1" t="n">
        <v>3</v>
      </c>
      <c r="J86" s="1" t="n">
        <v>3</v>
      </c>
      <c r="K86" s="1" t="n">
        <f aca="false">J86-I86</f>
        <v>0</v>
      </c>
      <c r="Q86" s="1" t="n">
        <v>1</v>
      </c>
      <c r="R86" s="1" t="n">
        <v>1</v>
      </c>
      <c r="S86" s="1" t="n">
        <f aca="false">R86-Q86</f>
        <v>0</v>
      </c>
      <c r="Z86" s="1" t="n">
        <v>1</v>
      </c>
      <c r="AA86" s="1" t="n">
        <v>3</v>
      </c>
      <c r="AB86" s="1" t="n">
        <f aca="false">AA86-Z86</f>
        <v>2</v>
      </c>
      <c r="AJ86" s="1" t="n">
        <v>1</v>
      </c>
      <c r="AK86" s="1" t="n">
        <v>4</v>
      </c>
      <c r="AL86" s="1" t="n">
        <f aca="false">AK86-AJ86</f>
        <v>3</v>
      </c>
      <c r="AU86" s="1" t="n">
        <v>2</v>
      </c>
      <c r="AV86" s="1" t="n">
        <v>2</v>
      </c>
      <c r="AW86" s="1" t="n">
        <f aca="false">AV86-AU86</f>
        <v>0</v>
      </c>
    </row>
    <row r="87" customFormat="false" ht="16" hidden="false" customHeight="false" outlineLevel="0" collapsed="false">
      <c r="A87" s="1" t="n">
        <v>2</v>
      </c>
      <c r="B87" s="1" t="n">
        <v>2</v>
      </c>
      <c r="C87" s="1" t="n">
        <f aca="false">B87-A87</f>
        <v>0</v>
      </c>
      <c r="I87" s="1" t="n">
        <v>2</v>
      </c>
      <c r="J87" s="1" t="n">
        <v>2</v>
      </c>
      <c r="K87" s="1" t="n">
        <f aca="false">J87-I87</f>
        <v>0</v>
      </c>
      <c r="Q87" s="1" t="n">
        <v>2</v>
      </c>
      <c r="R87" s="1" t="n">
        <v>2</v>
      </c>
      <c r="S87" s="1" t="n">
        <f aca="false">R87-Q87</f>
        <v>0</v>
      </c>
      <c r="Z87" s="1" t="n">
        <v>1</v>
      </c>
      <c r="AA87" s="1" t="n">
        <v>1</v>
      </c>
      <c r="AB87" s="1" t="n">
        <f aca="false">AA87-Z87</f>
        <v>0</v>
      </c>
      <c r="AJ87" s="1" t="n">
        <v>2</v>
      </c>
      <c r="AK87" s="1" t="n">
        <v>3</v>
      </c>
      <c r="AL87" s="1" t="n">
        <f aca="false">AK87-AJ87</f>
        <v>1</v>
      </c>
      <c r="AU87" s="1" t="n">
        <v>2</v>
      </c>
      <c r="AV87" s="1" t="n">
        <v>3</v>
      </c>
      <c r="AW87" s="1" t="n">
        <f aca="false">AV87-AU87</f>
        <v>1</v>
      </c>
    </row>
    <row r="88" customFormat="false" ht="16" hidden="false" customHeight="false" outlineLevel="0" collapsed="false">
      <c r="A88" s="1" t="n">
        <v>2</v>
      </c>
      <c r="B88" s="1" t="n">
        <v>2</v>
      </c>
      <c r="C88" s="1" t="n">
        <f aca="false">B88-A88</f>
        <v>0</v>
      </c>
      <c r="I88" s="1" t="n">
        <v>1</v>
      </c>
      <c r="J88" s="1" t="n">
        <v>1</v>
      </c>
      <c r="K88" s="1" t="n">
        <f aca="false">J88-I88</f>
        <v>0</v>
      </c>
      <c r="Q88" s="1" t="n">
        <v>2</v>
      </c>
      <c r="R88" s="1" t="n">
        <v>2</v>
      </c>
      <c r="S88" s="1" t="n">
        <f aca="false">R88-Q88</f>
        <v>0</v>
      </c>
      <c r="Z88" s="1" t="n">
        <v>2</v>
      </c>
      <c r="AA88" s="1" t="n">
        <v>4</v>
      </c>
      <c r="AB88" s="1" t="n">
        <f aca="false">AA88-Z88</f>
        <v>2</v>
      </c>
      <c r="AJ88" s="1" t="n">
        <v>1</v>
      </c>
      <c r="AK88" s="1" t="n">
        <v>5</v>
      </c>
      <c r="AL88" s="1" t="n">
        <f aca="false">AK88-AJ88</f>
        <v>4</v>
      </c>
      <c r="AU88" s="1" t="n">
        <v>1</v>
      </c>
      <c r="AV88" s="1" t="n">
        <v>3</v>
      </c>
      <c r="AW88" s="1" t="n">
        <f aca="false">AV88-AU88</f>
        <v>2</v>
      </c>
    </row>
    <row r="89" customFormat="false" ht="16" hidden="false" customHeight="false" outlineLevel="0" collapsed="false">
      <c r="A89" s="1" t="n">
        <v>2</v>
      </c>
      <c r="B89" s="1" t="n">
        <v>2</v>
      </c>
      <c r="C89" s="1" t="n">
        <f aca="false">B89-A89</f>
        <v>0</v>
      </c>
      <c r="I89" s="1" t="n">
        <v>1</v>
      </c>
      <c r="J89" s="1" t="n">
        <v>1</v>
      </c>
      <c r="K89" s="1" t="n">
        <f aca="false">J89-I89</f>
        <v>0</v>
      </c>
      <c r="Q89" s="1" t="n">
        <v>3</v>
      </c>
      <c r="R89" s="1" t="n">
        <v>3</v>
      </c>
      <c r="S89" s="1" t="n">
        <f aca="false">R89-Q89</f>
        <v>0</v>
      </c>
      <c r="Z89" s="1" t="n">
        <v>3</v>
      </c>
      <c r="AA89" s="1" t="n">
        <v>4</v>
      </c>
      <c r="AB89" s="1" t="n">
        <f aca="false">AA89-Z89</f>
        <v>1</v>
      </c>
      <c r="AJ89" s="1" t="n">
        <v>2</v>
      </c>
      <c r="AK89" s="1" t="n">
        <v>2</v>
      </c>
      <c r="AL89" s="1" t="n">
        <f aca="false">AK89-AJ89</f>
        <v>0</v>
      </c>
      <c r="AU89" s="1" t="n">
        <v>8</v>
      </c>
      <c r="AV89" s="1" t="n">
        <v>9</v>
      </c>
      <c r="AW89" s="1" t="n">
        <f aca="false">AV89-AU89</f>
        <v>1</v>
      </c>
    </row>
    <row r="90" customFormat="false" ht="16" hidden="false" customHeight="false" outlineLevel="0" collapsed="false">
      <c r="A90" s="1" t="n">
        <v>2</v>
      </c>
      <c r="B90" s="1" t="n">
        <v>2</v>
      </c>
      <c r="C90" s="1" t="n">
        <f aca="false">B90-A90</f>
        <v>0</v>
      </c>
      <c r="I90" s="1" t="n">
        <v>2</v>
      </c>
      <c r="J90" s="1" t="n">
        <v>2</v>
      </c>
      <c r="K90" s="1" t="n">
        <f aca="false">J90-I90</f>
        <v>0</v>
      </c>
      <c r="Q90" s="1" t="n">
        <v>2</v>
      </c>
      <c r="R90" s="1" t="n">
        <v>4</v>
      </c>
      <c r="S90" s="1" t="n">
        <f aca="false">R90-Q90</f>
        <v>2</v>
      </c>
      <c r="Z90" s="1" t="n">
        <v>2</v>
      </c>
      <c r="AA90" s="1" t="n">
        <v>4</v>
      </c>
      <c r="AB90" s="1" t="n">
        <f aca="false">AA90-Z90</f>
        <v>2</v>
      </c>
      <c r="AJ90" s="1" t="n">
        <v>2</v>
      </c>
      <c r="AK90" s="1" t="n">
        <v>2</v>
      </c>
      <c r="AL90" s="1" t="n">
        <f aca="false">AK90-AJ90</f>
        <v>0</v>
      </c>
      <c r="AU90" s="1" t="n">
        <v>2</v>
      </c>
      <c r="AV90" s="1" t="n">
        <v>4</v>
      </c>
      <c r="AW90" s="1" t="n">
        <f aca="false">AV90-AU90</f>
        <v>2</v>
      </c>
    </row>
    <row r="91" customFormat="false" ht="16" hidden="false" customHeight="false" outlineLevel="0" collapsed="false">
      <c r="A91" s="1" t="n">
        <v>1</v>
      </c>
      <c r="B91" s="1" t="n">
        <v>1</v>
      </c>
      <c r="C91" s="1" t="n">
        <f aca="false">B91-A91</f>
        <v>0</v>
      </c>
      <c r="I91" s="1" t="n">
        <v>2</v>
      </c>
      <c r="J91" s="1" t="n">
        <v>2</v>
      </c>
      <c r="K91" s="1" t="n">
        <f aca="false">J91-I91</f>
        <v>0</v>
      </c>
      <c r="Q91" s="1" t="n">
        <v>2</v>
      </c>
      <c r="R91" s="1" t="n">
        <v>2</v>
      </c>
      <c r="S91" s="1" t="n">
        <f aca="false">R91-Q91</f>
        <v>0</v>
      </c>
      <c r="Z91" s="1" t="n">
        <v>4</v>
      </c>
      <c r="AA91" s="1" t="n">
        <v>6</v>
      </c>
      <c r="AB91" s="1" t="n">
        <f aca="false">AA91-Z91</f>
        <v>2</v>
      </c>
      <c r="AJ91" s="1" t="n">
        <v>2</v>
      </c>
      <c r="AK91" s="1" t="n">
        <v>2</v>
      </c>
      <c r="AL91" s="1" t="n">
        <f aca="false">AK91-AJ91</f>
        <v>0</v>
      </c>
      <c r="AU91" s="1" t="n">
        <v>2</v>
      </c>
      <c r="AV91" s="1" t="n">
        <v>2</v>
      </c>
      <c r="AW91" s="1" t="n">
        <f aca="false">AV91-AU91</f>
        <v>0</v>
      </c>
    </row>
    <row r="92" customFormat="false" ht="16" hidden="false" customHeight="false" outlineLevel="0" collapsed="false">
      <c r="A92" s="1" t="n">
        <v>2</v>
      </c>
      <c r="B92" s="1" t="n">
        <v>2</v>
      </c>
      <c r="C92" s="1" t="n">
        <f aca="false">B92-A92</f>
        <v>0</v>
      </c>
      <c r="I92" s="1" t="n">
        <v>1</v>
      </c>
      <c r="J92" s="1" t="n">
        <v>1</v>
      </c>
      <c r="K92" s="1" t="n">
        <f aca="false">J92-I92</f>
        <v>0</v>
      </c>
      <c r="Q92" s="1" t="n">
        <v>3</v>
      </c>
      <c r="R92" s="1" t="n">
        <v>3</v>
      </c>
      <c r="S92" s="1" t="n">
        <f aca="false">R92-Q92</f>
        <v>0</v>
      </c>
      <c r="Z92" s="1" t="n">
        <v>2</v>
      </c>
      <c r="AA92" s="1" t="n">
        <v>4</v>
      </c>
      <c r="AB92" s="1" t="n">
        <f aca="false">AA92-Z92</f>
        <v>2</v>
      </c>
      <c r="AJ92" s="1" t="n">
        <v>2</v>
      </c>
      <c r="AK92" s="1" t="n">
        <v>2</v>
      </c>
      <c r="AL92" s="1" t="n">
        <f aca="false">AK92-AJ92</f>
        <v>0</v>
      </c>
      <c r="AU92" s="1" t="n">
        <v>2</v>
      </c>
      <c r="AV92" s="1" t="n">
        <v>4</v>
      </c>
      <c r="AW92" s="1" t="n">
        <f aca="false">AV92-AU92</f>
        <v>2</v>
      </c>
    </row>
    <row r="93" customFormat="false" ht="16" hidden="false" customHeight="false" outlineLevel="0" collapsed="false">
      <c r="A93" s="1" t="n">
        <v>1</v>
      </c>
      <c r="B93" s="1" t="n">
        <v>1</v>
      </c>
      <c r="C93" s="1" t="n">
        <f aca="false">B93-A93</f>
        <v>0</v>
      </c>
      <c r="I93" s="1" t="n">
        <v>2</v>
      </c>
      <c r="J93" s="1" t="n">
        <v>2</v>
      </c>
      <c r="K93" s="1" t="n">
        <f aca="false">J93-I93</f>
        <v>0</v>
      </c>
      <c r="Q93" s="1" t="n">
        <v>4</v>
      </c>
      <c r="R93" s="1" t="n">
        <v>4</v>
      </c>
      <c r="S93" s="1" t="n">
        <f aca="false">R93-Q93</f>
        <v>0</v>
      </c>
      <c r="Z93" s="1" t="n">
        <v>2</v>
      </c>
      <c r="AA93" s="1" t="n">
        <v>5</v>
      </c>
      <c r="AB93" s="1" t="n">
        <f aca="false">AA93-Z93</f>
        <v>3</v>
      </c>
      <c r="AJ93" s="1" t="n">
        <v>2</v>
      </c>
      <c r="AK93" s="1" t="n">
        <v>2</v>
      </c>
      <c r="AL93" s="1" t="n">
        <f aca="false">AK93-AJ93</f>
        <v>0</v>
      </c>
      <c r="AU93" s="1" t="n">
        <v>2</v>
      </c>
      <c r="AV93" s="1" t="n">
        <v>4</v>
      </c>
      <c r="AW93" s="1" t="n">
        <f aca="false">AV93-AU93</f>
        <v>2</v>
      </c>
    </row>
    <row r="94" customFormat="false" ht="16" hidden="false" customHeight="false" outlineLevel="0" collapsed="false">
      <c r="A94" s="1" t="n">
        <v>2</v>
      </c>
      <c r="B94" s="1" t="n">
        <v>2</v>
      </c>
      <c r="C94" s="1" t="n">
        <f aca="false">B94-A94</f>
        <v>0</v>
      </c>
      <c r="I94" s="1" t="n">
        <v>1</v>
      </c>
      <c r="J94" s="1" t="n">
        <v>1</v>
      </c>
      <c r="K94" s="1" t="n">
        <f aca="false">J94-I94</f>
        <v>0</v>
      </c>
      <c r="Q94" s="1" t="n">
        <v>2</v>
      </c>
      <c r="R94" s="1" t="n">
        <v>2</v>
      </c>
      <c r="S94" s="1" t="n">
        <f aca="false">R94-Q94</f>
        <v>0</v>
      </c>
      <c r="Z94" s="1" t="n">
        <v>2</v>
      </c>
      <c r="AA94" s="1" t="n">
        <v>4</v>
      </c>
      <c r="AB94" s="1" t="n">
        <f aca="false">AA94-Z94</f>
        <v>2</v>
      </c>
      <c r="AJ94" s="1" t="n">
        <v>2</v>
      </c>
      <c r="AK94" s="1" t="n">
        <v>2</v>
      </c>
      <c r="AL94" s="1" t="n">
        <f aca="false">AK94-AJ94</f>
        <v>0</v>
      </c>
      <c r="AU94" s="1" t="n">
        <v>2</v>
      </c>
      <c r="AV94" s="1" t="n">
        <v>4</v>
      </c>
      <c r="AW94" s="1" t="n">
        <f aca="false">AV94-AU94</f>
        <v>2</v>
      </c>
    </row>
    <row r="95" customFormat="false" ht="16" hidden="false" customHeight="false" outlineLevel="0" collapsed="false">
      <c r="A95" s="1" t="n">
        <v>1</v>
      </c>
      <c r="B95" s="1" t="n">
        <v>1</v>
      </c>
      <c r="C95" s="1" t="n">
        <f aca="false">B95-A95</f>
        <v>0</v>
      </c>
      <c r="I95" s="1" t="n">
        <v>4</v>
      </c>
      <c r="J95" s="1" t="n">
        <v>4</v>
      </c>
      <c r="K95" s="1" t="n">
        <f aca="false">J95-I95</f>
        <v>0</v>
      </c>
      <c r="Q95" s="1" t="n">
        <v>2</v>
      </c>
      <c r="R95" s="1" t="n">
        <v>2</v>
      </c>
      <c r="S95" s="1" t="n">
        <f aca="false">R95-Q95</f>
        <v>0</v>
      </c>
      <c r="Z95" s="1" t="n">
        <v>1</v>
      </c>
      <c r="AA95" s="1" t="n">
        <v>3</v>
      </c>
      <c r="AB95" s="1" t="n">
        <f aca="false">AA95-Z95</f>
        <v>2</v>
      </c>
      <c r="AJ95" s="1" t="n">
        <v>2</v>
      </c>
      <c r="AK95" s="1" t="n">
        <v>2</v>
      </c>
      <c r="AL95" s="1" t="n">
        <f aca="false">AK95-AJ95</f>
        <v>0</v>
      </c>
      <c r="AU95" s="1" t="n">
        <v>1</v>
      </c>
      <c r="AV95" s="1" t="n">
        <v>1</v>
      </c>
      <c r="AW95" s="1" t="n">
        <f aca="false">AV95-AU95</f>
        <v>0</v>
      </c>
    </row>
    <row r="96" customFormat="false" ht="16" hidden="false" customHeight="false" outlineLevel="0" collapsed="false">
      <c r="A96" s="1" t="n">
        <v>2</v>
      </c>
      <c r="B96" s="1" t="n">
        <v>2</v>
      </c>
      <c r="C96" s="1" t="n">
        <f aca="false">B96-A96</f>
        <v>0</v>
      </c>
      <c r="I96" s="1" t="n">
        <v>2</v>
      </c>
      <c r="J96" s="1" t="n">
        <v>2</v>
      </c>
      <c r="K96" s="1" t="n">
        <f aca="false">J96-I96</f>
        <v>0</v>
      </c>
      <c r="Q96" s="1" t="n">
        <v>2</v>
      </c>
      <c r="R96" s="1" t="n">
        <v>2</v>
      </c>
      <c r="S96" s="1" t="n">
        <f aca="false">R96-Q96</f>
        <v>0</v>
      </c>
      <c r="Z96" s="1" t="n">
        <v>2</v>
      </c>
      <c r="AA96" s="1" t="n">
        <v>2</v>
      </c>
      <c r="AB96" s="1" t="n">
        <f aca="false">AA96-Z96</f>
        <v>0</v>
      </c>
      <c r="AJ96" s="1" t="n">
        <v>2</v>
      </c>
      <c r="AK96" s="1" t="n">
        <v>2</v>
      </c>
      <c r="AL96" s="1" t="n">
        <f aca="false">AK96-AJ96</f>
        <v>0</v>
      </c>
      <c r="AU96" s="1" t="n">
        <v>1</v>
      </c>
      <c r="AV96" s="1" t="n">
        <v>3</v>
      </c>
      <c r="AW96" s="1" t="n">
        <f aca="false">AV96-AU96</f>
        <v>2</v>
      </c>
    </row>
    <row r="97" customFormat="false" ht="16" hidden="false" customHeight="false" outlineLevel="0" collapsed="false">
      <c r="A97" s="1" t="n">
        <v>1</v>
      </c>
      <c r="B97" s="1" t="n">
        <v>1</v>
      </c>
      <c r="C97" s="1" t="n">
        <f aca="false">B97-A97</f>
        <v>0</v>
      </c>
      <c r="I97" s="1" t="n">
        <v>2</v>
      </c>
      <c r="J97" s="1" t="n">
        <v>2</v>
      </c>
      <c r="K97" s="1" t="n">
        <f aca="false">J97-I97</f>
        <v>0</v>
      </c>
      <c r="Q97" s="1" t="n">
        <v>1</v>
      </c>
      <c r="R97" s="1" t="n">
        <v>1</v>
      </c>
      <c r="S97" s="1" t="n">
        <f aca="false">R97-Q97</f>
        <v>0</v>
      </c>
      <c r="Z97" s="1" t="n">
        <v>2</v>
      </c>
      <c r="AA97" s="1" t="n">
        <v>4</v>
      </c>
      <c r="AB97" s="1" t="n">
        <f aca="false">AA97-Z97</f>
        <v>2</v>
      </c>
      <c r="AJ97" s="1" t="n">
        <v>2</v>
      </c>
      <c r="AK97" s="1" t="n">
        <v>2</v>
      </c>
      <c r="AL97" s="1" t="n">
        <f aca="false">AK97-AJ97</f>
        <v>0</v>
      </c>
      <c r="AU97" s="1" t="n">
        <v>1</v>
      </c>
      <c r="AV97" s="1" t="n">
        <v>3</v>
      </c>
      <c r="AW97" s="1" t="n">
        <f aca="false">AV97-AU97</f>
        <v>2</v>
      </c>
    </row>
    <row r="98" customFormat="false" ht="16" hidden="false" customHeight="false" outlineLevel="0" collapsed="false">
      <c r="A98" s="1" t="n">
        <v>1</v>
      </c>
      <c r="B98" s="1" t="n">
        <v>1</v>
      </c>
      <c r="C98" s="1" t="n">
        <f aca="false">B98-A98</f>
        <v>0</v>
      </c>
      <c r="I98" s="1" t="n">
        <v>2</v>
      </c>
      <c r="J98" s="1" t="n">
        <v>2</v>
      </c>
      <c r="K98" s="1" t="n">
        <f aca="false">J98-I98</f>
        <v>0</v>
      </c>
      <c r="Q98" s="1" t="n">
        <v>2</v>
      </c>
      <c r="R98" s="1" t="n">
        <v>2</v>
      </c>
      <c r="S98" s="1" t="n">
        <f aca="false">R98-Q98</f>
        <v>0</v>
      </c>
      <c r="Z98" s="1" t="n">
        <v>2</v>
      </c>
      <c r="AA98" s="1" t="n">
        <v>3</v>
      </c>
      <c r="AB98" s="1" t="n">
        <f aca="false">AA98-Z98</f>
        <v>1</v>
      </c>
      <c r="AJ98" s="1" t="n">
        <v>2</v>
      </c>
      <c r="AK98" s="1" t="n">
        <v>2</v>
      </c>
      <c r="AL98" s="1" t="n">
        <f aca="false">AK98-AJ98</f>
        <v>0</v>
      </c>
      <c r="AU98" s="1" t="n">
        <v>1</v>
      </c>
      <c r="AV98" s="1" t="n">
        <v>2</v>
      </c>
      <c r="AW98" s="1" t="n">
        <f aca="false">AV98-AU98</f>
        <v>1</v>
      </c>
    </row>
    <row r="99" customFormat="false" ht="16" hidden="false" customHeight="false" outlineLevel="0" collapsed="false">
      <c r="A99" s="1" t="n">
        <v>2</v>
      </c>
      <c r="B99" s="1" t="n">
        <v>2</v>
      </c>
      <c r="C99" s="1" t="n">
        <f aca="false">B99-A99</f>
        <v>0</v>
      </c>
      <c r="I99" s="1" t="n">
        <v>2</v>
      </c>
      <c r="J99" s="1" t="n">
        <v>2</v>
      </c>
      <c r="K99" s="1" t="n">
        <f aca="false">J99-I99</f>
        <v>0</v>
      </c>
      <c r="Q99" s="1" t="n">
        <v>2</v>
      </c>
      <c r="R99" s="1" t="n">
        <v>2</v>
      </c>
      <c r="S99" s="1" t="n">
        <f aca="false">R99-Q99</f>
        <v>0</v>
      </c>
      <c r="Z99" s="1" t="n">
        <v>1</v>
      </c>
      <c r="AA99" s="1" t="n">
        <v>2</v>
      </c>
      <c r="AB99" s="1" t="n">
        <f aca="false">AA99-Z99</f>
        <v>1</v>
      </c>
      <c r="AJ99" s="1" t="n">
        <v>2</v>
      </c>
      <c r="AK99" s="1" t="n">
        <v>2</v>
      </c>
      <c r="AL99" s="1" t="n">
        <f aca="false">AK99-AJ99</f>
        <v>0</v>
      </c>
      <c r="AU99" s="1" t="n">
        <v>2</v>
      </c>
      <c r="AV99" s="1" t="n">
        <v>6</v>
      </c>
      <c r="AW99" s="1" t="n">
        <f aca="false">AV99-AU99</f>
        <v>4</v>
      </c>
    </row>
    <row r="100" customFormat="false" ht="16" hidden="false" customHeight="false" outlineLevel="0" collapsed="false">
      <c r="A100" s="1" t="n">
        <v>1</v>
      </c>
      <c r="B100" s="1" t="n">
        <v>1</v>
      </c>
      <c r="C100" s="1" t="n">
        <f aca="false">B100-A100</f>
        <v>0</v>
      </c>
      <c r="I100" s="1" t="n">
        <v>1</v>
      </c>
      <c r="J100" s="1" t="n">
        <v>3</v>
      </c>
      <c r="K100" s="1" t="n">
        <f aca="false">J100-I100</f>
        <v>2</v>
      </c>
      <c r="Q100" s="1" t="n">
        <v>1</v>
      </c>
      <c r="R100" s="1" t="n">
        <v>1</v>
      </c>
      <c r="S100" s="1" t="n">
        <f aca="false">R100-Q100</f>
        <v>0</v>
      </c>
      <c r="Z100" s="1" t="n">
        <v>2</v>
      </c>
      <c r="AA100" s="1" t="n">
        <v>2</v>
      </c>
      <c r="AB100" s="1" t="n">
        <f aca="false">AA100-Z100</f>
        <v>0</v>
      </c>
      <c r="AJ100" s="1" t="n">
        <v>2</v>
      </c>
      <c r="AK100" s="1" t="n">
        <v>4</v>
      </c>
      <c r="AL100" s="1" t="n">
        <f aca="false">AK100-AJ100</f>
        <v>2</v>
      </c>
      <c r="AU100" s="1" t="n">
        <v>1</v>
      </c>
      <c r="AV100" s="1" t="n">
        <v>3</v>
      </c>
      <c r="AW100" s="1" t="n">
        <f aca="false">AV100-AU100</f>
        <v>2</v>
      </c>
    </row>
    <row r="101" customFormat="false" ht="16" hidden="false" customHeight="false" outlineLevel="0" collapsed="false">
      <c r="A101" s="1" t="n">
        <v>2</v>
      </c>
      <c r="B101" s="1" t="n">
        <v>2</v>
      </c>
      <c r="C101" s="1" t="n">
        <f aca="false">B101-A101</f>
        <v>0</v>
      </c>
      <c r="I101" s="1" t="n">
        <v>2</v>
      </c>
      <c r="J101" s="1" t="n">
        <v>2</v>
      </c>
      <c r="K101" s="1" t="n">
        <f aca="false">J101-I101</f>
        <v>0</v>
      </c>
      <c r="Q101" s="1" t="n">
        <v>2</v>
      </c>
      <c r="R101" s="1" t="n">
        <v>2</v>
      </c>
      <c r="S101" s="1" t="n">
        <f aca="false">R101-Q101</f>
        <v>0</v>
      </c>
      <c r="Z101" s="1" t="n">
        <v>2</v>
      </c>
      <c r="AA101" s="1" t="n">
        <v>2</v>
      </c>
      <c r="AB101" s="1" t="n">
        <f aca="false">AA101-Z101</f>
        <v>0</v>
      </c>
      <c r="AJ101" s="1" t="n">
        <v>1</v>
      </c>
      <c r="AK101" s="1" t="n">
        <v>2</v>
      </c>
      <c r="AL101" s="1" t="n">
        <f aca="false">AK101-AJ101</f>
        <v>1</v>
      </c>
      <c r="AU101" s="1" t="n">
        <v>1</v>
      </c>
      <c r="AV101" s="1" t="n">
        <v>3</v>
      </c>
      <c r="AW101" s="1" t="n">
        <f aca="false">AV101-AU101</f>
        <v>2</v>
      </c>
    </row>
    <row r="102" customFormat="false" ht="16" hidden="false" customHeight="false" outlineLevel="0" collapsed="false">
      <c r="A102" s="1" t="n">
        <v>1</v>
      </c>
      <c r="B102" s="1" t="n">
        <v>1</v>
      </c>
      <c r="C102" s="1" t="n">
        <f aca="false">B102-A102</f>
        <v>0</v>
      </c>
      <c r="I102" s="1" t="n">
        <v>1</v>
      </c>
      <c r="J102" s="1" t="n">
        <v>1</v>
      </c>
      <c r="K102" s="1" t="n">
        <f aca="false">J102-I102</f>
        <v>0</v>
      </c>
      <c r="Q102" s="1" t="n">
        <v>2</v>
      </c>
      <c r="R102" s="1" t="n">
        <v>2</v>
      </c>
      <c r="S102" s="1" t="n">
        <f aca="false">R102-Q102</f>
        <v>0</v>
      </c>
      <c r="Z102" s="1" t="n">
        <v>2</v>
      </c>
      <c r="AA102" s="1" t="n">
        <v>2</v>
      </c>
      <c r="AB102" s="1" t="n">
        <f aca="false">AA102-Z102</f>
        <v>0</v>
      </c>
      <c r="AJ102" s="1" t="n">
        <v>1</v>
      </c>
      <c r="AK102" s="1" t="n">
        <v>2</v>
      </c>
      <c r="AL102" s="1" t="n">
        <f aca="false">AK102-AJ102</f>
        <v>1</v>
      </c>
      <c r="AU102" s="1" t="n">
        <v>2</v>
      </c>
      <c r="AV102" s="1" t="n">
        <v>2</v>
      </c>
      <c r="AW102" s="1" t="n">
        <f aca="false">AV102-AU102</f>
        <v>0</v>
      </c>
    </row>
    <row r="103" customFormat="false" ht="16" hidden="false" customHeight="false" outlineLevel="0" collapsed="false">
      <c r="A103" s="1" t="n">
        <v>2</v>
      </c>
      <c r="B103" s="1" t="n">
        <v>2</v>
      </c>
      <c r="C103" s="1" t="n">
        <f aca="false">B103-A103</f>
        <v>0</v>
      </c>
      <c r="I103" s="1" t="n">
        <v>1</v>
      </c>
      <c r="J103" s="1" t="n">
        <v>1</v>
      </c>
      <c r="K103" s="1" t="n">
        <f aca="false">J103-I103</f>
        <v>0</v>
      </c>
      <c r="Q103" s="1" t="n">
        <v>3</v>
      </c>
      <c r="R103" s="1" t="n">
        <v>3</v>
      </c>
      <c r="S103" s="1" t="n">
        <f aca="false">R103-Q103</f>
        <v>0</v>
      </c>
      <c r="Z103" s="1" t="n">
        <v>1</v>
      </c>
      <c r="AA103" s="1" t="n">
        <v>3</v>
      </c>
      <c r="AB103" s="1" t="n">
        <f aca="false">AA103-Z103</f>
        <v>2</v>
      </c>
      <c r="AJ103" s="1" t="n">
        <v>1</v>
      </c>
      <c r="AK103" s="1" t="n">
        <v>2</v>
      </c>
      <c r="AL103" s="1" t="n">
        <f aca="false">AK103-AJ103</f>
        <v>1</v>
      </c>
      <c r="AU103" s="1" t="n">
        <v>3</v>
      </c>
      <c r="AV103" s="1" t="n">
        <v>6</v>
      </c>
      <c r="AW103" s="1" t="n">
        <f aca="false">AV103-AU103</f>
        <v>3</v>
      </c>
    </row>
    <row r="104" customFormat="false" ht="16" hidden="false" customHeight="false" outlineLevel="0" collapsed="false">
      <c r="A104" s="1" t="n">
        <v>2</v>
      </c>
      <c r="B104" s="1" t="n">
        <v>2</v>
      </c>
      <c r="C104" s="1" t="n">
        <f aca="false">B104-A104</f>
        <v>0</v>
      </c>
      <c r="I104" s="1" t="n">
        <v>2</v>
      </c>
      <c r="J104" s="1" t="n">
        <v>2</v>
      </c>
      <c r="K104" s="1" t="n">
        <f aca="false">J104-I104</f>
        <v>0</v>
      </c>
      <c r="Q104" s="1" t="n">
        <v>3</v>
      </c>
      <c r="R104" s="1" t="n">
        <v>3</v>
      </c>
      <c r="S104" s="1" t="n">
        <f aca="false">R104-Q104</f>
        <v>0</v>
      </c>
      <c r="Z104" s="1" t="n">
        <v>2</v>
      </c>
      <c r="AA104" s="1" t="n">
        <v>2</v>
      </c>
      <c r="AB104" s="1" t="n">
        <f aca="false">AA104-Z104</f>
        <v>0</v>
      </c>
      <c r="AJ104" s="1" t="n">
        <v>2</v>
      </c>
      <c r="AK104" s="1" t="n">
        <v>4</v>
      </c>
      <c r="AL104" s="1" t="n">
        <f aca="false">AK104-AJ104</f>
        <v>2</v>
      </c>
      <c r="AU104" s="1" t="n">
        <v>6</v>
      </c>
      <c r="AV104" s="1" t="n">
        <v>8</v>
      </c>
      <c r="AW104" s="1" t="n">
        <f aca="false">AV104-AU104</f>
        <v>2</v>
      </c>
    </row>
    <row r="105" customFormat="false" ht="16" hidden="false" customHeight="false" outlineLevel="0" collapsed="false">
      <c r="A105" s="1" t="n">
        <v>2</v>
      </c>
      <c r="B105" s="1" t="n">
        <v>2</v>
      </c>
      <c r="C105" s="1" t="n">
        <f aca="false">B105-A105</f>
        <v>0</v>
      </c>
      <c r="I105" s="1" t="n">
        <v>1</v>
      </c>
      <c r="J105" s="1" t="n">
        <v>1</v>
      </c>
      <c r="K105" s="1" t="n">
        <f aca="false">J105-I105</f>
        <v>0</v>
      </c>
      <c r="Q105" s="1" t="n">
        <v>2</v>
      </c>
      <c r="R105" s="1" t="n">
        <v>2</v>
      </c>
      <c r="S105" s="1" t="n">
        <f aca="false">R105-Q105</f>
        <v>0</v>
      </c>
      <c r="Z105" s="1" t="n">
        <v>2</v>
      </c>
      <c r="AA105" s="1" t="n">
        <v>2</v>
      </c>
      <c r="AB105" s="1" t="n">
        <f aca="false">AA105-Z105</f>
        <v>0</v>
      </c>
      <c r="AJ105" s="1" t="n">
        <v>1</v>
      </c>
      <c r="AK105" s="1" t="n">
        <v>2</v>
      </c>
      <c r="AL105" s="1" t="n">
        <f aca="false">AK105-AJ105</f>
        <v>1</v>
      </c>
      <c r="AU105" s="1" t="n">
        <v>1</v>
      </c>
      <c r="AV105" s="1" t="n">
        <v>3</v>
      </c>
      <c r="AW105" s="1" t="n">
        <f aca="false">AV105-AU105</f>
        <v>2</v>
      </c>
    </row>
    <row r="106" customFormat="false" ht="16" hidden="false" customHeight="false" outlineLevel="0" collapsed="false">
      <c r="A106" s="1" t="n">
        <v>2</v>
      </c>
      <c r="B106" s="1" t="n">
        <v>2</v>
      </c>
      <c r="C106" s="1" t="n">
        <f aca="false">B106-A106</f>
        <v>0</v>
      </c>
      <c r="I106" s="1" t="n">
        <v>2</v>
      </c>
      <c r="J106" s="1" t="n">
        <v>2</v>
      </c>
      <c r="K106" s="1" t="n">
        <f aca="false">J106-I106</f>
        <v>0</v>
      </c>
      <c r="Q106" s="1" t="n">
        <v>1</v>
      </c>
      <c r="R106" s="1" t="n">
        <v>2</v>
      </c>
      <c r="S106" s="1" t="n">
        <f aca="false">R106-Q106</f>
        <v>1</v>
      </c>
      <c r="Z106" s="1" t="n">
        <v>2</v>
      </c>
      <c r="AA106" s="1" t="n">
        <v>4</v>
      </c>
      <c r="AB106" s="1" t="n">
        <f aca="false">AA106-Z106</f>
        <v>2</v>
      </c>
      <c r="AJ106" s="1" t="n">
        <v>1</v>
      </c>
      <c r="AK106" s="1" t="n">
        <v>1</v>
      </c>
      <c r="AL106" s="1" t="n">
        <f aca="false">AK106-AJ106</f>
        <v>0</v>
      </c>
      <c r="AU106" s="1" t="n">
        <v>7</v>
      </c>
      <c r="AV106" s="1" t="n">
        <v>10</v>
      </c>
      <c r="AW106" s="1" t="n">
        <f aca="false">AV106-AU106</f>
        <v>3</v>
      </c>
    </row>
    <row r="107" customFormat="false" ht="16" hidden="false" customHeight="false" outlineLevel="0" collapsed="false">
      <c r="A107" s="1" t="n">
        <v>1</v>
      </c>
      <c r="B107" s="1" t="n">
        <v>1</v>
      </c>
      <c r="C107" s="1" t="n">
        <f aca="false">B107-A107</f>
        <v>0</v>
      </c>
      <c r="I107" s="1" t="n">
        <v>2</v>
      </c>
      <c r="J107" s="1" t="n">
        <v>2</v>
      </c>
      <c r="K107" s="1" t="n">
        <f aca="false">J107-I107</f>
        <v>0</v>
      </c>
      <c r="Q107" s="1" t="n">
        <v>4</v>
      </c>
      <c r="R107" s="1" t="n">
        <v>5</v>
      </c>
      <c r="S107" s="1" t="n">
        <f aca="false">R107-Q107</f>
        <v>1</v>
      </c>
      <c r="Z107" s="1" t="n">
        <v>4</v>
      </c>
      <c r="AA107" s="1" t="n">
        <v>6</v>
      </c>
      <c r="AB107" s="1" t="n">
        <f aca="false">AA107-Z107</f>
        <v>2</v>
      </c>
      <c r="AJ107" s="1" t="n">
        <v>3</v>
      </c>
      <c r="AK107" s="1" t="n">
        <v>3</v>
      </c>
      <c r="AL107" s="1" t="n">
        <f aca="false">AK107-AJ107</f>
        <v>0</v>
      </c>
      <c r="AU107" s="1" t="n">
        <v>6</v>
      </c>
      <c r="AV107" s="1" t="n">
        <v>6</v>
      </c>
      <c r="AW107" s="1" t="n">
        <f aca="false">AV107-AU107</f>
        <v>0</v>
      </c>
    </row>
    <row r="108" customFormat="false" ht="16" hidden="false" customHeight="false" outlineLevel="0" collapsed="false">
      <c r="A108" s="1" t="n">
        <v>1</v>
      </c>
      <c r="B108" s="1" t="n">
        <v>1</v>
      </c>
      <c r="C108" s="1" t="n">
        <f aca="false">B108-A108</f>
        <v>0</v>
      </c>
      <c r="I108" s="1" t="n">
        <v>4</v>
      </c>
      <c r="J108" s="1" t="n">
        <v>4</v>
      </c>
      <c r="K108" s="1" t="n">
        <f aca="false">J108-I108</f>
        <v>0</v>
      </c>
      <c r="Q108" s="1" t="n">
        <v>2</v>
      </c>
      <c r="R108" s="1" t="n">
        <v>3</v>
      </c>
      <c r="S108" s="1" t="n">
        <f aca="false">R108-Q108</f>
        <v>1</v>
      </c>
      <c r="Z108" s="1" t="n">
        <v>4</v>
      </c>
      <c r="AA108" s="1" t="n">
        <v>6</v>
      </c>
      <c r="AB108" s="1" t="n">
        <f aca="false">AA108-Z108</f>
        <v>2</v>
      </c>
      <c r="AJ108" s="1" t="n">
        <v>3</v>
      </c>
      <c r="AK108" s="1" t="n">
        <v>4</v>
      </c>
      <c r="AL108" s="1" t="n">
        <f aca="false">AK108-AJ108</f>
        <v>1</v>
      </c>
      <c r="AU108" s="1" t="n">
        <v>2</v>
      </c>
      <c r="AV108" s="1" t="n">
        <v>2</v>
      </c>
      <c r="AW108" s="1" t="n">
        <f aca="false">AV108-AU108</f>
        <v>0</v>
      </c>
    </row>
    <row r="109" customFormat="false" ht="16" hidden="false" customHeight="false" outlineLevel="0" collapsed="false">
      <c r="A109" s="1" t="n">
        <v>2</v>
      </c>
      <c r="B109" s="1" t="n">
        <v>2</v>
      </c>
      <c r="C109" s="1" t="n">
        <f aca="false">B109-A109</f>
        <v>0</v>
      </c>
      <c r="I109" s="1" t="n">
        <v>2</v>
      </c>
      <c r="J109" s="1" t="n">
        <v>2</v>
      </c>
      <c r="K109" s="1" t="n">
        <f aca="false">J109-I109</f>
        <v>0</v>
      </c>
      <c r="Q109" s="1" t="n">
        <v>3</v>
      </c>
      <c r="R109" s="1" t="n">
        <v>4</v>
      </c>
      <c r="S109" s="1" t="n">
        <f aca="false">R109-Q109</f>
        <v>1</v>
      </c>
      <c r="Z109" s="1" t="n">
        <v>2</v>
      </c>
      <c r="AA109" s="1" t="n">
        <v>4</v>
      </c>
      <c r="AB109" s="1" t="n">
        <f aca="false">AA109-Z109</f>
        <v>2</v>
      </c>
      <c r="AJ109" s="1" t="n">
        <v>2</v>
      </c>
      <c r="AK109" s="1" t="n">
        <v>4</v>
      </c>
      <c r="AL109" s="1" t="n">
        <f aca="false">AK109-AJ109</f>
        <v>2</v>
      </c>
      <c r="AU109" s="1" t="n">
        <v>4</v>
      </c>
      <c r="AV109" s="1" t="n">
        <v>6</v>
      </c>
      <c r="AW109" s="1" t="n">
        <f aca="false">AV109-AU109</f>
        <v>2</v>
      </c>
    </row>
    <row r="110" customFormat="false" ht="16" hidden="false" customHeight="false" outlineLevel="0" collapsed="false">
      <c r="A110" s="1" t="n">
        <v>1</v>
      </c>
      <c r="B110" s="1" t="n">
        <v>1</v>
      </c>
      <c r="C110" s="1" t="n">
        <f aca="false">B110-A110</f>
        <v>0</v>
      </c>
      <c r="I110" s="1" t="n">
        <v>1</v>
      </c>
      <c r="J110" s="1" t="n">
        <v>1</v>
      </c>
      <c r="K110" s="1" t="n">
        <f aca="false">J110-I110</f>
        <v>0</v>
      </c>
      <c r="Q110" s="1" t="n">
        <v>2</v>
      </c>
      <c r="R110" s="1" t="n">
        <v>2</v>
      </c>
      <c r="S110" s="1" t="n">
        <f aca="false">R110-Q110</f>
        <v>0</v>
      </c>
      <c r="Z110" s="1" t="n">
        <v>2</v>
      </c>
      <c r="AA110" s="1" t="n">
        <v>3</v>
      </c>
      <c r="AB110" s="1" t="n">
        <f aca="false">AA110-Z110</f>
        <v>1</v>
      </c>
      <c r="AJ110" s="1" t="n">
        <v>2</v>
      </c>
      <c r="AK110" s="1" t="n">
        <v>3</v>
      </c>
      <c r="AL110" s="1" t="n">
        <f aca="false">AK110-AJ110</f>
        <v>1</v>
      </c>
      <c r="AU110" s="1" t="n">
        <v>2</v>
      </c>
      <c r="AV110" s="1" t="n">
        <v>2</v>
      </c>
      <c r="AW110" s="1" t="n">
        <f aca="false">AV110-AU110</f>
        <v>0</v>
      </c>
    </row>
    <row r="111" customFormat="false" ht="16" hidden="false" customHeight="false" outlineLevel="0" collapsed="false">
      <c r="A111" s="1" t="n">
        <v>2</v>
      </c>
      <c r="B111" s="1" t="n">
        <v>2</v>
      </c>
      <c r="C111" s="1" t="n">
        <f aca="false">B111-A111</f>
        <v>0</v>
      </c>
      <c r="I111" s="1" t="n">
        <v>1</v>
      </c>
      <c r="J111" s="1" t="n">
        <v>1</v>
      </c>
      <c r="K111" s="1" t="n">
        <f aca="false">J111-I111</f>
        <v>0</v>
      </c>
      <c r="Q111" s="1" t="n">
        <v>2</v>
      </c>
      <c r="R111" s="1" t="n">
        <v>2</v>
      </c>
      <c r="S111" s="1" t="n">
        <f aca="false">R111-Q111</f>
        <v>0</v>
      </c>
      <c r="Z111" s="1" t="n">
        <v>4</v>
      </c>
      <c r="AA111" s="1" t="n">
        <v>4</v>
      </c>
      <c r="AB111" s="1" t="n">
        <f aca="false">AA111-Z111</f>
        <v>0</v>
      </c>
      <c r="AJ111" s="1" t="n">
        <v>2</v>
      </c>
      <c r="AK111" s="1" t="n">
        <v>4</v>
      </c>
      <c r="AL111" s="1" t="n">
        <f aca="false">AK111-AJ111</f>
        <v>2</v>
      </c>
      <c r="AU111" s="1" t="n">
        <v>1</v>
      </c>
      <c r="AV111" s="1" t="n">
        <v>3</v>
      </c>
      <c r="AW111" s="1" t="n">
        <f aca="false">AV111-AU111</f>
        <v>2</v>
      </c>
    </row>
    <row r="112" customFormat="false" ht="16" hidden="false" customHeight="false" outlineLevel="0" collapsed="false">
      <c r="A112" s="1" t="n">
        <v>2</v>
      </c>
      <c r="B112" s="1" t="n">
        <v>2</v>
      </c>
      <c r="C112" s="1" t="n">
        <f aca="false">B112-A112</f>
        <v>0</v>
      </c>
      <c r="I112" s="1" t="n">
        <v>1</v>
      </c>
      <c r="J112" s="1" t="n">
        <v>1</v>
      </c>
      <c r="K112" s="1" t="n">
        <f aca="false">J112-I112</f>
        <v>0</v>
      </c>
      <c r="Q112" s="1" t="n">
        <v>1</v>
      </c>
      <c r="R112" s="1" t="n">
        <v>2</v>
      </c>
      <c r="S112" s="1" t="n">
        <f aca="false">R112-Q112</f>
        <v>1</v>
      </c>
      <c r="Z112" s="1" t="n">
        <v>2</v>
      </c>
      <c r="AA112" s="1" t="n">
        <v>4</v>
      </c>
      <c r="AB112" s="1" t="n">
        <f aca="false">AA112-Z112</f>
        <v>2</v>
      </c>
      <c r="AJ112" s="1" t="n">
        <v>4</v>
      </c>
      <c r="AK112" s="1" t="n">
        <v>8</v>
      </c>
      <c r="AL112" s="1" t="n">
        <f aca="false">AK112-AJ112</f>
        <v>4</v>
      </c>
      <c r="AU112" s="1" t="n">
        <v>4</v>
      </c>
      <c r="AV112" s="1" t="n">
        <v>4</v>
      </c>
      <c r="AW112" s="1" t="n">
        <f aca="false">AV112-AU112</f>
        <v>0</v>
      </c>
    </row>
    <row r="113" customFormat="false" ht="16" hidden="false" customHeight="false" outlineLevel="0" collapsed="false">
      <c r="A113" s="1" t="n">
        <v>1</v>
      </c>
      <c r="B113" s="1" t="n">
        <v>1</v>
      </c>
      <c r="C113" s="1" t="n">
        <f aca="false">B113-A113</f>
        <v>0</v>
      </c>
      <c r="I113" s="1" t="n">
        <v>2</v>
      </c>
      <c r="J113" s="1" t="n">
        <v>2</v>
      </c>
      <c r="K113" s="1" t="n">
        <f aca="false">J113-I113</f>
        <v>0</v>
      </c>
      <c r="Q113" s="1" t="n">
        <v>2</v>
      </c>
      <c r="R113" s="1" t="n">
        <v>3</v>
      </c>
      <c r="S113" s="1" t="n">
        <f aca="false">R113-Q113</f>
        <v>1</v>
      </c>
      <c r="Z113" s="1" t="n">
        <v>3</v>
      </c>
      <c r="AA113" s="1" t="n">
        <v>5</v>
      </c>
      <c r="AB113" s="1" t="n">
        <f aca="false">AA113-Z113</f>
        <v>2</v>
      </c>
      <c r="AJ113" s="1" t="n">
        <v>4</v>
      </c>
      <c r="AK113" s="1" t="n">
        <v>4</v>
      </c>
      <c r="AL113" s="1" t="n">
        <f aca="false">AK113-AJ113</f>
        <v>0</v>
      </c>
      <c r="AU113" s="1" t="n">
        <v>2</v>
      </c>
      <c r="AV113" s="1" t="n">
        <v>2</v>
      </c>
      <c r="AW113" s="1" t="n">
        <f aca="false">AV113-AU113</f>
        <v>0</v>
      </c>
    </row>
    <row r="114" customFormat="false" ht="16" hidden="false" customHeight="false" outlineLevel="0" collapsed="false">
      <c r="A114" s="1" t="n">
        <v>1</v>
      </c>
      <c r="B114" s="1" t="n">
        <v>1</v>
      </c>
      <c r="C114" s="1" t="n">
        <f aca="false">B114-A114</f>
        <v>0</v>
      </c>
      <c r="I114" s="1" t="n">
        <v>2</v>
      </c>
      <c r="J114" s="1" t="n">
        <v>2</v>
      </c>
      <c r="K114" s="1" t="n">
        <f aca="false">J114-I114</f>
        <v>0</v>
      </c>
      <c r="Q114" s="1" t="n">
        <v>1</v>
      </c>
      <c r="R114" s="1" t="n">
        <v>2</v>
      </c>
      <c r="S114" s="1" t="n">
        <f aca="false">R114-Q114</f>
        <v>1</v>
      </c>
      <c r="Z114" s="1" t="n">
        <v>2</v>
      </c>
      <c r="AA114" s="1" t="n">
        <v>6</v>
      </c>
      <c r="AB114" s="1" t="n">
        <f aca="false">AA114-Z114</f>
        <v>4</v>
      </c>
      <c r="AJ114" s="1" t="n">
        <v>2</v>
      </c>
      <c r="AK114" s="1" t="n">
        <v>4</v>
      </c>
      <c r="AL114" s="1" t="n">
        <f aca="false">AK114-AJ114</f>
        <v>2</v>
      </c>
      <c r="AU114" s="1" t="n">
        <v>1</v>
      </c>
      <c r="AV114" s="1" t="n">
        <v>1</v>
      </c>
      <c r="AW114" s="1" t="n">
        <f aca="false">AV114-AU114</f>
        <v>0</v>
      </c>
    </row>
    <row r="115" customFormat="false" ht="16" hidden="false" customHeight="false" outlineLevel="0" collapsed="false">
      <c r="A115" s="1" t="n">
        <v>1</v>
      </c>
      <c r="B115" s="1" t="n">
        <v>1</v>
      </c>
      <c r="C115" s="1" t="n">
        <f aca="false">B115-A115</f>
        <v>0</v>
      </c>
      <c r="I115" s="1" t="n">
        <v>2</v>
      </c>
      <c r="J115" s="1" t="n">
        <v>2</v>
      </c>
      <c r="K115" s="1" t="n">
        <f aca="false">J115-I115</f>
        <v>0</v>
      </c>
      <c r="Q115" s="1" t="n">
        <v>2</v>
      </c>
      <c r="R115" s="1" t="n">
        <v>3</v>
      </c>
      <c r="S115" s="1" t="n">
        <f aca="false">R115-Q115</f>
        <v>1</v>
      </c>
      <c r="Z115" s="1" t="n">
        <v>2</v>
      </c>
      <c r="AA115" s="1" t="n">
        <v>2</v>
      </c>
      <c r="AB115" s="1" t="n">
        <f aca="false">AA115-Z115</f>
        <v>0</v>
      </c>
      <c r="AJ115" s="1" t="n">
        <v>2</v>
      </c>
      <c r="AK115" s="1" t="n">
        <v>7</v>
      </c>
      <c r="AL115" s="1" t="n">
        <f aca="false">AK115-AJ115</f>
        <v>5</v>
      </c>
      <c r="AU115" s="1" t="n">
        <v>1</v>
      </c>
      <c r="AV115" s="1" t="n">
        <v>1</v>
      </c>
      <c r="AW115" s="1" t="n">
        <f aca="false">AV115-AU115</f>
        <v>0</v>
      </c>
    </row>
    <row r="116" customFormat="false" ht="16" hidden="false" customHeight="false" outlineLevel="0" collapsed="false">
      <c r="A116" s="1" t="n">
        <v>1</v>
      </c>
      <c r="B116" s="1" t="n">
        <v>1</v>
      </c>
      <c r="C116" s="1" t="n">
        <f aca="false">B116-A116</f>
        <v>0</v>
      </c>
      <c r="I116" s="1" t="n">
        <v>2</v>
      </c>
      <c r="J116" s="1" t="n">
        <v>2</v>
      </c>
      <c r="K116" s="1" t="n">
        <f aca="false">J116-I116</f>
        <v>0</v>
      </c>
      <c r="Q116" s="1" t="n">
        <v>2</v>
      </c>
      <c r="R116" s="1" t="n">
        <v>3</v>
      </c>
      <c r="S116" s="1" t="n">
        <f aca="false">R116-Q116</f>
        <v>1</v>
      </c>
      <c r="Z116" s="1" t="n">
        <v>1</v>
      </c>
      <c r="AA116" s="1" t="n">
        <v>2</v>
      </c>
      <c r="AB116" s="1" t="n">
        <f aca="false">AA116-Z116</f>
        <v>1</v>
      </c>
      <c r="AJ116" s="1" t="n">
        <v>2</v>
      </c>
      <c r="AK116" s="1" t="n">
        <v>2</v>
      </c>
      <c r="AL116" s="1" t="n">
        <f aca="false">AK116-AJ116</f>
        <v>0</v>
      </c>
      <c r="AU116" s="1" t="n">
        <v>1</v>
      </c>
      <c r="AV116" s="1" t="n">
        <v>3</v>
      </c>
      <c r="AW116" s="1" t="n">
        <f aca="false">AV116-AU116</f>
        <v>2</v>
      </c>
    </row>
    <row r="117" customFormat="false" ht="16" hidden="false" customHeight="false" outlineLevel="0" collapsed="false">
      <c r="A117" s="4"/>
      <c r="B117" s="4"/>
      <c r="C117" s="4"/>
      <c r="I117" s="1" t="n">
        <v>2</v>
      </c>
      <c r="J117" s="1" t="n">
        <v>2</v>
      </c>
      <c r="K117" s="1" t="n">
        <f aca="false">J117-I117</f>
        <v>0</v>
      </c>
      <c r="Q117" s="1" t="n">
        <v>4</v>
      </c>
      <c r="R117" s="1" t="n">
        <v>4</v>
      </c>
      <c r="S117" s="1" t="n">
        <f aca="false">R117-Q117</f>
        <v>0</v>
      </c>
      <c r="Z117" s="1" t="n">
        <v>2</v>
      </c>
      <c r="AA117" s="1" t="n">
        <v>2</v>
      </c>
      <c r="AB117" s="1" t="n">
        <f aca="false">AA117-Z117</f>
        <v>0</v>
      </c>
      <c r="AJ117" s="1" t="n">
        <v>3</v>
      </c>
      <c r="AK117" s="1" t="n">
        <v>5</v>
      </c>
      <c r="AL117" s="1" t="n">
        <f aca="false">AK117-AJ117</f>
        <v>2</v>
      </c>
      <c r="AU117" s="1" t="n">
        <v>2</v>
      </c>
      <c r="AV117" s="1" t="n">
        <v>4</v>
      </c>
      <c r="AW117" s="1" t="n">
        <f aca="false">AV117-AU117</f>
        <v>2</v>
      </c>
    </row>
    <row r="118" customFormat="false" ht="16" hidden="false" customHeight="false" outlineLevel="0" collapsed="false">
      <c r="I118" s="1" t="n">
        <v>2</v>
      </c>
      <c r="J118" s="1" t="n">
        <v>2</v>
      </c>
      <c r="K118" s="1" t="n">
        <f aca="false">J118-I118</f>
        <v>0</v>
      </c>
      <c r="Q118" s="1" t="n">
        <v>4</v>
      </c>
      <c r="R118" s="1" t="n">
        <v>4</v>
      </c>
      <c r="S118" s="1" t="n">
        <f aca="false">R118-Q118</f>
        <v>0</v>
      </c>
      <c r="Z118" s="1" t="n">
        <v>2</v>
      </c>
      <c r="AA118" s="1" t="n">
        <v>3</v>
      </c>
      <c r="AB118" s="1" t="n">
        <f aca="false">AA118-Z118</f>
        <v>1</v>
      </c>
      <c r="AJ118" s="1" t="n">
        <v>2</v>
      </c>
      <c r="AK118" s="1" t="n">
        <v>2</v>
      </c>
      <c r="AL118" s="1" t="n">
        <f aca="false">AK118-AJ118</f>
        <v>0</v>
      </c>
      <c r="AU118" s="1" t="n">
        <v>3</v>
      </c>
      <c r="AV118" s="1" t="n">
        <v>3</v>
      </c>
      <c r="AW118" s="1" t="n">
        <f aca="false">AV118-AU118</f>
        <v>0</v>
      </c>
    </row>
    <row r="119" customFormat="false" ht="16" hidden="false" customHeight="false" outlineLevel="0" collapsed="false">
      <c r="I119" s="1" t="n">
        <v>2</v>
      </c>
      <c r="J119" s="1" t="n">
        <v>2</v>
      </c>
      <c r="K119" s="1" t="n">
        <f aca="false">J119-I119</f>
        <v>0</v>
      </c>
      <c r="Q119" s="1" t="n">
        <v>4</v>
      </c>
      <c r="R119" s="1" t="n">
        <v>4</v>
      </c>
      <c r="S119" s="1" t="n">
        <f aca="false">R119-Q119</f>
        <v>0</v>
      </c>
      <c r="Z119" s="1" t="n">
        <v>2</v>
      </c>
      <c r="AA119" s="1" t="n">
        <v>2</v>
      </c>
      <c r="AB119" s="1" t="n">
        <f aca="false">AA119-Z119</f>
        <v>0</v>
      </c>
      <c r="AJ119" s="1" t="n">
        <v>2</v>
      </c>
      <c r="AK119" s="1" t="n">
        <v>3</v>
      </c>
      <c r="AL119" s="1" t="n">
        <f aca="false">AK119-AJ119</f>
        <v>1</v>
      </c>
      <c r="AU119" s="1" t="n">
        <v>3</v>
      </c>
      <c r="AV119" s="1" t="n">
        <v>3</v>
      </c>
      <c r="AW119" s="1" t="n">
        <f aca="false">AV119-AU119</f>
        <v>0</v>
      </c>
    </row>
    <row r="120" customFormat="false" ht="16" hidden="false" customHeight="false" outlineLevel="0" collapsed="false">
      <c r="I120" s="1" t="n">
        <v>2</v>
      </c>
      <c r="J120" s="1" t="n">
        <v>2</v>
      </c>
      <c r="K120" s="1" t="n">
        <f aca="false">J120-I120</f>
        <v>0</v>
      </c>
      <c r="Q120" s="1" t="n">
        <v>2</v>
      </c>
      <c r="R120" s="1" t="n">
        <v>2</v>
      </c>
      <c r="S120" s="1" t="n">
        <f aca="false">R120-Q120</f>
        <v>0</v>
      </c>
      <c r="Z120" s="1" t="n">
        <v>2</v>
      </c>
      <c r="AA120" s="1" t="n">
        <v>3</v>
      </c>
      <c r="AB120" s="1" t="n">
        <f aca="false">AA120-Z120</f>
        <v>1</v>
      </c>
      <c r="AJ120" s="1" t="n">
        <v>2</v>
      </c>
      <c r="AK120" s="1" t="n">
        <v>3</v>
      </c>
      <c r="AL120" s="1" t="n">
        <f aca="false">AK120-AJ120</f>
        <v>1</v>
      </c>
      <c r="AU120" s="1" t="n">
        <v>2</v>
      </c>
      <c r="AV120" s="1" t="n">
        <v>4</v>
      </c>
      <c r="AW120" s="1" t="n">
        <f aca="false">AV120-AU120</f>
        <v>2</v>
      </c>
    </row>
    <row r="121" customFormat="false" ht="16" hidden="false" customHeight="false" outlineLevel="0" collapsed="false">
      <c r="I121" s="1" t="n">
        <v>2</v>
      </c>
      <c r="J121" s="1" t="n">
        <v>2</v>
      </c>
      <c r="K121" s="1" t="n">
        <f aca="false">J121-I121</f>
        <v>0</v>
      </c>
      <c r="Q121" s="1" t="n">
        <v>2</v>
      </c>
      <c r="R121" s="1" t="n">
        <v>2</v>
      </c>
      <c r="S121" s="1" t="n">
        <f aca="false">R121-Q121</f>
        <v>0</v>
      </c>
      <c r="Z121" s="1" t="n">
        <v>1</v>
      </c>
      <c r="AA121" s="1" t="n">
        <v>2</v>
      </c>
      <c r="AB121" s="1" t="n">
        <f aca="false">AA121-Z121</f>
        <v>1</v>
      </c>
      <c r="AJ121" s="1" t="n">
        <v>2</v>
      </c>
      <c r="AK121" s="1" t="n">
        <v>3</v>
      </c>
      <c r="AL121" s="1" t="n">
        <f aca="false">AK121-AJ121</f>
        <v>1</v>
      </c>
      <c r="AU121" s="1" t="n">
        <v>2</v>
      </c>
      <c r="AV121" s="1" t="n">
        <v>4</v>
      </c>
      <c r="AW121" s="1" t="n">
        <f aca="false">AV121-AU121</f>
        <v>2</v>
      </c>
    </row>
    <row r="122" customFormat="false" ht="16" hidden="false" customHeight="false" outlineLevel="0" collapsed="false">
      <c r="I122" s="1" t="n">
        <v>2</v>
      </c>
      <c r="J122" s="1" t="n">
        <v>2</v>
      </c>
      <c r="K122" s="1" t="n">
        <f aca="false">J122-I122</f>
        <v>0</v>
      </c>
      <c r="Q122" s="1" t="n">
        <v>3</v>
      </c>
      <c r="R122" s="1" t="n">
        <v>3</v>
      </c>
      <c r="S122" s="1" t="n">
        <f aca="false">R122-Q122</f>
        <v>0</v>
      </c>
      <c r="Z122" s="1" t="n">
        <v>4</v>
      </c>
      <c r="AA122" s="1" t="n">
        <v>4</v>
      </c>
      <c r="AB122" s="1" t="n">
        <f aca="false">AA122-Z122</f>
        <v>0</v>
      </c>
      <c r="AJ122" s="1" t="n">
        <v>3</v>
      </c>
      <c r="AK122" s="1" t="n">
        <v>5</v>
      </c>
      <c r="AL122" s="1" t="n">
        <f aca="false">AK122-AJ122</f>
        <v>2</v>
      </c>
      <c r="AU122" s="1" t="n">
        <v>2</v>
      </c>
      <c r="AV122" s="1" t="n">
        <v>4</v>
      </c>
      <c r="AW122" s="1" t="n">
        <f aca="false">AV122-AU122</f>
        <v>2</v>
      </c>
    </row>
    <row r="123" customFormat="false" ht="16" hidden="false" customHeight="false" outlineLevel="0" collapsed="false">
      <c r="I123" s="1" t="n">
        <v>2</v>
      </c>
      <c r="J123" s="1" t="n">
        <v>2</v>
      </c>
      <c r="K123" s="1" t="n">
        <f aca="false">J123-I123</f>
        <v>0</v>
      </c>
      <c r="Q123" s="1" t="n">
        <v>2</v>
      </c>
      <c r="R123" s="1" t="n">
        <v>2</v>
      </c>
      <c r="S123" s="1" t="n">
        <f aca="false">R123-Q123</f>
        <v>0</v>
      </c>
      <c r="Z123" s="1" t="n">
        <v>1</v>
      </c>
      <c r="AA123" s="1" t="n">
        <v>2</v>
      </c>
      <c r="AB123" s="1" t="n">
        <f aca="false">AA123-Z123</f>
        <v>1</v>
      </c>
      <c r="AJ123" s="1" t="n">
        <v>4</v>
      </c>
      <c r="AK123" s="1" t="n">
        <v>6</v>
      </c>
      <c r="AL123" s="1" t="n">
        <f aca="false">AK123-AJ123</f>
        <v>2</v>
      </c>
      <c r="AU123" s="1" t="n">
        <v>2</v>
      </c>
      <c r="AV123" s="1" t="n">
        <v>2</v>
      </c>
      <c r="AW123" s="1" t="n">
        <f aca="false">AV123-AU123</f>
        <v>0</v>
      </c>
    </row>
    <row r="124" customFormat="false" ht="16" hidden="false" customHeight="false" outlineLevel="0" collapsed="false">
      <c r="I124" s="1" t="n">
        <v>2</v>
      </c>
      <c r="J124" s="1" t="n">
        <v>2</v>
      </c>
      <c r="K124" s="1" t="n">
        <f aca="false">J124-I124</f>
        <v>0</v>
      </c>
      <c r="Q124" s="1" t="n">
        <v>2</v>
      </c>
      <c r="R124" s="1" t="n">
        <v>2</v>
      </c>
      <c r="S124" s="1" t="n">
        <f aca="false">R124-Q124</f>
        <v>0</v>
      </c>
      <c r="Z124" s="1" t="n">
        <v>1</v>
      </c>
      <c r="AA124" s="1" t="n">
        <v>1</v>
      </c>
      <c r="AB124" s="1" t="n">
        <f aca="false">AA124-Z124</f>
        <v>0</v>
      </c>
      <c r="AJ124" s="1" t="n">
        <v>4</v>
      </c>
      <c r="AK124" s="1" t="n">
        <v>5</v>
      </c>
      <c r="AL124" s="1" t="n">
        <f aca="false">AK124-AJ124</f>
        <v>1</v>
      </c>
      <c r="AU124" s="1" t="n">
        <v>2</v>
      </c>
      <c r="AV124" s="1" t="n">
        <v>3</v>
      </c>
      <c r="AW124" s="1" t="n">
        <f aca="false">AV124-AU124</f>
        <v>1</v>
      </c>
    </row>
    <row r="125" customFormat="false" ht="16" hidden="false" customHeight="false" outlineLevel="0" collapsed="false">
      <c r="I125" s="1" t="n">
        <v>1</v>
      </c>
      <c r="J125" s="1" t="n">
        <v>1</v>
      </c>
      <c r="K125" s="1" t="n">
        <f aca="false">J125-I125</f>
        <v>0</v>
      </c>
      <c r="Q125" s="1" t="n">
        <v>2</v>
      </c>
      <c r="R125" s="1" t="n">
        <v>2</v>
      </c>
      <c r="S125" s="1" t="n">
        <f aca="false">R125-Q125</f>
        <v>0</v>
      </c>
      <c r="Z125" s="1" t="n">
        <v>1</v>
      </c>
      <c r="AA125" s="1" t="n">
        <v>2</v>
      </c>
      <c r="AB125" s="1" t="n">
        <f aca="false">AA125-Z125</f>
        <v>1</v>
      </c>
      <c r="AJ125" s="1" t="n">
        <v>2</v>
      </c>
      <c r="AK125" s="1" t="n">
        <v>2</v>
      </c>
      <c r="AL125" s="1" t="n">
        <f aca="false">AK125-AJ125</f>
        <v>0</v>
      </c>
      <c r="AU125" s="1" t="n">
        <v>2</v>
      </c>
      <c r="AV125" s="1" t="n">
        <v>4</v>
      </c>
      <c r="AW125" s="1" t="n">
        <f aca="false">AV125-AU125</f>
        <v>2</v>
      </c>
    </row>
    <row r="126" customFormat="false" ht="16" hidden="false" customHeight="false" outlineLevel="0" collapsed="false">
      <c r="I126" s="1" t="n">
        <v>2</v>
      </c>
      <c r="J126" s="1" t="n">
        <v>2</v>
      </c>
      <c r="K126" s="1" t="n">
        <f aca="false">J126-I126</f>
        <v>0</v>
      </c>
      <c r="Q126" s="1" t="n">
        <v>2</v>
      </c>
      <c r="R126" s="1" t="n">
        <v>2</v>
      </c>
      <c r="S126" s="1" t="n">
        <f aca="false">R126-Q126</f>
        <v>0</v>
      </c>
      <c r="Z126" s="1" t="n">
        <v>2</v>
      </c>
      <c r="AA126" s="1" t="n">
        <v>2</v>
      </c>
      <c r="AB126" s="1" t="n">
        <f aca="false">AA126-Z126</f>
        <v>0</v>
      </c>
      <c r="AJ126" s="1" t="n">
        <v>2</v>
      </c>
      <c r="AK126" s="1" t="n">
        <v>2</v>
      </c>
      <c r="AL126" s="1" t="n">
        <f aca="false">AK126-AJ126</f>
        <v>0</v>
      </c>
      <c r="AU126" s="1" t="n">
        <v>1</v>
      </c>
      <c r="AV126" s="1" t="n">
        <v>4</v>
      </c>
      <c r="AW126" s="1" t="n">
        <f aca="false">AV126-AU126</f>
        <v>3</v>
      </c>
    </row>
    <row r="127" customFormat="false" ht="16" hidden="false" customHeight="false" outlineLevel="0" collapsed="false">
      <c r="I127" s="1" t="n">
        <v>1</v>
      </c>
      <c r="J127" s="1" t="n">
        <v>1</v>
      </c>
      <c r="K127" s="1" t="n">
        <f aca="false">J127-I127</f>
        <v>0</v>
      </c>
      <c r="Q127" s="1" t="n">
        <v>1</v>
      </c>
      <c r="R127" s="1" t="n">
        <v>2</v>
      </c>
      <c r="S127" s="1" t="n">
        <f aca="false">R127-Q127</f>
        <v>1</v>
      </c>
      <c r="Z127" s="1" t="n">
        <v>1</v>
      </c>
      <c r="AA127" s="1" t="n">
        <v>3</v>
      </c>
      <c r="AB127" s="1" t="n">
        <f aca="false">AA127-Z127</f>
        <v>2</v>
      </c>
      <c r="AJ127" s="1" t="n">
        <v>2</v>
      </c>
      <c r="AK127" s="1" t="n">
        <v>2</v>
      </c>
      <c r="AL127" s="1" t="n">
        <f aca="false">AK127-AJ127</f>
        <v>0</v>
      </c>
      <c r="AU127" s="1" t="n">
        <v>2</v>
      </c>
      <c r="AV127" s="1" t="n">
        <v>4</v>
      </c>
      <c r="AW127" s="1" t="n">
        <f aca="false">AV127-AU127</f>
        <v>2</v>
      </c>
    </row>
    <row r="128" customFormat="false" ht="16" hidden="false" customHeight="false" outlineLevel="0" collapsed="false">
      <c r="I128" s="1" t="n">
        <v>1</v>
      </c>
      <c r="J128" s="1" t="n">
        <v>1</v>
      </c>
      <c r="K128" s="1" t="n">
        <f aca="false">J128-I128</f>
        <v>0</v>
      </c>
      <c r="Q128" s="1" t="n">
        <v>2</v>
      </c>
      <c r="R128" s="1" t="n">
        <v>2</v>
      </c>
      <c r="S128" s="1" t="n">
        <f aca="false">R128-Q128</f>
        <v>0</v>
      </c>
      <c r="Z128" s="1" t="n">
        <v>1</v>
      </c>
      <c r="AA128" s="1" t="n">
        <v>2</v>
      </c>
      <c r="AB128" s="1" t="n">
        <f aca="false">AA128-Z128</f>
        <v>1</v>
      </c>
      <c r="AJ128" s="1" t="n">
        <v>2</v>
      </c>
      <c r="AK128" s="1" t="n">
        <v>2</v>
      </c>
      <c r="AL128" s="1" t="n">
        <f aca="false">AK128-AJ128</f>
        <v>0</v>
      </c>
      <c r="AU128" s="1" t="n">
        <v>2</v>
      </c>
      <c r="AV128" s="1" t="n">
        <v>2</v>
      </c>
      <c r="AW128" s="1" t="n">
        <f aca="false">AV128-AU128</f>
        <v>0</v>
      </c>
    </row>
    <row r="129" customFormat="false" ht="16" hidden="false" customHeight="false" outlineLevel="0" collapsed="false">
      <c r="I129" s="1" t="n">
        <v>2</v>
      </c>
      <c r="J129" s="1" t="n">
        <v>2</v>
      </c>
      <c r="K129" s="1" t="n">
        <f aca="false">J129-I129</f>
        <v>0</v>
      </c>
      <c r="Q129" s="1" t="n">
        <v>2</v>
      </c>
      <c r="R129" s="1" t="n">
        <v>2</v>
      </c>
      <c r="S129" s="1" t="n">
        <f aca="false">R129-Q129</f>
        <v>0</v>
      </c>
      <c r="Z129" s="1" t="n">
        <v>1</v>
      </c>
      <c r="AA129" s="1" t="n">
        <v>2</v>
      </c>
      <c r="AB129" s="1" t="n">
        <f aca="false">AA129-Z129</f>
        <v>1</v>
      </c>
      <c r="AJ129" s="1" t="n">
        <v>2</v>
      </c>
      <c r="AK129" s="1" t="n">
        <v>3</v>
      </c>
      <c r="AL129" s="1" t="n">
        <f aca="false">AK129-AJ129</f>
        <v>1</v>
      </c>
      <c r="AU129" s="1" t="n">
        <v>1</v>
      </c>
      <c r="AV129" s="1" t="n">
        <v>2</v>
      </c>
      <c r="AW129" s="1" t="n">
        <f aca="false">AV129-AU129</f>
        <v>1</v>
      </c>
    </row>
    <row r="130" customFormat="false" ht="16" hidden="false" customHeight="false" outlineLevel="0" collapsed="false">
      <c r="I130" s="1" t="n">
        <v>1</v>
      </c>
      <c r="J130" s="1" t="n">
        <v>2</v>
      </c>
      <c r="K130" s="1" t="n">
        <f aca="false">J130-I130</f>
        <v>1</v>
      </c>
      <c r="Q130" s="1" t="n">
        <v>2</v>
      </c>
      <c r="R130" s="1" t="n">
        <v>2</v>
      </c>
      <c r="S130" s="1" t="n">
        <f aca="false">R130-Q130</f>
        <v>0</v>
      </c>
      <c r="Z130" s="1" t="n">
        <v>1</v>
      </c>
      <c r="AA130" s="1" t="n">
        <v>1</v>
      </c>
      <c r="AB130" s="1" t="n">
        <f aca="false">AA130-Z130</f>
        <v>0</v>
      </c>
      <c r="AJ130" s="1" t="n">
        <v>2</v>
      </c>
      <c r="AK130" s="1" t="n">
        <v>3</v>
      </c>
      <c r="AL130" s="1" t="n">
        <f aca="false">AK130-AJ130</f>
        <v>1</v>
      </c>
      <c r="AU130" s="1" t="n">
        <v>2</v>
      </c>
      <c r="AV130" s="1" t="n">
        <v>2</v>
      </c>
      <c r="AW130" s="1" t="n">
        <f aca="false">AV130-AU130</f>
        <v>0</v>
      </c>
    </row>
    <row r="131" customFormat="false" ht="16" hidden="false" customHeight="false" outlineLevel="0" collapsed="false">
      <c r="I131" s="1" t="n">
        <v>3</v>
      </c>
      <c r="J131" s="1" t="n">
        <v>3</v>
      </c>
      <c r="K131" s="1" t="n">
        <f aca="false">J131-I131</f>
        <v>0</v>
      </c>
      <c r="Q131" s="1" t="n">
        <v>2</v>
      </c>
      <c r="R131" s="1" t="n">
        <v>2</v>
      </c>
      <c r="S131" s="1" t="n">
        <f aca="false">R131-Q131</f>
        <v>0</v>
      </c>
      <c r="Z131" s="1" t="n">
        <v>1</v>
      </c>
      <c r="AA131" s="1" t="n">
        <v>1</v>
      </c>
      <c r="AB131" s="1" t="n">
        <f aca="false">AA131-Z131</f>
        <v>0</v>
      </c>
      <c r="AJ131" s="1" t="n">
        <v>2</v>
      </c>
      <c r="AK131" s="1" t="n">
        <v>3</v>
      </c>
      <c r="AL131" s="1" t="n">
        <f aca="false">AK131-AJ131</f>
        <v>1</v>
      </c>
      <c r="AU131" s="1" t="n">
        <v>1</v>
      </c>
      <c r="AV131" s="1" t="n">
        <v>3</v>
      </c>
      <c r="AW131" s="1" t="n">
        <f aca="false">AV131-AU131</f>
        <v>2</v>
      </c>
    </row>
    <row r="132" customFormat="false" ht="16" hidden="false" customHeight="false" outlineLevel="0" collapsed="false">
      <c r="I132" s="1" t="n">
        <v>3</v>
      </c>
      <c r="J132" s="1" t="n">
        <v>3</v>
      </c>
      <c r="K132" s="1" t="n">
        <f aca="false">J132-I132</f>
        <v>0</v>
      </c>
      <c r="Q132" s="1" t="n">
        <v>1</v>
      </c>
      <c r="R132" s="1" t="n">
        <v>1</v>
      </c>
      <c r="S132" s="1" t="n">
        <f aca="false">R132-Q132</f>
        <v>0</v>
      </c>
      <c r="Z132" s="1" t="n">
        <v>2</v>
      </c>
      <c r="AA132" s="1" t="n">
        <v>5</v>
      </c>
      <c r="AB132" s="1" t="n">
        <f aca="false">AA132-Z132</f>
        <v>3</v>
      </c>
      <c r="AJ132" s="1" t="n">
        <v>2</v>
      </c>
      <c r="AK132" s="1" t="n">
        <v>3</v>
      </c>
      <c r="AL132" s="1" t="n">
        <f aca="false">AK132-AJ132</f>
        <v>1</v>
      </c>
      <c r="AU132" s="1" t="n">
        <v>1</v>
      </c>
      <c r="AV132" s="1" t="n">
        <v>1</v>
      </c>
      <c r="AW132" s="1" t="n">
        <f aca="false">AV132-AU132</f>
        <v>0</v>
      </c>
    </row>
    <row r="133" customFormat="false" ht="16" hidden="false" customHeight="false" outlineLevel="0" collapsed="false">
      <c r="I133" s="1" t="n">
        <v>1</v>
      </c>
      <c r="J133" s="1" t="n">
        <v>1</v>
      </c>
      <c r="K133" s="1" t="n">
        <f aca="false">J133-I133</f>
        <v>0</v>
      </c>
      <c r="Q133" s="1" t="n">
        <v>2</v>
      </c>
      <c r="R133" s="1" t="n">
        <v>2</v>
      </c>
      <c r="S133" s="1" t="n">
        <f aca="false">R133-Q133</f>
        <v>0</v>
      </c>
      <c r="Z133" s="1" t="n">
        <v>2</v>
      </c>
      <c r="AA133" s="1" t="n">
        <v>3</v>
      </c>
      <c r="AB133" s="1" t="n">
        <f aca="false">AA133-Z133</f>
        <v>1</v>
      </c>
      <c r="AJ133" s="1" t="n">
        <v>2</v>
      </c>
      <c r="AK133" s="1" t="n">
        <v>5</v>
      </c>
      <c r="AL133" s="1" t="n">
        <f aca="false">AK133-AJ133</f>
        <v>3</v>
      </c>
      <c r="AU133" s="1" t="n">
        <v>2</v>
      </c>
      <c r="AV133" s="1" t="n">
        <v>4</v>
      </c>
      <c r="AW133" s="1" t="n">
        <f aca="false">AV133-AU133</f>
        <v>2</v>
      </c>
    </row>
    <row r="134" customFormat="false" ht="16" hidden="false" customHeight="false" outlineLevel="0" collapsed="false">
      <c r="I134" s="1" t="n">
        <v>2</v>
      </c>
      <c r="J134" s="1" t="n">
        <v>2</v>
      </c>
      <c r="K134" s="1" t="n">
        <f aca="false">J134-I134</f>
        <v>0</v>
      </c>
      <c r="Q134" s="1" t="n">
        <v>2</v>
      </c>
      <c r="R134" s="1" t="n">
        <v>2</v>
      </c>
      <c r="S134" s="1" t="n">
        <f aca="false">R134-Q134</f>
        <v>0</v>
      </c>
      <c r="Z134" s="1" t="n">
        <v>2</v>
      </c>
      <c r="AA134" s="1" t="n">
        <v>4</v>
      </c>
      <c r="AB134" s="1" t="n">
        <f aca="false">AA134-Z134</f>
        <v>2</v>
      </c>
      <c r="AJ134" s="1" t="n">
        <v>2</v>
      </c>
      <c r="AK134" s="1" t="n">
        <v>2</v>
      </c>
      <c r="AL134" s="1" t="n">
        <f aca="false">AK134-AJ134</f>
        <v>0</v>
      </c>
      <c r="AU134" s="1" t="n">
        <v>5</v>
      </c>
      <c r="AV134" s="1" t="n">
        <v>7</v>
      </c>
      <c r="AW134" s="1" t="n">
        <f aca="false">AV134-AU134</f>
        <v>2</v>
      </c>
    </row>
    <row r="135" customFormat="false" ht="16" hidden="false" customHeight="false" outlineLevel="0" collapsed="false">
      <c r="I135" s="1" t="n">
        <v>2</v>
      </c>
      <c r="J135" s="1" t="n">
        <v>2</v>
      </c>
      <c r="K135" s="1" t="n">
        <f aca="false">J135-I135</f>
        <v>0</v>
      </c>
      <c r="Q135" s="1" t="n">
        <v>2</v>
      </c>
      <c r="R135" s="1" t="n">
        <v>2</v>
      </c>
      <c r="S135" s="1" t="n">
        <f aca="false">R135-Q135</f>
        <v>0</v>
      </c>
      <c r="Z135" s="1" t="n">
        <v>1</v>
      </c>
      <c r="AA135" s="1" t="n">
        <v>3</v>
      </c>
      <c r="AB135" s="1" t="n">
        <f aca="false">AA135-Z135</f>
        <v>2</v>
      </c>
      <c r="AJ135" s="1" t="n">
        <v>2</v>
      </c>
      <c r="AK135" s="1" t="n">
        <v>4</v>
      </c>
      <c r="AL135" s="1" t="n">
        <f aca="false">AK135-AJ135</f>
        <v>2</v>
      </c>
      <c r="AU135" s="1" t="n">
        <v>4</v>
      </c>
      <c r="AV135" s="1" t="n">
        <v>4</v>
      </c>
      <c r="AW135" s="1" t="n">
        <f aca="false">AV135-AU135</f>
        <v>0</v>
      </c>
    </row>
    <row r="136" customFormat="false" ht="16" hidden="false" customHeight="false" outlineLevel="0" collapsed="false">
      <c r="I136" s="1" t="n">
        <v>4</v>
      </c>
      <c r="J136" s="1" t="n">
        <v>4</v>
      </c>
      <c r="K136" s="1" t="n">
        <f aca="false">J136-I136</f>
        <v>0</v>
      </c>
      <c r="Q136" s="1" t="n">
        <v>2</v>
      </c>
      <c r="R136" s="1" t="n">
        <v>2</v>
      </c>
      <c r="S136" s="1" t="n">
        <f aca="false">R136-Q136</f>
        <v>0</v>
      </c>
      <c r="Z136" s="1" t="n">
        <v>1</v>
      </c>
      <c r="AA136" s="1" t="n">
        <v>1</v>
      </c>
      <c r="AB136" s="1" t="n">
        <f aca="false">AA136-Z136</f>
        <v>0</v>
      </c>
      <c r="AJ136" s="1" t="n">
        <v>2</v>
      </c>
      <c r="AK136" s="1" t="n">
        <v>4</v>
      </c>
      <c r="AL136" s="1" t="n">
        <f aca="false">AK136-AJ136</f>
        <v>2</v>
      </c>
      <c r="AU136" s="1" t="n">
        <v>4</v>
      </c>
      <c r="AV136" s="1" t="n">
        <v>6</v>
      </c>
      <c r="AW136" s="1" t="n">
        <f aca="false">AV136-AU136</f>
        <v>2</v>
      </c>
    </row>
    <row r="137" customFormat="false" ht="16" hidden="false" customHeight="false" outlineLevel="0" collapsed="false">
      <c r="I137" s="1" t="n">
        <v>2</v>
      </c>
      <c r="J137" s="1" t="n">
        <v>2</v>
      </c>
      <c r="K137" s="1" t="n">
        <f aca="false">J137-I137</f>
        <v>0</v>
      </c>
      <c r="Q137" s="1" t="n">
        <v>2</v>
      </c>
      <c r="R137" s="1" t="n">
        <v>2</v>
      </c>
      <c r="S137" s="1" t="n">
        <f aca="false">R137-Q137</f>
        <v>0</v>
      </c>
      <c r="Z137" s="1" t="n">
        <v>1</v>
      </c>
      <c r="AA137" s="1" t="n">
        <v>2</v>
      </c>
      <c r="AB137" s="1" t="n">
        <f aca="false">AA137-Z137</f>
        <v>1</v>
      </c>
      <c r="AJ137" s="1" t="n">
        <v>2</v>
      </c>
      <c r="AK137" s="1" t="n">
        <v>4</v>
      </c>
      <c r="AL137" s="1" t="n">
        <f aca="false">AK137-AJ137</f>
        <v>2</v>
      </c>
      <c r="AU137" s="1" t="n">
        <v>4</v>
      </c>
      <c r="AV137" s="1" t="n">
        <v>4</v>
      </c>
      <c r="AW137" s="1" t="n">
        <f aca="false">AV137-AU137</f>
        <v>0</v>
      </c>
    </row>
    <row r="138" customFormat="false" ht="16" hidden="false" customHeight="false" outlineLevel="0" collapsed="false">
      <c r="I138" s="1" t="n">
        <v>1</v>
      </c>
      <c r="J138" s="1" t="n">
        <v>1</v>
      </c>
      <c r="K138" s="1" t="n">
        <f aca="false">J138-I138</f>
        <v>0</v>
      </c>
      <c r="Q138" s="4"/>
      <c r="Z138" s="1" t="n">
        <v>1</v>
      </c>
      <c r="AA138" s="1" t="n">
        <v>3</v>
      </c>
      <c r="AB138" s="1" t="n">
        <f aca="false">AA138-Z138</f>
        <v>2</v>
      </c>
      <c r="AJ138" s="1" t="n">
        <v>1</v>
      </c>
      <c r="AK138" s="1" t="n">
        <v>2</v>
      </c>
      <c r="AL138" s="1" t="n">
        <f aca="false">AK138-AJ138</f>
        <v>1</v>
      </c>
      <c r="AU138" s="1" t="n">
        <v>3</v>
      </c>
      <c r="AV138" s="1" t="n">
        <v>3</v>
      </c>
      <c r="AW138" s="1" t="n">
        <f aca="false">AV138-AU138</f>
        <v>0</v>
      </c>
    </row>
    <row r="139" customFormat="false" ht="16" hidden="false" customHeight="false" outlineLevel="0" collapsed="false">
      <c r="I139" s="1" t="n">
        <v>2</v>
      </c>
      <c r="J139" s="1" t="n">
        <v>2</v>
      </c>
      <c r="K139" s="1" t="n">
        <f aca="false">J139-I139</f>
        <v>0</v>
      </c>
      <c r="Z139" s="1" t="n">
        <v>1</v>
      </c>
      <c r="AA139" s="1" t="n">
        <v>2</v>
      </c>
      <c r="AB139" s="1" t="n">
        <f aca="false">AA139-Z139</f>
        <v>1</v>
      </c>
      <c r="AJ139" s="1" t="n">
        <v>1</v>
      </c>
      <c r="AK139" s="1" t="n">
        <v>1</v>
      </c>
      <c r="AL139" s="1" t="n">
        <f aca="false">AK139-AJ139</f>
        <v>0</v>
      </c>
      <c r="AU139" s="1" t="n">
        <v>2</v>
      </c>
      <c r="AV139" s="1" t="n">
        <v>2</v>
      </c>
      <c r="AW139" s="1" t="n">
        <f aca="false">AV139-AU139</f>
        <v>0</v>
      </c>
    </row>
    <row r="140" customFormat="false" ht="16" hidden="false" customHeight="false" outlineLevel="0" collapsed="false">
      <c r="I140" s="1" t="n">
        <v>3</v>
      </c>
      <c r="J140" s="1" t="n">
        <v>3</v>
      </c>
      <c r="K140" s="1" t="n">
        <f aca="false">J140-I140</f>
        <v>0</v>
      </c>
      <c r="Z140" s="1" t="n">
        <v>1</v>
      </c>
      <c r="AA140" s="1" t="n">
        <v>1</v>
      </c>
      <c r="AB140" s="1" t="n">
        <f aca="false">AA140-Z140</f>
        <v>0</v>
      </c>
      <c r="AJ140" s="1" t="n">
        <v>2</v>
      </c>
      <c r="AK140" s="1" t="n">
        <v>4</v>
      </c>
      <c r="AL140" s="1" t="n">
        <f aca="false">AK140-AJ140</f>
        <v>2</v>
      </c>
      <c r="AU140" s="1" t="n">
        <v>1</v>
      </c>
      <c r="AV140" s="1" t="n">
        <v>1</v>
      </c>
      <c r="AW140" s="1" t="n">
        <f aca="false">AV140-AU140</f>
        <v>0</v>
      </c>
    </row>
    <row r="141" customFormat="false" ht="16" hidden="false" customHeight="false" outlineLevel="0" collapsed="false">
      <c r="I141" s="1" t="n">
        <v>2</v>
      </c>
      <c r="J141" s="1" t="n">
        <v>2</v>
      </c>
      <c r="K141" s="1" t="n">
        <f aca="false">J141-I141</f>
        <v>0</v>
      </c>
      <c r="Z141" s="1" t="n">
        <v>2</v>
      </c>
      <c r="AA141" s="1" t="n">
        <v>2</v>
      </c>
      <c r="AB141" s="1" t="n">
        <f aca="false">AA141-Z141</f>
        <v>0</v>
      </c>
      <c r="AJ141" s="1" t="n">
        <v>2</v>
      </c>
      <c r="AK141" s="1" t="n">
        <v>4</v>
      </c>
      <c r="AL141" s="1" t="n">
        <f aca="false">AK141-AJ141</f>
        <v>2</v>
      </c>
      <c r="AU141" s="1" t="n">
        <v>4</v>
      </c>
      <c r="AV141" s="1" t="n">
        <v>5</v>
      </c>
      <c r="AW141" s="1" t="n">
        <f aca="false">AV141-AU141</f>
        <v>1</v>
      </c>
    </row>
    <row r="142" customFormat="false" ht="16" hidden="false" customHeight="false" outlineLevel="0" collapsed="false">
      <c r="I142" s="1" t="n">
        <v>2</v>
      </c>
      <c r="J142" s="1" t="n">
        <v>4</v>
      </c>
      <c r="K142" s="1" t="n">
        <f aca="false">J142-I142</f>
        <v>2</v>
      </c>
      <c r="Z142" s="1" t="n">
        <v>2</v>
      </c>
      <c r="AA142" s="1" t="n">
        <v>2</v>
      </c>
      <c r="AB142" s="1" t="n">
        <f aca="false">AA142-Z142</f>
        <v>0</v>
      </c>
      <c r="AJ142" s="1" t="n">
        <v>2</v>
      </c>
      <c r="AK142" s="1" t="n">
        <v>3</v>
      </c>
      <c r="AL142" s="1" t="n">
        <f aca="false">AK142-AJ142</f>
        <v>1</v>
      </c>
      <c r="AU142" s="1" t="n">
        <v>2</v>
      </c>
      <c r="AV142" s="1" t="n">
        <v>4</v>
      </c>
      <c r="AW142" s="1" t="n">
        <f aca="false">AV142-AU142</f>
        <v>2</v>
      </c>
    </row>
    <row r="143" customFormat="false" ht="16" hidden="false" customHeight="false" outlineLevel="0" collapsed="false">
      <c r="I143" s="1" t="n">
        <v>1</v>
      </c>
      <c r="J143" s="1" t="n">
        <v>1</v>
      </c>
      <c r="K143" s="1" t="n">
        <f aca="false">J143-I143</f>
        <v>0</v>
      </c>
      <c r="Z143" s="1" t="n">
        <v>1</v>
      </c>
      <c r="AA143" s="1" t="n">
        <v>2</v>
      </c>
      <c r="AB143" s="1" t="n">
        <f aca="false">AA143-Z143</f>
        <v>1</v>
      </c>
      <c r="AJ143" s="1" t="n">
        <v>2</v>
      </c>
      <c r="AK143" s="1" t="n">
        <v>3</v>
      </c>
      <c r="AL143" s="1" t="n">
        <f aca="false">AK143-AJ143</f>
        <v>1</v>
      </c>
      <c r="AU143" s="1" t="n">
        <v>4</v>
      </c>
      <c r="AV143" s="1" t="n">
        <v>7</v>
      </c>
      <c r="AW143" s="1" t="n">
        <f aca="false">AV143-AU143</f>
        <v>3</v>
      </c>
    </row>
    <row r="144" customFormat="false" ht="16" hidden="false" customHeight="false" outlineLevel="0" collapsed="false">
      <c r="I144" s="1" t="n">
        <v>1</v>
      </c>
      <c r="J144" s="1" t="n">
        <v>1</v>
      </c>
      <c r="K144" s="1" t="n">
        <f aca="false">J144-I144</f>
        <v>0</v>
      </c>
      <c r="Z144" s="1" t="n">
        <v>1</v>
      </c>
      <c r="AA144" s="1" t="n">
        <v>2</v>
      </c>
      <c r="AB144" s="1" t="n">
        <f aca="false">AA144-Z144</f>
        <v>1</v>
      </c>
      <c r="AJ144" s="1" t="n">
        <v>2</v>
      </c>
      <c r="AK144" s="1" t="n">
        <v>4</v>
      </c>
      <c r="AL144" s="1" t="n">
        <f aca="false">AK144-AJ144</f>
        <v>2</v>
      </c>
      <c r="AU144" s="1" t="n">
        <v>4</v>
      </c>
      <c r="AV144" s="1" t="n">
        <v>6</v>
      </c>
      <c r="AW144" s="1" t="n">
        <f aca="false">AV144-AU144</f>
        <v>2</v>
      </c>
    </row>
    <row r="145" customFormat="false" ht="16" hidden="false" customHeight="false" outlineLevel="0" collapsed="false">
      <c r="I145" s="1" t="n">
        <v>1</v>
      </c>
      <c r="J145" s="1" t="n">
        <v>1</v>
      </c>
      <c r="K145" s="1" t="n">
        <f aca="false">J145-I145</f>
        <v>0</v>
      </c>
      <c r="Z145" s="1" t="n">
        <v>1</v>
      </c>
      <c r="AA145" s="1" t="n">
        <v>1</v>
      </c>
      <c r="AB145" s="1" t="n">
        <f aca="false">AA145-Z145</f>
        <v>0</v>
      </c>
      <c r="AJ145" s="1" t="n">
        <v>2</v>
      </c>
      <c r="AK145" s="1" t="n">
        <v>5</v>
      </c>
      <c r="AL145" s="1" t="n">
        <f aca="false">AK145-AJ145</f>
        <v>3</v>
      </c>
      <c r="AU145" s="1" t="n">
        <v>2</v>
      </c>
      <c r="AV145" s="1" t="n">
        <v>4</v>
      </c>
      <c r="AW145" s="1" t="n">
        <f aca="false">AV145-AU145</f>
        <v>2</v>
      </c>
    </row>
    <row r="146" customFormat="false" ht="16" hidden="false" customHeight="false" outlineLevel="0" collapsed="false">
      <c r="I146" s="1" t="n">
        <v>1</v>
      </c>
      <c r="J146" s="1" t="n">
        <v>1</v>
      </c>
      <c r="K146" s="1" t="n">
        <f aca="false">J146-I146</f>
        <v>0</v>
      </c>
      <c r="Z146" s="1" t="n">
        <v>1</v>
      </c>
      <c r="AA146" s="1" t="n">
        <v>1</v>
      </c>
      <c r="AB146" s="1" t="n">
        <f aca="false">AA146-Z146</f>
        <v>0</v>
      </c>
      <c r="AJ146" s="1" t="n">
        <v>2</v>
      </c>
      <c r="AK146" s="1" t="n">
        <v>6</v>
      </c>
      <c r="AL146" s="1" t="n">
        <f aca="false">AK146-AJ146</f>
        <v>4</v>
      </c>
      <c r="AU146" s="1" t="n">
        <v>1</v>
      </c>
      <c r="AV146" s="1" t="n">
        <v>1</v>
      </c>
      <c r="AW146" s="1" t="n">
        <f aca="false">AV146-AU146</f>
        <v>0</v>
      </c>
    </row>
    <row r="147" customFormat="false" ht="16" hidden="false" customHeight="false" outlineLevel="0" collapsed="false">
      <c r="I147" s="1" t="n">
        <v>2</v>
      </c>
      <c r="J147" s="1" t="n">
        <v>2</v>
      </c>
      <c r="K147" s="1" t="n">
        <f aca="false">J147-I147</f>
        <v>0</v>
      </c>
      <c r="Z147" s="1" t="n">
        <v>2</v>
      </c>
      <c r="AA147" s="1" t="n">
        <v>2</v>
      </c>
      <c r="AB147" s="1" t="n">
        <f aca="false">AA147-Z147</f>
        <v>0</v>
      </c>
      <c r="AJ147" s="1" t="n">
        <v>2</v>
      </c>
      <c r="AK147" s="1" t="n">
        <v>6</v>
      </c>
      <c r="AL147" s="1" t="n">
        <f aca="false">AK147-AJ147</f>
        <v>4</v>
      </c>
      <c r="AU147" s="1" t="n">
        <v>2</v>
      </c>
      <c r="AV147" s="1" t="n">
        <v>4</v>
      </c>
      <c r="AW147" s="1" t="n">
        <f aca="false">AV147-AU147</f>
        <v>2</v>
      </c>
    </row>
    <row r="148" customFormat="false" ht="16" hidden="false" customHeight="false" outlineLevel="0" collapsed="false">
      <c r="I148" s="1" t="n">
        <v>2</v>
      </c>
      <c r="J148" s="1" t="n">
        <v>2</v>
      </c>
      <c r="K148" s="1" t="n">
        <f aca="false">J148-I148</f>
        <v>0</v>
      </c>
      <c r="Z148" s="1" t="n">
        <v>1</v>
      </c>
      <c r="AA148" s="1" t="n">
        <v>1</v>
      </c>
      <c r="AB148" s="1" t="n">
        <f aca="false">AA148-Z148</f>
        <v>0</v>
      </c>
      <c r="AJ148" s="4"/>
      <c r="AK148" s="4"/>
      <c r="AL148" s="4"/>
      <c r="AU148" s="1" t="n">
        <v>4</v>
      </c>
      <c r="AV148" s="1" t="n">
        <v>6</v>
      </c>
      <c r="AW148" s="1" t="n">
        <f aca="false">AV148-AU148</f>
        <v>2</v>
      </c>
    </row>
    <row r="149" customFormat="false" ht="16" hidden="false" customHeight="false" outlineLevel="0" collapsed="false">
      <c r="I149" s="1" t="n">
        <v>2</v>
      </c>
      <c r="J149" s="1" t="n">
        <v>2</v>
      </c>
      <c r="K149" s="1" t="n">
        <f aca="false">J149-I149</f>
        <v>0</v>
      </c>
      <c r="Z149" s="1" t="n">
        <v>2</v>
      </c>
      <c r="AA149" s="1" t="n">
        <v>2</v>
      </c>
      <c r="AB149" s="1" t="n">
        <f aca="false">AA149-Z149</f>
        <v>0</v>
      </c>
      <c r="AU149" s="1" t="n">
        <v>3</v>
      </c>
      <c r="AV149" s="1" t="n">
        <v>5</v>
      </c>
      <c r="AW149" s="1" t="n">
        <f aca="false">AV149-AU149</f>
        <v>2</v>
      </c>
    </row>
    <row r="150" customFormat="false" ht="16" hidden="false" customHeight="false" outlineLevel="0" collapsed="false">
      <c r="I150" s="1" t="n">
        <v>3</v>
      </c>
      <c r="J150" s="1" t="n">
        <v>3</v>
      </c>
      <c r="K150" s="1" t="n">
        <f aca="false">J150-I150</f>
        <v>0</v>
      </c>
      <c r="Z150" s="1" t="n">
        <v>2</v>
      </c>
      <c r="AA150" s="1" t="n">
        <v>4</v>
      </c>
      <c r="AB150" s="1" t="n">
        <f aca="false">AA150-Z150</f>
        <v>2</v>
      </c>
      <c r="AU150" s="1" t="n">
        <v>4</v>
      </c>
      <c r="AV150" s="1" t="n">
        <v>6</v>
      </c>
      <c r="AW150" s="1" t="n">
        <f aca="false">AV150-AU150</f>
        <v>2</v>
      </c>
    </row>
    <row r="151" customFormat="false" ht="16" hidden="false" customHeight="false" outlineLevel="0" collapsed="false">
      <c r="I151" s="1" t="n">
        <v>4</v>
      </c>
      <c r="J151" s="1" t="n">
        <v>4</v>
      </c>
      <c r="K151" s="1" t="n">
        <f aca="false">J151-I151</f>
        <v>0</v>
      </c>
      <c r="Z151" s="1" t="n">
        <v>2</v>
      </c>
      <c r="AA151" s="1" t="n">
        <v>2</v>
      </c>
      <c r="AB151" s="1" t="n">
        <f aca="false">AA151-Z151</f>
        <v>0</v>
      </c>
      <c r="AU151" s="1" t="n">
        <v>3</v>
      </c>
      <c r="AV151" s="1" t="n">
        <v>3</v>
      </c>
      <c r="AW151" s="1" t="n">
        <f aca="false">AV151-AU151</f>
        <v>0</v>
      </c>
    </row>
    <row r="152" customFormat="false" ht="16" hidden="false" customHeight="false" outlineLevel="0" collapsed="false">
      <c r="I152" s="1" t="n">
        <v>2</v>
      </c>
      <c r="J152" s="1" t="n">
        <v>2</v>
      </c>
      <c r="K152" s="1" t="n">
        <f aca="false">J152-I152</f>
        <v>0</v>
      </c>
      <c r="Z152" s="1" t="n">
        <v>1</v>
      </c>
      <c r="AA152" s="1" t="n">
        <v>1</v>
      </c>
      <c r="AB152" s="1" t="n">
        <f aca="false">AA152-Z152</f>
        <v>0</v>
      </c>
      <c r="AU152" s="1" t="n">
        <v>4</v>
      </c>
      <c r="AV152" s="1" t="n">
        <v>4</v>
      </c>
      <c r="AW152" s="1" t="n">
        <f aca="false">AV152-AU152</f>
        <v>0</v>
      </c>
    </row>
    <row r="153" customFormat="false" ht="16" hidden="false" customHeight="false" outlineLevel="0" collapsed="false">
      <c r="I153" s="1" t="n">
        <v>2</v>
      </c>
      <c r="J153" s="1" t="n">
        <v>2</v>
      </c>
      <c r="K153" s="1" t="n">
        <f aca="false">J153-I153</f>
        <v>0</v>
      </c>
      <c r="Z153" s="1" t="n">
        <v>2</v>
      </c>
      <c r="AA153" s="1" t="n">
        <v>2</v>
      </c>
      <c r="AB153" s="1" t="n">
        <f aca="false">AA153-Z153</f>
        <v>0</v>
      </c>
      <c r="AU153" s="1" t="n">
        <v>2</v>
      </c>
      <c r="AV153" s="1" t="n">
        <v>4</v>
      </c>
      <c r="AW153" s="1" t="n">
        <f aca="false">AV153-AU153</f>
        <v>2</v>
      </c>
    </row>
    <row r="154" customFormat="false" ht="16" hidden="false" customHeight="false" outlineLevel="0" collapsed="false">
      <c r="I154" s="1" t="n">
        <v>3</v>
      </c>
      <c r="J154" s="1" t="n">
        <v>3</v>
      </c>
      <c r="K154" s="1" t="n">
        <f aca="false">J154-I154</f>
        <v>0</v>
      </c>
      <c r="Z154" s="1" t="n">
        <v>2</v>
      </c>
      <c r="AA154" s="1" t="n">
        <v>2</v>
      </c>
      <c r="AB154" s="1" t="n">
        <f aca="false">AA154-Z154</f>
        <v>0</v>
      </c>
      <c r="AU154" s="1" t="n">
        <v>4</v>
      </c>
      <c r="AV154" s="1" t="n">
        <v>6</v>
      </c>
      <c r="AW154" s="1" t="n">
        <f aca="false">AV154-AU154</f>
        <v>2</v>
      </c>
    </row>
    <row r="155" customFormat="false" ht="16" hidden="false" customHeight="false" outlineLevel="0" collapsed="false">
      <c r="I155" s="1" t="n">
        <v>3</v>
      </c>
      <c r="J155" s="1" t="n">
        <v>3</v>
      </c>
      <c r="K155" s="1" t="n">
        <f aca="false">J155-I155</f>
        <v>0</v>
      </c>
      <c r="Z155" s="1" t="n">
        <v>1</v>
      </c>
      <c r="AA155" s="1" t="n">
        <v>3</v>
      </c>
      <c r="AB155" s="1" t="n">
        <f aca="false">AA155-Z155</f>
        <v>2</v>
      </c>
      <c r="AU155" s="1" t="n">
        <v>4</v>
      </c>
      <c r="AV155" s="1" t="n">
        <v>4</v>
      </c>
      <c r="AW155" s="1" t="n">
        <f aca="false">AV155-AU155</f>
        <v>0</v>
      </c>
    </row>
    <row r="156" customFormat="false" ht="16" hidden="false" customHeight="false" outlineLevel="0" collapsed="false">
      <c r="I156" s="1" t="n">
        <v>2</v>
      </c>
      <c r="J156" s="1" t="n">
        <v>2</v>
      </c>
      <c r="K156" s="1" t="n">
        <f aca="false">J156-I156</f>
        <v>0</v>
      </c>
      <c r="Z156" s="1" t="n">
        <v>2</v>
      </c>
      <c r="AA156" s="1" t="n">
        <v>4</v>
      </c>
      <c r="AB156" s="1" t="n">
        <f aca="false">AA156-Z156</f>
        <v>2</v>
      </c>
      <c r="AU156" s="1" t="n">
        <v>2</v>
      </c>
      <c r="AV156" s="1" t="n">
        <v>2</v>
      </c>
      <c r="AW156" s="1" t="n">
        <f aca="false">AV156-AU156</f>
        <v>0</v>
      </c>
    </row>
    <row r="157" customFormat="false" ht="16" hidden="false" customHeight="false" outlineLevel="0" collapsed="false">
      <c r="I157" s="1" t="n">
        <v>2</v>
      </c>
      <c r="J157" s="1" t="n">
        <v>2</v>
      </c>
      <c r="K157" s="1" t="n">
        <f aca="false">J157-I157</f>
        <v>0</v>
      </c>
      <c r="Z157" s="1" t="n">
        <v>1</v>
      </c>
      <c r="AA157" s="1" t="n">
        <v>1</v>
      </c>
      <c r="AB157" s="1" t="n">
        <f aca="false">AA157-Z157</f>
        <v>0</v>
      </c>
      <c r="AU157" s="1" t="n">
        <v>4</v>
      </c>
      <c r="AV157" s="1" t="n">
        <v>6</v>
      </c>
      <c r="AW157" s="1" t="n">
        <f aca="false">AV157-AU157</f>
        <v>2</v>
      </c>
    </row>
    <row r="158" customFormat="false" ht="16" hidden="false" customHeight="false" outlineLevel="0" collapsed="false">
      <c r="I158" s="1" t="n">
        <v>2</v>
      </c>
      <c r="J158" s="1" t="n">
        <v>2</v>
      </c>
      <c r="K158" s="1" t="n">
        <f aca="false">J158-I158</f>
        <v>0</v>
      </c>
      <c r="Z158" s="1" t="n">
        <v>2</v>
      </c>
      <c r="AA158" s="1" t="n">
        <v>2</v>
      </c>
      <c r="AB158" s="1" t="n">
        <f aca="false">AA158-Z158</f>
        <v>0</v>
      </c>
      <c r="AU158" s="1" t="n">
        <v>4</v>
      </c>
      <c r="AV158" s="1" t="n">
        <v>4</v>
      </c>
      <c r="AW158" s="1" t="n">
        <f aca="false">AV158-AU158</f>
        <v>0</v>
      </c>
    </row>
    <row r="159" customFormat="false" ht="16" hidden="false" customHeight="false" outlineLevel="0" collapsed="false">
      <c r="I159" s="1" t="n">
        <v>2</v>
      </c>
      <c r="J159" s="1" t="n">
        <v>2</v>
      </c>
      <c r="K159" s="1" t="n">
        <f aca="false">J159-I159</f>
        <v>0</v>
      </c>
      <c r="Z159" s="1" t="n">
        <v>1</v>
      </c>
      <c r="AA159" s="1" t="n">
        <v>1</v>
      </c>
      <c r="AB159" s="1" t="n">
        <f aca="false">AA159-Z159</f>
        <v>0</v>
      </c>
      <c r="AU159" s="1" t="n">
        <v>2</v>
      </c>
      <c r="AV159" s="1" t="n">
        <v>4</v>
      </c>
      <c r="AW159" s="1" t="n">
        <f aca="false">AV159-AU159</f>
        <v>2</v>
      </c>
    </row>
    <row r="160" customFormat="false" ht="16" hidden="false" customHeight="false" outlineLevel="0" collapsed="false">
      <c r="I160" s="1" t="n">
        <v>1</v>
      </c>
      <c r="J160" s="1" t="n">
        <v>1</v>
      </c>
      <c r="K160" s="1" t="n">
        <f aca="false">J160-I160</f>
        <v>0</v>
      </c>
      <c r="Z160" s="1" t="n">
        <v>2</v>
      </c>
      <c r="AA160" s="1" t="n">
        <v>4</v>
      </c>
      <c r="AB160" s="1" t="n">
        <f aca="false">AA160-Z160</f>
        <v>2</v>
      </c>
      <c r="AU160" s="1" t="n">
        <v>3</v>
      </c>
      <c r="AV160" s="1" t="n">
        <v>3</v>
      </c>
      <c r="AW160" s="1" t="n">
        <f aca="false">AV160-AU160</f>
        <v>0</v>
      </c>
    </row>
    <row r="161" customFormat="false" ht="16" hidden="false" customHeight="false" outlineLevel="0" collapsed="false">
      <c r="I161" s="1" t="n">
        <v>1</v>
      </c>
      <c r="J161" s="1" t="n">
        <v>1</v>
      </c>
      <c r="K161" s="1" t="n">
        <f aca="false">J161-I161</f>
        <v>0</v>
      </c>
      <c r="Z161" s="4"/>
      <c r="AA161" s="4"/>
      <c r="AB161" s="4"/>
      <c r="AU161" s="1" t="n">
        <v>2</v>
      </c>
      <c r="AV161" s="1" t="n">
        <v>3</v>
      </c>
      <c r="AW161" s="1" t="n">
        <f aca="false">AV161-AU161</f>
        <v>1</v>
      </c>
    </row>
    <row r="162" customFormat="false" ht="16" hidden="false" customHeight="false" outlineLevel="0" collapsed="false">
      <c r="I162" s="1" t="n">
        <v>1</v>
      </c>
      <c r="J162" s="1" t="n">
        <v>1</v>
      </c>
      <c r="K162" s="1" t="n">
        <f aca="false">J162-I162</f>
        <v>0</v>
      </c>
      <c r="AU162" s="1" t="n">
        <v>2</v>
      </c>
      <c r="AV162" s="1" t="n">
        <v>3</v>
      </c>
      <c r="AW162" s="1" t="n">
        <f aca="false">AV162-AU162</f>
        <v>1</v>
      </c>
    </row>
    <row r="163" customFormat="false" ht="16" hidden="false" customHeight="false" outlineLevel="0" collapsed="false">
      <c r="I163" s="1" t="n">
        <v>1</v>
      </c>
      <c r="J163" s="1" t="n">
        <v>1</v>
      </c>
      <c r="K163" s="1" t="n">
        <f aca="false">J163-I163</f>
        <v>0</v>
      </c>
      <c r="AU163" s="1" t="n">
        <v>3</v>
      </c>
      <c r="AV163" s="1" t="n">
        <v>3</v>
      </c>
      <c r="AW163" s="1" t="n">
        <f aca="false">AV163-AU163</f>
        <v>0</v>
      </c>
    </row>
    <row r="164" customFormat="false" ht="16" hidden="false" customHeight="false" outlineLevel="0" collapsed="false">
      <c r="I164" s="1" t="n">
        <v>2</v>
      </c>
      <c r="J164" s="1" t="n">
        <v>2</v>
      </c>
      <c r="K164" s="1" t="n">
        <f aca="false">J164-I164</f>
        <v>0</v>
      </c>
      <c r="AU164" s="1" t="n">
        <v>2</v>
      </c>
      <c r="AV164" s="1" t="n">
        <v>5</v>
      </c>
      <c r="AW164" s="1" t="n">
        <f aca="false">AV164-AU164</f>
        <v>3</v>
      </c>
    </row>
    <row r="165" customFormat="false" ht="16" hidden="false" customHeight="false" outlineLevel="0" collapsed="false">
      <c r="I165" s="1" t="n">
        <v>2</v>
      </c>
      <c r="J165" s="1" t="n">
        <v>2</v>
      </c>
      <c r="K165" s="1" t="n">
        <f aca="false">J165-I165</f>
        <v>0</v>
      </c>
      <c r="AU165" s="1" t="n">
        <v>1</v>
      </c>
      <c r="AV165" s="1" t="n">
        <v>2</v>
      </c>
      <c r="AW165" s="1" t="n">
        <f aca="false">AV165-AU165</f>
        <v>1</v>
      </c>
    </row>
    <row r="166" customFormat="false" ht="16" hidden="false" customHeight="false" outlineLevel="0" collapsed="false">
      <c r="I166" s="1" t="n">
        <v>2</v>
      </c>
      <c r="J166" s="1" t="n">
        <v>2</v>
      </c>
      <c r="K166" s="1" t="n">
        <f aca="false">J166-I166</f>
        <v>0</v>
      </c>
      <c r="AU166" s="1" t="n">
        <v>1</v>
      </c>
      <c r="AV166" s="1" t="n">
        <v>3</v>
      </c>
      <c r="AW166" s="1" t="n">
        <f aca="false">AV166-AU166</f>
        <v>2</v>
      </c>
    </row>
    <row r="167" customFormat="false" ht="16" hidden="false" customHeight="false" outlineLevel="0" collapsed="false">
      <c r="I167" s="1" t="n">
        <v>2</v>
      </c>
      <c r="J167" s="1" t="n">
        <v>2</v>
      </c>
      <c r="K167" s="1" t="n">
        <f aca="false">J167-I167</f>
        <v>0</v>
      </c>
      <c r="AU167" s="1" t="n">
        <v>4</v>
      </c>
      <c r="AV167" s="1" t="n">
        <v>7</v>
      </c>
      <c r="AW167" s="1" t="n">
        <f aca="false">AV167-AU167</f>
        <v>3</v>
      </c>
    </row>
    <row r="168" customFormat="false" ht="16" hidden="false" customHeight="false" outlineLevel="0" collapsed="false">
      <c r="I168" s="1" t="n">
        <v>1</v>
      </c>
      <c r="J168" s="1" t="n">
        <v>1</v>
      </c>
      <c r="K168" s="1" t="n">
        <f aca="false">J168-I168</f>
        <v>0</v>
      </c>
      <c r="AU168" s="1" t="n">
        <v>2</v>
      </c>
      <c r="AV168" s="1" t="n">
        <v>6</v>
      </c>
      <c r="AW168" s="1" t="n">
        <f aca="false">AV168-AU168</f>
        <v>4</v>
      </c>
    </row>
    <row r="169" customFormat="false" ht="16" hidden="false" customHeight="false" outlineLevel="0" collapsed="false">
      <c r="I169" s="1" t="n">
        <v>2</v>
      </c>
      <c r="J169" s="1" t="n">
        <v>2</v>
      </c>
      <c r="K169" s="1" t="n">
        <f aca="false">J169-I169</f>
        <v>0</v>
      </c>
      <c r="AU169" s="1" t="n">
        <v>3</v>
      </c>
      <c r="AV169" s="1" t="n">
        <v>3</v>
      </c>
      <c r="AW169" s="1" t="n">
        <f aca="false">AV169-AU169</f>
        <v>0</v>
      </c>
    </row>
    <row r="170" customFormat="false" ht="16" hidden="false" customHeight="false" outlineLevel="0" collapsed="false">
      <c r="I170" s="1" t="n">
        <v>2</v>
      </c>
      <c r="J170" s="1" t="n">
        <v>2</v>
      </c>
      <c r="K170" s="1" t="n">
        <f aca="false">J170-I170</f>
        <v>0</v>
      </c>
      <c r="AU170" s="1" t="n">
        <v>6</v>
      </c>
      <c r="AV170" s="1" t="n">
        <v>9</v>
      </c>
      <c r="AW170" s="1" t="n">
        <f aca="false">AV170-AU170</f>
        <v>3</v>
      </c>
    </row>
    <row r="171" customFormat="false" ht="16" hidden="false" customHeight="false" outlineLevel="0" collapsed="false">
      <c r="I171" s="1" t="n">
        <v>2</v>
      </c>
      <c r="J171" s="1" t="n">
        <v>2</v>
      </c>
      <c r="K171" s="1" t="n">
        <f aca="false">J171-I171</f>
        <v>0</v>
      </c>
      <c r="AU171" s="1" t="n">
        <v>3</v>
      </c>
      <c r="AV171" s="1" t="n">
        <v>3</v>
      </c>
      <c r="AW171" s="1" t="n">
        <f aca="false">AV171-AU171</f>
        <v>0</v>
      </c>
    </row>
    <row r="172" customFormat="false" ht="16" hidden="false" customHeight="false" outlineLevel="0" collapsed="false">
      <c r="I172" s="1" t="n">
        <v>1</v>
      </c>
      <c r="J172" s="1" t="n">
        <v>1</v>
      </c>
      <c r="K172" s="1" t="n">
        <f aca="false">J172-I172</f>
        <v>0</v>
      </c>
      <c r="AU172" s="1" t="n">
        <v>1</v>
      </c>
      <c r="AV172" s="1" t="n">
        <v>3</v>
      </c>
      <c r="AW172" s="1" t="n">
        <f aca="false">AV172-AU172</f>
        <v>2</v>
      </c>
    </row>
    <row r="173" customFormat="false" ht="16" hidden="false" customHeight="false" outlineLevel="0" collapsed="false">
      <c r="I173" s="1" t="n">
        <v>2</v>
      </c>
      <c r="J173" s="1" t="n">
        <v>2</v>
      </c>
      <c r="K173" s="1" t="n">
        <f aca="false">J173-I173</f>
        <v>0</v>
      </c>
      <c r="AU173" s="1" t="n">
        <v>1</v>
      </c>
      <c r="AV173" s="1" t="n">
        <v>4</v>
      </c>
      <c r="AW173" s="1" t="n">
        <f aca="false">AV173-AU173</f>
        <v>3</v>
      </c>
    </row>
    <row r="174" customFormat="false" ht="16" hidden="false" customHeight="false" outlineLevel="0" collapsed="false">
      <c r="I174" s="1" t="n">
        <v>2</v>
      </c>
      <c r="J174" s="1" t="n">
        <v>2</v>
      </c>
      <c r="K174" s="1" t="n">
        <f aca="false">J174-I174</f>
        <v>0</v>
      </c>
      <c r="AU174" s="1" t="n">
        <v>2</v>
      </c>
      <c r="AV174" s="1" t="n">
        <v>5</v>
      </c>
      <c r="AW174" s="1" t="n">
        <f aca="false">AV174-AU174</f>
        <v>3</v>
      </c>
    </row>
    <row r="175" customFormat="false" ht="16" hidden="false" customHeight="false" outlineLevel="0" collapsed="false">
      <c r="I175" s="1" t="n">
        <v>2</v>
      </c>
      <c r="J175" s="1" t="n">
        <v>2</v>
      </c>
      <c r="K175" s="1" t="n">
        <f aca="false">J175-I175</f>
        <v>0</v>
      </c>
      <c r="AU175" s="1" t="n">
        <v>3</v>
      </c>
      <c r="AV175" s="1" t="n">
        <v>7</v>
      </c>
      <c r="AW175" s="1" t="n">
        <f aca="false">AV175-AU175</f>
        <v>4</v>
      </c>
    </row>
    <row r="176" customFormat="false" ht="16" hidden="false" customHeight="false" outlineLevel="0" collapsed="false">
      <c r="I176" s="1" t="n">
        <v>2</v>
      </c>
      <c r="J176" s="1" t="n">
        <v>2</v>
      </c>
      <c r="K176" s="1" t="n">
        <f aca="false">J176-I176</f>
        <v>0</v>
      </c>
      <c r="AU176" s="1" t="n">
        <v>2</v>
      </c>
      <c r="AV176" s="1" t="n">
        <v>2</v>
      </c>
      <c r="AW176" s="1" t="n">
        <f aca="false">AV176-AU176</f>
        <v>0</v>
      </c>
    </row>
    <row r="177" customFormat="false" ht="16" hidden="false" customHeight="false" outlineLevel="0" collapsed="false">
      <c r="I177" s="4"/>
      <c r="J177" s="4"/>
      <c r="K177" s="4"/>
      <c r="AU177" s="1" t="n">
        <v>2</v>
      </c>
      <c r="AV177" s="1" t="n">
        <v>4</v>
      </c>
      <c r="AW177" s="1" t="n">
        <f aca="false">AV177-AU177</f>
        <v>2</v>
      </c>
    </row>
    <row r="178" customFormat="false" ht="16" hidden="false" customHeight="false" outlineLevel="0" collapsed="false">
      <c r="AU178" s="1" t="n">
        <v>4</v>
      </c>
      <c r="AV178" s="1" t="n">
        <v>6</v>
      </c>
      <c r="AW178" s="1" t="n">
        <f aca="false">AV178-AU178</f>
        <v>2</v>
      </c>
    </row>
    <row r="179" customFormat="false" ht="16" hidden="false" customHeight="false" outlineLevel="0" collapsed="false">
      <c r="AU179" s="1" t="n">
        <v>3</v>
      </c>
      <c r="AV179" s="1" t="n">
        <v>7</v>
      </c>
      <c r="AW179" s="1" t="n">
        <f aca="false">AV179-AU179</f>
        <v>4</v>
      </c>
    </row>
    <row r="180" customFormat="false" ht="16" hidden="false" customHeight="false" outlineLevel="0" collapsed="false">
      <c r="AU180" s="1" t="n">
        <v>2</v>
      </c>
      <c r="AV180" s="1" t="n">
        <v>3</v>
      </c>
      <c r="AW180" s="1" t="n">
        <f aca="false">AV180-AU180</f>
        <v>1</v>
      </c>
    </row>
    <row r="181" customFormat="false" ht="16" hidden="false" customHeight="false" outlineLevel="0" collapsed="false">
      <c r="AU181" s="1" t="n">
        <v>2</v>
      </c>
      <c r="AV181" s="1" t="n">
        <v>4</v>
      </c>
      <c r="AW181" s="1" t="n">
        <f aca="false">AV181-AU181</f>
        <v>2</v>
      </c>
    </row>
    <row r="182" customFormat="false" ht="16" hidden="false" customHeight="false" outlineLevel="0" collapsed="false">
      <c r="AU182" s="1" t="n">
        <v>2</v>
      </c>
      <c r="AV182" s="1" t="n">
        <v>5</v>
      </c>
      <c r="AW182" s="1" t="n">
        <f aca="false">AV182-AU182</f>
        <v>3</v>
      </c>
    </row>
    <row r="183" customFormat="false" ht="16" hidden="false" customHeight="false" outlineLevel="0" collapsed="false">
      <c r="AU183" s="1" t="n">
        <v>2</v>
      </c>
      <c r="AV183" s="1" t="n">
        <v>2</v>
      </c>
      <c r="AW183" s="1" t="n">
        <f aca="false">AV183-AU183</f>
        <v>0</v>
      </c>
    </row>
    <row r="184" customFormat="false" ht="16" hidden="false" customHeight="false" outlineLevel="0" collapsed="false">
      <c r="AU184" s="1" t="n">
        <v>8</v>
      </c>
      <c r="AV184" s="1" t="n">
        <v>11</v>
      </c>
      <c r="AW184" s="1" t="n">
        <f aca="false">AV184-AU184</f>
        <v>3</v>
      </c>
    </row>
    <row r="185" customFormat="false" ht="16" hidden="false" customHeight="false" outlineLevel="0" collapsed="false">
      <c r="AU185" s="1" t="n">
        <v>4</v>
      </c>
      <c r="AV185" s="1" t="n">
        <v>6</v>
      </c>
      <c r="AW185" s="1" t="n">
        <f aca="false">AV185-AU185</f>
        <v>2</v>
      </c>
    </row>
    <row r="186" customFormat="false" ht="16" hidden="false" customHeight="false" outlineLevel="0" collapsed="false">
      <c r="AU186" s="1" t="n">
        <v>2</v>
      </c>
      <c r="AV186" s="1" t="n">
        <v>6</v>
      </c>
      <c r="AW186" s="1" t="n">
        <f aca="false">AV186-AU186</f>
        <v>4</v>
      </c>
    </row>
    <row r="187" customFormat="false" ht="16" hidden="false" customHeight="false" outlineLevel="0" collapsed="false">
      <c r="AU187" s="1" t="n">
        <v>3</v>
      </c>
      <c r="AV187" s="1" t="n">
        <v>5</v>
      </c>
      <c r="AW187" s="1" t="n">
        <f aca="false">AV187-AU187</f>
        <v>2</v>
      </c>
    </row>
    <row r="188" customFormat="false" ht="16" hidden="false" customHeight="false" outlineLevel="0" collapsed="false">
      <c r="AU188" s="1" t="n">
        <v>3</v>
      </c>
      <c r="AV188" s="1" t="n">
        <v>5</v>
      </c>
      <c r="AW188" s="1" t="n">
        <f aca="false">AV188-AU188</f>
        <v>2</v>
      </c>
    </row>
    <row r="189" customFormat="false" ht="16" hidden="false" customHeight="false" outlineLevel="0" collapsed="false">
      <c r="AU189" s="1" t="n">
        <v>2</v>
      </c>
      <c r="AV189" s="1" t="n">
        <v>2</v>
      </c>
      <c r="AW189" s="1" t="n">
        <f aca="false">AV189-AU189</f>
        <v>0</v>
      </c>
    </row>
    <row r="190" customFormat="false" ht="16" hidden="false" customHeight="false" outlineLevel="0" collapsed="false">
      <c r="AU190" s="1" t="n">
        <v>5</v>
      </c>
      <c r="AV190" s="1" t="n">
        <v>9</v>
      </c>
      <c r="AW190" s="1" t="n">
        <f aca="false">AV190-AU190</f>
        <v>4</v>
      </c>
    </row>
    <row r="191" customFormat="false" ht="16" hidden="false" customHeight="false" outlineLevel="0" collapsed="false">
      <c r="AU191" s="1" t="n">
        <v>2</v>
      </c>
      <c r="AV191" s="1" t="n">
        <v>5</v>
      </c>
      <c r="AW191" s="1" t="n">
        <f aca="false">AV191-AU191</f>
        <v>3</v>
      </c>
    </row>
    <row r="192" customFormat="false" ht="16" hidden="false" customHeight="false" outlineLevel="0" collapsed="false">
      <c r="AU192" s="1" t="n">
        <v>2</v>
      </c>
      <c r="AV192" s="1" t="n">
        <v>4</v>
      </c>
      <c r="AW192" s="1" t="n">
        <f aca="false">AV192-AU192</f>
        <v>2</v>
      </c>
    </row>
    <row r="193" customFormat="false" ht="16" hidden="false" customHeight="false" outlineLevel="0" collapsed="false">
      <c r="AU193" s="1" t="n">
        <v>3</v>
      </c>
      <c r="AV193" s="1" t="n">
        <v>3</v>
      </c>
      <c r="AW193" s="1" t="n">
        <f aca="false">AV193-AU193</f>
        <v>0</v>
      </c>
    </row>
    <row r="194" customFormat="false" ht="16" hidden="false" customHeight="false" outlineLevel="0" collapsed="false">
      <c r="AU194" s="1" t="n">
        <v>2</v>
      </c>
      <c r="AV194" s="1" t="n">
        <v>3</v>
      </c>
      <c r="AW194" s="1" t="n">
        <f aca="false">AV194-AU194</f>
        <v>1</v>
      </c>
    </row>
    <row r="195" customFormat="false" ht="16" hidden="false" customHeight="false" outlineLevel="0" collapsed="false">
      <c r="AU195" s="1" t="n">
        <v>5</v>
      </c>
      <c r="AV195" s="1" t="n">
        <v>7</v>
      </c>
      <c r="AW195" s="1" t="n">
        <f aca="false">AV195-AU195</f>
        <v>2</v>
      </c>
    </row>
    <row r="196" customFormat="false" ht="16" hidden="false" customHeight="false" outlineLevel="0" collapsed="false">
      <c r="AU196" s="1" t="n">
        <v>2</v>
      </c>
      <c r="AV196" s="1" t="n">
        <v>2</v>
      </c>
      <c r="AW196" s="1" t="n">
        <f aca="false">AV196-AU196</f>
        <v>0</v>
      </c>
    </row>
    <row r="197" customFormat="false" ht="16" hidden="false" customHeight="false" outlineLevel="0" collapsed="false">
      <c r="AU197" s="4"/>
      <c r="AV197" s="4"/>
      <c r="AW19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DB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50390625" defaultRowHeight="16" zeroHeight="false" outlineLevelRow="0" outlineLevelCol="0"/>
  <cols>
    <col collapsed="false" customWidth="true" hidden="false" outlineLevel="0" max="32" min="32" style="1" width="12.33"/>
    <col collapsed="false" customWidth="true" hidden="false" outlineLevel="0" max="33" min="33" style="1" width="13"/>
    <col collapsed="false" customWidth="true" hidden="false" outlineLevel="0" max="34" min="34" style="1" width="12.16"/>
  </cols>
  <sheetData>
    <row r="1" customFormat="false" ht="16" hidden="false" customHeight="false" outlineLevel="0" collapsed="false">
      <c r="C1" s="1" t="s">
        <v>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R1" s="1" t="s">
        <v>33</v>
      </c>
      <c r="U1" s="1" t="s">
        <v>34</v>
      </c>
      <c r="AJ1" s="1" t="s">
        <v>35</v>
      </c>
      <c r="BA1" s="1" t="n">
        <v>1</v>
      </c>
      <c r="BB1" s="1" t="n">
        <f aca="false">BA8</f>
        <v>0.97</v>
      </c>
      <c r="BK1" s="1" t="n">
        <v>1</v>
      </c>
      <c r="BL1" s="1" t="n">
        <f aca="false">BK8</f>
        <v>0.84</v>
      </c>
      <c r="CF1" s="3" t="str">
        <f aca="false">CF10</f>
        <v>CTRL_D1 B</v>
      </c>
      <c r="CN1" s="3" t="str">
        <f aca="false">CN10</f>
        <v>CTRL_D14 B</v>
      </c>
      <c r="CV1" s="3" t="str">
        <f aca="false">CV10</f>
        <v>2XTPA_D14 B</v>
      </c>
      <c r="DA1" s="1" t="s">
        <v>39</v>
      </c>
      <c r="DB1" s="1" t="n">
        <v>0.5</v>
      </c>
    </row>
    <row r="2" customFormat="false" ht="16" hidden="false" customHeight="false" outlineLevel="0" collapsed="false">
      <c r="C2" s="1" t="n">
        <f aca="false">B2-A2</f>
        <v>0</v>
      </c>
      <c r="D2" s="1" t="n">
        <v>3</v>
      </c>
      <c r="E2" s="1" t="n">
        <v>3</v>
      </c>
      <c r="F2" s="1" t="n">
        <f aca="false">E2-D2</f>
        <v>0</v>
      </c>
      <c r="G2" s="1" t="n">
        <v>1</v>
      </c>
      <c r="H2" s="1" t="n">
        <v>2</v>
      </c>
      <c r="I2" s="1" t="n">
        <f aca="false">H2-G2</f>
        <v>1</v>
      </c>
      <c r="J2" s="1" t="n">
        <v>2</v>
      </c>
      <c r="K2" s="1" t="n">
        <f aca="false">SUM(I2:J2)</f>
        <v>3</v>
      </c>
      <c r="L2" s="1" t="n">
        <f aca="false">K2-J2</f>
        <v>1</v>
      </c>
      <c r="M2" s="1" t="n">
        <v>4</v>
      </c>
      <c r="N2" s="1" t="n">
        <v>7</v>
      </c>
      <c r="O2" s="1" t="n">
        <f aca="false">N2-M2</f>
        <v>3</v>
      </c>
      <c r="P2" s="1" t="n">
        <f aca="false">O2/M2</f>
        <v>0.75</v>
      </c>
      <c r="R2" s="1" t="s">
        <v>41</v>
      </c>
      <c r="S2" s="1" t="n">
        <f aca="false">COUNTIFS(B$2:B$1000,2,A$2:A$1000,2)</f>
        <v>0</v>
      </c>
      <c r="U2" s="1" t="s">
        <v>42</v>
      </c>
      <c r="V2" s="1" t="n">
        <f aca="false">MAX(A2:O1000)</f>
        <v>18</v>
      </c>
      <c r="AM2" s="1" t="s">
        <v>37</v>
      </c>
      <c r="AN2" s="1" t="s">
        <v>43</v>
      </c>
      <c r="AO2" s="1" t="s">
        <v>38</v>
      </c>
      <c r="AP2" s="1" t="s">
        <v>44</v>
      </c>
      <c r="AS2" s="1" t="s">
        <v>37</v>
      </c>
      <c r="AT2" s="1" t="s">
        <v>43</v>
      </c>
      <c r="AU2" s="1" t="s">
        <v>38</v>
      </c>
      <c r="AV2" s="1" t="s">
        <v>44</v>
      </c>
      <c r="BA2" s="1" t="n">
        <v>14</v>
      </c>
      <c r="BB2" s="1" t="n">
        <f aca="false">BF8</f>
        <v>1.78</v>
      </c>
      <c r="BK2" s="1" t="n">
        <v>14</v>
      </c>
      <c r="BL2" s="1" t="n">
        <f aca="false">BP8</f>
        <v>0.91</v>
      </c>
      <c r="BU2" s="1" t="s">
        <v>46</v>
      </c>
      <c r="DA2" s="1" t="s">
        <v>47</v>
      </c>
      <c r="DB2" s="1" t="n">
        <v>0.35</v>
      </c>
    </row>
    <row r="3" customFormat="false" ht="16" hidden="false" customHeight="false" outlineLevel="0" collapsed="false">
      <c r="C3" s="1" t="n">
        <f aca="false">B3-A3</f>
        <v>0</v>
      </c>
      <c r="D3" s="1" t="n">
        <v>2</v>
      </c>
      <c r="E3" s="1" t="n">
        <v>2</v>
      </c>
      <c r="F3" s="1" t="n">
        <f aca="false">E3-D3</f>
        <v>0</v>
      </c>
      <c r="G3" s="1" t="n">
        <v>1</v>
      </c>
      <c r="H3" s="1" t="n">
        <v>3</v>
      </c>
      <c r="I3" s="1" t="n">
        <f aca="false">H3-G3</f>
        <v>2</v>
      </c>
      <c r="J3" s="1" t="n">
        <v>2</v>
      </c>
      <c r="K3" s="1" t="n">
        <f aca="false">SUM(I3:J3)</f>
        <v>4</v>
      </c>
      <c r="L3" s="1" t="n">
        <f aca="false">K3-J3</f>
        <v>2</v>
      </c>
      <c r="M3" s="1" t="n">
        <v>2</v>
      </c>
      <c r="N3" s="1" t="n">
        <v>2</v>
      </c>
      <c r="O3" s="1" t="n">
        <f aca="false">N3-M3</f>
        <v>0</v>
      </c>
      <c r="P3" s="1" t="n">
        <f aca="false">O3/M3</f>
        <v>0</v>
      </c>
      <c r="R3" s="1" t="s">
        <v>48</v>
      </c>
      <c r="S3" s="1" t="n">
        <f aca="false">COUNTIFS(B$2:B$1000,2,A$2:A$1000,1)</f>
        <v>0</v>
      </c>
      <c r="V3" s="1" t="s">
        <v>49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14</v>
      </c>
      <c r="AD3" s="1" t="n">
        <v>14</v>
      </c>
      <c r="AE3" s="1" t="n">
        <v>14</v>
      </c>
      <c r="AF3" s="1" t="n">
        <v>14</v>
      </c>
      <c r="AG3" s="1" t="n">
        <v>14</v>
      </c>
      <c r="AH3" s="1" t="n">
        <v>14</v>
      </c>
      <c r="BU3" s="1" t="str">
        <f aca="false">V3</f>
        <v>time</v>
      </c>
      <c r="BV3" s="1" t="n">
        <v>1</v>
      </c>
      <c r="BW3" s="1" t="n">
        <v>1</v>
      </c>
      <c r="BX3" s="1" t="n">
        <v>1</v>
      </c>
      <c r="BY3" s="1" t="n">
        <v>1</v>
      </c>
      <c r="BZ3" s="1" t="n">
        <v>14</v>
      </c>
      <c r="CA3" s="1" t="n">
        <v>14</v>
      </c>
      <c r="CB3" s="1" t="n">
        <v>14</v>
      </c>
      <c r="CC3" s="1" t="n">
        <v>14</v>
      </c>
      <c r="DA3" s="1" t="s">
        <v>50</v>
      </c>
      <c r="DB3" s="1" t="n">
        <v>0.52</v>
      </c>
    </row>
    <row r="4" customFormat="false" ht="16" hidden="false" customHeight="false" outlineLevel="0" collapsed="false">
      <c r="C4" s="1" t="n">
        <f aca="false">B4-A4</f>
        <v>0</v>
      </c>
      <c r="D4" s="1" t="n">
        <v>2</v>
      </c>
      <c r="E4" s="1" t="n">
        <v>2</v>
      </c>
      <c r="F4" s="1" t="n">
        <f aca="false">E4-D4</f>
        <v>0</v>
      </c>
      <c r="G4" s="1" t="n">
        <v>1</v>
      </c>
      <c r="H4" s="1" t="n">
        <v>1</v>
      </c>
      <c r="I4" s="1" t="n">
        <f aca="false">H4-G4</f>
        <v>0</v>
      </c>
      <c r="J4" s="1" t="n">
        <v>2</v>
      </c>
      <c r="K4" s="1" t="n">
        <f aca="false">SUM(I4:J4)</f>
        <v>2</v>
      </c>
      <c r="L4" s="1" t="n">
        <f aca="false">K4-J4</f>
        <v>0</v>
      </c>
      <c r="M4" s="1" t="n">
        <v>2</v>
      </c>
      <c r="N4" s="1" t="n">
        <v>4</v>
      </c>
      <c r="O4" s="1" t="n">
        <f aca="false">N4-M4</f>
        <v>2</v>
      </c>
      <c r="P4" s="1" t="n">
        <f aca="false">O4/M4</f>
        <v>1</v>
      </c>
      <c r="R4" s="1" t="s">
        <v>52</v>
      </c>
      <c r="S4" s="1" t="n">
        <f aca="false">COUNTIFS(B$2:B$1000,2,A$2:A$1000,0)</f>
        <v>0</v>
      </c>
      <c r="V4" s="1" t="s">
        <v>53</v>
      </c>
      <c r="W4" s="1" t="n">
        <f aca="false">AVERAGE(D2:D1000)</f>
        <v>1.83333333333333</v>
      </c>
      <c r="X4" s="1" t="n">
        <f aca="false">AVERAGE(E2:E1000)</f>
        <v>2.02380952380952</v>
      </c>
      <c r="Y4" s="1" t="n">
        <f aca="false">AVERAGE(F2:F1000)</f>
        <v>0.19047619047619</v>
      </c>
      <c r="Z4" s="1" t="n">
        <f aca="false">AVERAGE(G2:G1000)</f>
        <v>1.69411764705882</v>
      </c>
      <c r="AA4" s="1" t="n">
        <f aca="false">AVERAGE(H2:H1000)</f>
        <v>3.03529411764706</v>
      </c>
      <c r="AB4" s="1" t="n">
        <f aca="false">AVERAGE(I2:I1000)</f>
        <v>1.34117647058824</v>
      </c>
      <c r="AC4" s="1" t="n">
        <f aca="false">AVERAGE(J2:J1000)</f>
        <v>1.8</v>
      </c>
      <c r="AD4" s="1" t="n">
        <f aca="false">AVERAGE(K2:K1000)</f>
        <v>3.15</v>
      </c>
      <c r="AE4" s="1" t="n">
        <f aca="false">AVERAGE(L2:L1000)</f>
        <v>1.35</v>
      </c>
      <c r="AF4" s="1" t="n">
        <f aca="false">AVERAGE(M2:M1000)</f>
        <v>3.09259259259259</v>
      </c>
      <c r="AG4" s="1" t="n">
        <f aca="false">AVERAGE(N2:N1000)</f>
        <v>7.37037037037037</v>
      </c>
      <c r="AH4" s="1" t="n">
        <f aca="false">AVERAGE(O2:O1000)</f>
        <v>4.27777777777778</v>
      </c>
      <c r="AL4" s="1" t="n">
        <v>1</v>
      </c>
      <c r="AM4" s="1" t="n">
        <f aca="false">W6</f>
        <v>160.794495714286</v>
      </c>
      <c r="AN4" s="1" t="n">
        <f aca="false">X6</f>
        <v>177.500417346939</v>
      </c>
      <c r="AO4" s="1" t="n">
        <f aca="false">Z6</f>
        <v>129.517344</v>
      </c>
      <c r="AP4" s="1" t="n">
        <f aca="false">AA6</f>
        <v>232.051908</v>
      </c>
      <c r="AR4" s="1" t="n">
        <v>1</v>
      </c>
      <c r="AS4" s="1" t="n">
        <f aca="false">W4</f>
        <v>1.83333333333333</v>
      </c>
      <c r="AT4" s="1" t="n">
        <f aca="false">X4</f>
        <v>2.02380952380952</v>
      </c>
      <c r="AU4" s="1" t="n">
        <f aca="false">Z4</f>
        <v>1.69411764705882</v>
      </c>
      <c r="AV4" s="1" t="n">
        <f aca="false">AA4</f>
        <v>3.03529411764706</v>
      </c>
      <c r="AW4" s="1" t="n">
        <v>0.75</v>
      </c>
      <c r="BU4" s="1" t="str">
        <f aca="false">V4</f>
        <v>average</v>
      </c>
      <c r="BV4" s="1" t="n">
        <f aca="false">W4</f>
        <v>1.83333333333333</v>
      </c>
      <c r="BW4" s="1" t="n">
        <f aca="false">X4</f>
        <v>2.02380952380952</v>
      </c>
      <c r="BX4" s="1" t="n">
        <f aca="false">Z4</f>
        <v>1.69411764705882</v>
      </c>
      <c r="BY4" s="1" t="n">
        <f aca="false">AA4</f>
        <v>3.03529411764706</v>
      </c>
      <c r="BZ4" s="1" t="n">
        <f aca="false">AC4</f>
        <v>1.8</v>
      </c>
      <c r="CA4" s="1" t="n">
        <f aca="false">AD4</f>
        <v>3.15</v>
      </c>
      <c r="CB4" s="1" t="n">
        <f aca="false">AF4</f>
        <v>3.09259259259259</v>
      </c>
      <c r="CC4" s="1" t="n">
        <f aca="false">AG4</f>
        <v>7.37037037037037</v>
      </c>
      <c r="CF4" s="1" t="s">
        <v>55</v>
      </c>
      <c r="CG4" s="1" t="n">
        <v>1.32</v>
      </c>
      <c r="CJ4" s="1" t="s">
        <v>53</v>
      </c>
      <c r="CK4" s="1" t="n">
        <f aca="false">BV4</f>
        <v>1.83333333333333</v>
      </c>
      <c r="CN4" s="1" t="s">
        <v>55</v>
      </c>
      <c r="CO4" s="1" t="n">
        <v>1.32</v>
      </c>
      <c r="CR4" s="1" t="s">
        <v>53</v>
      </c>
      <c r="CS4" s="1" t="n">
        <f aca="false">BZ4</f>
        <v>1.8</v>
      </c>
      <c r="CV4" s="1" t="s">
        <v>55</v>
      </c>
      <c r="CW4" s="1" t="n">
        <v>3</v>
      </c>
      <c r="CZ4" s="1" t="s">
        <v>53</v>
      </c>
      <c r="DA4" s="1" t="n">
        <f aca="false">CB4</f>
        <v>3.09259259259259</v>
      </c>
      <c r="DB4" s="1" t="n">
        <v>3.07</v>
      </c>
    </row>
    <row r="5" customFormat="false" ht="16" hidden="false" customHeight="false" outlineLevel="0" collapsed="false">
      <c r="C5" s="1" t="n">
        <f aca="false">B5-A5</f>
        <v>0</v>
      </c>
      <c r="D5" s="1" t="n">
        <v>2</v>
      </c>
      <c r="E5" s="1" t="n">
        <v>2</v>
      </c>
      <c r="F5" s="1" t="n">
        <f aca="false">E5-D5</f>
        <v>0</v>
      </c>
      <c r="G5" s="1" t="n">
        <v>1</v>
      </c>
      <c r="H5" s="1" t="n">
        <v>2</v>
      </c>
      <c r="I5" s="1" t="n">
        <f aca="false">H5-G5</f>
        <v>1</v>
      </c>
      <c r="J5" s="1" t="n">
        <v>2</v>
      </c>
      <c r="K5" s="1" t="n">
        <f aca="false">SUM(I5:J5)</f>
        <v>3</v>
      </c>
      <c r="L5" s="1" t="n">
        <f aca="false">K5-J5</f>
        <v>1</v>
      </c>
      <c r="M5" s="1" t="n">
        <v>4</v>
      </c>
      <c r="N5" s="1" t="n">
        <v>8</v>
      </c>
      <c r="O5" s="1" t="n">
        <f aca="false">N5-M5</f>
        <v>4</v>
      </c>
      <c r="P5" s="1" t="n">
        <f aca="false">O5/M5</f>
        <v>1</v>
      </c>
      <c r="V5" s="1" t="s">
        <v>56</v>
      </c>
      <c r="W5" s="1" t="n">
        <f aca="false">'EXPAND PERSISTANCE'!B14</f>
        <v>87.7060885714286</v>
      </c>
      <c r="X5" s="1" t="n">
        <f aca="false">W5</f>
        <v>87.7060885714286</v>
      </c>
      <c r="Y5" s="1" t="n">
        <f aca="false">X5</f>
        <v>87.7060885714286</v>
      </c>
      <c r="Z5" s="1" t="n">
        <f aca="false">'EXPAND PERSISTANCE'!C14</f>
        <v>76.45121</v>
      </c>
      <c r="AA5" s="1" t="n">
        <f aca="false">Z5</f>
        <v>76.45121</v>
      </c>
      <c r="AB5" s="1" t="n">
        <f aca="false">AA5</f>
        <v>76.45121</v>
      </c>
      <c r="AC5" s="1" t="n">
        <f aca="false">'EXPAND PERSISTANCE'!D14</f>
        <v>84.098068</v>
      </c>
      <c r="AD5" s="1" t="n">
        <f aca="false">AC5</f>
        <v>84.098068</v>
      </c>
      <c r="AE5" s="1" t="n">
        <f aca="false">AD5</f>
        <v>84.098068</v>
      </c>
      <c r="AF5" s="1" t="n">
        <f aca="false">'EXPAND PERSISTANCE'!E14</f>
        <v>80.600055</v>
      </c>
      <c r="AG5" s="1" t="n">
        <f aca="false">AF5</f>
        <v>80.600055</v>
      </c>
      <c r="AH5" s="1" t="n">
        <f aca="false">AG5</f>
        <v>80.600055</v>
      </c>
      <c r="AL5" s="1" t="n">
        <v>14</v>
      </c>
      <c r="AM5" s="1" t="n">
        <f aca="false">AC6</f>
        <v>151.3765224</v>
      </c>
      <c r="AN5" s="1" t="n">
        <f aca="false">AD6</f>
        <v>264.9089142</v>
      </c>
      <c r="AO5" s="1" t="n">
        <f aca="false">AF6</f>
        <v>249.263133055556</v>
      </c>
      <c r="AP5" s="1" t="n">
        <f aca="false">AG6</f>
        <v>594.052257222222</v>
      </c>
      <c r="AR5" s="1" t="n">
        <v>14</v>
      </c>
      <c r="AS5" s="1" t="n">
        <f aca="false">AC4</f>
        <v>1.8</v>
      </c>
      <c r="AT5" s="1" t="n">
        <f aca="false">AD4</f>
        <v>3.15</v>
      </c>
      <c r="AU5" s="1" t="n">
        <f aca="false">AF4</f>
        <v>3.09259259259259</v>
      </c>
      <c r="AV5" s="1" t="n">
        <f aca="false">AG4</f>
        <v>7.37037037037037</v>
      </c>
      <c r="AW5" s="1" t="n">
        <v>1.5</v>
      </c>
      <c r="BU5" s="1" t="str">
        <f aca="false">V5</f>
        <v>persistence</v>
      </c>
      <c r="BV5" s="1" t="n">
        <f aca="false">W5</f>
        <v>87.7060885714286</v>
      </c>
      <c r="BW5" s="1" t="n">
        <f aca="false">X5</f>
        <v>87.7060885714286</v>
      </c>
      <c r="BX5" s="1" t="n">
        <f aca="false">Z5</f>
        <v>76.45121</v>
      </c>
      <c r="BY5" s="1" t="n">
        <f aca="false">AA5</f>
        <v>76.45121</v>
      </c>
      <c r="BZ5" s="1" t="n">
        <f aca="false">AC5</f>
        <v>84.098068</v>
      </c>
      <c r="CA5" s="1" t="n">
        <f aca="false">AD5</f>
        <v>84.098068</v>
      </c>
      <c r="CB5" s="1" t="n">
        <f aca="false">AF5</f>
        <v>80.600055</v>
      </c>
      <c r="CC5" s="1" t="n">
        <f aca="false">AG5</f>
        <v>80.600055</v>
      </c>
      <c r="CF5" s="1" t="s">
        <v>58</v>
      </c>
      <c r="CG5" s="1" t="n">
        <v>0.49</v>
      </c>
      <c r="CJ5" s="1" t="s">
        <v>59</v>
      </c>
      <c r="CK5" s="1" t="n">
        <f aca="false">SUM(CK11:CK110)/100</f>
        <v>0.285714285714286</v>
      </c>
      <c r="CN5" s="1" t="s">
        <v>58</v>
      </c>
      <c r="CO5" s="1" t="n">
        <v>0.49</v>
      </c>
      <c r="CR5" s="1" t="s">
        <v>59</v>
      </c>
      <c r="CS5" s="1" t="n">
        <f aca="false">SUM(CS11:CS110)/100</f>
        <v>0.6</v>
      </c>
      <c r="CV5" s="1" t="s">
        <v>58</v>
      </c>
      <c r="CW5" s="1" t="n">
        <v>0.32</v>
      </c>
      <c r="CZ5" s="1" t="s">
        <v>59</v>
      </c>
      <c r="DA5" s="1" t="n">
        <f aca="false">SUM(DA11:DA110)/100</f>
        <v>0.592592592592593</v>
      </c>
      <c r="DB5" s="1" t="n">
        <v>0.082</v>
      </c>
    </row>
    <row r="6" customFormat="false" ht="16" hidden="false" customHeight="false" outlineLevel="0" collapsed="false">
      <c r="C6" s="1" t="n">
        <f aca="false">B6-A6</f>
        <v>0</v>
      </c>
      <c r="D6" s="1" t="n">
        <v>1</v>
      </c>
      <c r="E6" s="1" t="n">
        <v>1</v>
      </c>
      <c r="F6" s="1" t="n">
        <f aca="false">E6-D6</f>
        <v>0</v>
      </c>
      <c r="G6" s="1" t="n">
        <v>1</v>
      </c>
      <c r="H6" s="1" t="n">
        <v>2</v>
      </c>
      <c r="I6" s="1" t="n">
        <f aca="false">H6-G6</f>
        <v>1</v>
      </c>
      <c r="J6" s="1" t="n">
        <v>2</v>
      </c>
      <c r="K6" s="1" t="n">
        <f aca="false">SUM(I6:J6)</f>
        <v>3</v>
      </c>
      <c r="L6" s="1" t="n">
        <f aca="false">K6-J6</f>
        <v>1</v>
      </c>
      <c r="M6" s="1" t="n">
        <v>9</v>
      </c>
      <c r="N6" s="1" t="n">
        <v>15</v>
      </c>
      <c r="O6" s="1" t="n">
        <f aca="false">N6-M6</f>
        <v>6</v>
      </c>
      <c r="P6" s="1" t="n">
        <f aca="false">O6/M6</f>
        <v>0.666666666666667</v>
      </c>
      <c r="R6" s="1" t="s">
        <v>60</v>
      </c>
      <c r="V6" s="1" t="s">
        <v>61</v>
      </c>
      <c r="W6" s="1" t="n">
        <f aca="false">W4*W5</f>
        <v>160.794495714286</v>
      </c>
      <c r="X6" s="1" t="n">
        <f aca="false">X4*X5</f>
        <v>177.500417346939</v>
      </c>
      <c r="Y6" s="1" t="n">
        <f aca="false">Y4*Y5</f>
        <v>16.7059216326531</v>
      </c>
      <c r="Z6" s="1" t="n">
        <f aca="false">Z4*Z5</f>
        <v>129.517344</v>
      </c>
      <c r="AA6" s="1" t="n">
        <f aca="false">AA4*AA5</f>
        <v>232.051908</v>
      </c>
      <c r="AB6" s="1" t="n">
        <f aca="false">AB4*AB5</f>
        <v>102.534564</v>
      </c>
      <c r="AC6" s="1" t="n">
        <f aca="false">AC4*AC5</f>
        <v>151.3765224</v>
      </c>
      <c r="AD6" s="1" t="n">
        <f aca="false">AD4*AD5</f>
        <v>264.9089142</v>
      </c>
      <c r="AE6" s="1" t="n">
        <f aca="false">AE4*AE5</f>
        <v>113.5323918</v>
      </c>
      <c r="AF6" s="1" t="n">
        <f aca="false">AF4*AF5</f>
        <v>249.263133055556</v>
      </c>
      <c r="AG6" s="1" t="n">
        <f aca="false">AG4*AG5</f>
        <v>594.052257222222</v>
      </c>
      <c r="AH6" s="1" t="n">
        <f aca="false">AH4*AH5</f>
        <v>344.789124166667</v>
      </c>
      <c r="BU6" s="1" t="str">
        <f aca="false">V6</f>
        <v>product</v>
      </c>
      <c r="BV6" s="1" t="n">
        <f aca="false">W6</f>
        <v>160.794495714286</v>
      </c>
      <c r="BW6" s="1" t="n">
        <f aca="false">X6</f>
        <v>177.500417346939</v>
      </c>
      <c r="BX6" s="1" t="n">
        <f aca="false">Z6</f>
        <v>129.517344</v>
      </c>
      <c r="BY6" s="1" t="n">
        <f aca="false">AA6</f>
        <v>232.051908</v>
      </c>
      <c r="BZ6" s="1" t="n">
        <f aca="false">AC6</f>
        <v>151.3765224</v>
      </c>
      <c r="CA6" s="1" t="n">
        <f aca="false">AD6</f>
        <v>264.9089142</v>
      </c>
      <c r="CB6" s="1" t="n">
        <f aca="false">AF6</f>
        <v>249.263133055556</v>
      </c>
      <c r="CC6" s="1" t="n">
        <f aca="false">AG6</f>
        <v>594.052257222222</v>
      </c>
      <c r="CF6" s="1" t="s">
        <v>63</v>
      </c>
      <c r="CG6" s="1" t="n">
        <f aca="false">(EXP(2/CG$4)-1)/(1+CG$5+EXP(1/CG$4)*(1-CG$5))*100</f>
        <v>137.714321529103</v>
      </c>
      <c r="CN6" s="1" t="s">
        <v>63</v>
      </c>
      <c r="CO6" s="1" t="n">
        <f aca="false">(EXP(2/CO$4)-1)/(1+CO$5+EXP(1/CO$4)*(1-CO$5))*100</f>
        <v>137.714321529103</v>
      </c>
      <c r="CV6" s="1" t="s">
        <v>63</v>
      </c>
      <c r="CW6" s="1" t="n">
        <f aca="false">(EXP(2/CW$4)-1)/(1+CW$5+EXP(1/CW$4)*(1-CW$5))*100</f>
        <v>41.768495836507</v>
      </c>
    </row>
    <row r="7" customFormat="false" ht="16" hidden="false" customHeight="false" outlineLevel="0" collapsed="false">
      <c r="C7" s="1" t="n">
        <f aca="false">B7-A7</f>
        <v>0</v>
      </c>
      <c r="D7" s="1" t="n">
        <v>2</v>
      </c>
      <c r="E7" s="1" t="n">
        <v>2</v>
      </c>
      <c r="F7" s="1" t="n">
        <f aca="false">E7-D7</f>
        <v>0</v>
      </c>
      <c r="G7" s="1" t="n">
        <v>1</v>
      </c>
      <c r="H7" s="1" t="n">
        <v>2</v>
      </c>
      <c r="I7" s="1" t="n">
        <f aca="false">H7-G7</f>
        <v>1</v>
      </c>
      <c r="J7" s="1" t="n">
        <v>2</v>
      </c>
      <c r="K7" s="1" t="n">
        <f aca="false">SUM(I7:J7)</f>
        <v>3</v>
      </c>
      <c r="L7" s="1" t="n">
        <f aca="false">K7-J7</f>
        <v>1</v>
      </c>
      <c r="M7" s="1" t="n">
        <v>3</v>
      </c>
      <c r="N7" s="1" t="n">
        <v>4</v>
      </c>
      <c r="O7" s="1" t="n">
        <f aca="false">N7-M7</f>
        <v>1</v>
      </c>
      <c r="P7" s="1" t="n">
        <f aca="false">O7/M7</f>
        <v>0.333333333333333</v>
      </c>
      <c r="R7" s="1" t="s">
        <v>41</v>
      </c>
      <c r="S7" s="1" t="n">
        <f aca="false">COUNTIFS(E$2:E$1000,2,D$2:D$1000,2)</f>
        <v>40</v>
      </c>
      <c r="BA7" s="1" t="n">
        <v>163</v>
      </c>
      <c r="BF7" s="1" t="n">
        <v>158</v>
      </c>
      <c r="BK7" s="1" t="n">
        <v>183</v>
      </c>
      <c r="BP7" s="1" t="n">
        <v>245</v>
      </c>
    </row>
    <row r="8" customFormat="false" ht="16" hidden="false" customHeight="false" outlineLevel="0" collapsed="false">
      <c r="C8" s="1" t="n">
        <f aca="false">B8-A8</f>
        <v>0</v>
      </c>
      <c r="D8" s="1" t="n">
        <v>2</v>
      </c>
      <c r="E8" s="1" t="n">
        <v>2</v>
      </c>
      <c r="F8" s="1" t="n">
        <f aca="false">E8-D8</f>
        <v>0</v>
      </c>
      <c r="G8" s="1" t="n">
        <v>1</v>
      </c>
      <c r="H8" s="1" t="n">
        <v>1</v>
      </c>
      <c r="I8" s="1" t="n">
        <f aca="false">H8-G8</f>
        <v>0</v>
      </c>
      <c r="J8" s="1" t="n">
        <v>2</v>
      </c>
      <c r="K8" s="1" t="n">
        <f aca="false">SUM(I8:J8)</f>
        <v>2</v>
      </c>
      <c r="L8" s="1" t="n">
        <f aca="false">K8-J8</f>
        <v>0</v>
      </c>
      <c r="M8" s="1" t="n">
        <v>2</v>
      </c>
      <c r="N8" s="1" t="n">
        <v>6</v>
      </c>
      <c r="O8" s="1" t="n">
        <f aca="false">N8-M8</f>
        <v>4</v>
      </c>
      <c r="P8" s="1" t="n">
        <f aca="false">O8/M8</f>
        <v>2</v>
      </c>
      <c r="R8" s="1" t="s">
        <v>48</v>
      </c>
      <c r="S8" s="1" t="n">
        <f aca="false">COUNTIFS(E$2:E$1000,2,D$2:D$1000,1)</f>
        <v>7</v>
      </c>
      <c r="BA8" s="1" t="n">
        <v>0.97</v>
      </c>
      <c r="BF8" s="1" t="n">
        <v>1.78</v>
      </c>
      <c r="BK8" s="1" t="n">
        <v>0.84</v>
      </c>
      <c r="BP8" s="1" t="n">
        <v>0.91</v>
      </c>
    </row>
    <row r="9" customFormat="false" ht="16" hidden="false" customHeight="false" outlineLevel="0" collapsed="false">
      <c r="C9" s="1" t="n">
        <f aca="false">B9-A9</f>
        <v>0</v>
      </c>
      <c r="D9" s="1" t="n">
        <v>1</v>
      </c>
      <c r="E9" s="1" t="n">
        <v>1</v>
      </c>
      <c r="F9" s="1" t="n">
        <f aca="false">E9-D9</f>
        <v>0</v>
      </c>
      <c r="G9" s="1" t="n">
        <v>1</v>
      </c>
      <c r="H9" s="1" t="n">
        <v>2</v>
      </c>
      <c r="I9" s="1" t="n">
        <f aca="false">H9-G9</f>
        <v>1</v>
      </c>
      <c r="J9" s="1" t="n">
        <v>1</v>
      </c>
      <c r="K9" s="1" t="n">
        <f aca="false">SUM(I9:J9)</f>
        <v>2</v>
      </c>
      <c r="L9" s="1" t="n">
        <f aca="false">K9-J9</f>
        <v>1</v>
      </c>
      <c r="M9" s="1" t="n">
        <v>2</v>
      </c>
      <c r="N9" s="1" t="n">
        <v>6</v>
      </c>
      <c r="O9" s="1" t="n">
        <f aca="false">N9-M9</f>
        <v>4</v>
      </c>
      <c r="P9" s="1" t="n">
        <f aca="false">O9/M9</f>
        <v>2</v>
      </c>
      <c r="R9" s="1" t="s">
        <v>52</v>
      </c>
      <c r="S9" s="1" t="n">
        <f aca="false">COUNTIFS(E$2:E$1000,2,D$2:D$1000,0)</f>
        <v>0</v>
      </c>
      <c r="W9" s="1" t="n">
        <f aca="false">SUM(W10:W110)</f>
        <v>84</v>
      </c>
      <c r="X9" s="1" t="n">
        <f aca="false">SUM(X10:X110)</f>
        <v>84</v>
      </c>
      <c r="Y9" s="1" t="n">
        <f aca="false">SUM(Y10:Y110)</f>
        <v>84</v>
      </c>
      <c r="Z9" s="1" t="n">
        <f aca="false">SUM(Z10:Z110)</f>
        <v>85</v>
      </c>
      <c r="AA9" s="1" t="n">
        <f aca="false">SUM(AA10:AA110)</f>
        <v>85</v>
      </c>
      <c r="AB9" s="1" t="n">
        <f aca="false">SUM(AB10:AB110)</f>
        <v>85</v>
      </c>
      <c r="AC9" s="1" t="n">
        <f aca="false">SUM(AC10:AC110)</f>
        <v>20</v>
      </c>
      <c r="AD9" s="1" t="n">
        <f aca="false">SUM(AD10:AD110)</f>
        <v>20</v>
      </c>
      <c r="AE9" s="1" t="n">
        <f aca="false">SUM(AE10:AE110)</f>
        <v>20</v>
      </c>
      <c r="AF9" s="1" t="n">
        <f aca="false">SUM(AF10:AF110)</f>
        <v>54</v>
      </c>
      <c r="AG9" s="1" t="n">
        <f aca="false">SUM(AG10:AG110)</f>
        <v>54</v>
      </c>
      <c r="AH9" s="1" t="n">
        <f aca="false">SUM(AH10:AH110)</f>
        <v>54</v>
      </c>
      <c r="CG9" s="1" t="n">
        <f aca="false">SUM(CG11:CG110)</f>
        <v>100</v>
      </c>
      <c r="CH9" s="1" t="n">
        <f aca="false">SUM(CH11:CH110)</f>
        <v>252.320181231341</v>
      </c>
      <c r="CI9" s="1" t="n">
        <f aca="false">(1/16)*SUM(CI11:CI26)</f>
        <v>16.989261427869</v>
      </c>
      <c r="CJ9" s="1" t="n">
        <f aca="false">(1/16/CI9)*SUM(CJ11:CJ26)</f>
        <v>0.285714285714286</v>
      </c>
      <c r="CO9" s="1" t="n">
        <f aca="false">SUM(CO11:CO110)</f>
        <v>100</v>
      </c>
      <c r="CP9" s="1" t="n">
        <f aca="false">SUM(CP11:CP110)</f>
        <v>1543.56689036359</v>
      </c>
      <c r="CQ9" s="1" t="n">
        <f aca="false">(1/16)*SUM(CQ11:CQ26)</f>
        <v>16.989261427869</v>
      </c>
      <c r="CR9" s="1" t="n">
        <f aca="false">(1/16/CQ9)*SUM(CR11:CR26)</f>
        <v>0.6</v>
      </c>
      <c r="CW9" s="1" t="n">
        <f aca="false">SUM(CW11:CW110)</f>
        <v>99.9999999999997</v>
      </c>
      <c r="CX9" s="1" t="n">
        <f aca="false">SUM(CX11:CX110)</f>
        <v>586.13336683477</v>
      </c>
      <c r="CY9" s="1" t="n">
        <f aca="false">(1/16)*SUM(CY11:CY26)</f>
        <v>16.989261427869</v>
      </c>
      <c r="CZ9" s="1" t="n">
        <f aca="false">(1/16/CY9)*SUM(CZ11:CZ26)</f>
        <v>0.592592592592593</v>
      </c>
    </row>
    <row r="10" customFormat="false" ht="16" hidden="false" customHeight="false" outlineLevel="0" collapsed="false">
      <c r="C10" s="1" t="n">
        <f aca="false">B10-A10</f>
        <v>0</v>
      </c>
      <c r="D10" s="1" t="n">
        <v>2</v>
      </c>
      <c r="E10" s="1" t="n">
        <v>2</v>
      </c>
      <c r="F10" s="1" t="n">
        <f aca="false">E10-D10</f>
        <v>0</v>
      </c>
      <c r="G10" s="1" t="n">
        <v>1</v>
      </c>
      <c r="H10" s="1" t="n">
        <v>2</v>
      </c>
      <c r="I10" s="1" t="n">
        <f aca="false">H10-G10</f>
        <v>1</v>
      </c>
      <c r="J10" s="1" t="n">
        <v>1</v>
      </c>
      <c r="K10" s="1" t="n">
        <f aca="false">SUM(I10:J10)</f>
        <v>2</v>
      </c>
      <c r="L10" s="1" t="n">
        <f aca="false">K10-J10</f>
        <v>1</v>
      </c>
      <c r="M10" s="1" t="n">
        <v>3</v>
      </c>
      <c r="N10" s="1" t="n">
        <v>9</v>
      </c>
      <c r="O10" s="1" t="n">
        <f aca="false">N10-M10</f>
        <v>6</v>
      </c>
      <c r="P10" s="1" t="n">
        <f aca="false">O10/M10</f>
        <v>2</v>
      </c>
      <c r="W10" s="1" t="str">
        <f aca="false">D1</f>
        <v>CTRL_D1 B</v>
      </c>
      <c r="X10" s="1" t="str">
        <f aca="false">E1</f>
        <v>CTRL_D1 T</v>
      </c>
      <c r="Y10" s="1" t="str">
        <f aca="false">F1</f>
        <v>CTRL_D1 S</v>
      </c>
      <c r="Z10" s="1" t="str">
        <f aca="false">G1</f>
        <v>2XTPA_D1 B</v>
      </c>
      <c r="AA10" s="1" t="str">
        <f aca="false">H1</f>
        <v>2XTPA_D1 T</v>
      </c>
      <c r="AB10" s="1" t="str">
        <f aca="false">I1</f>
        <v>2XTPA_D1 S</v>
      </c>
      <c r="AC10" s="1" t="str">
        <f aca="false">J1</f>
        <v>CTRL_D14 B</v>
      </c>
      <c r="AD10" s="1" t="str">
        <f aca="false">K1</f>
        <v>CTRL_D14 T</v>
      </c>
      <c r="AE10" s="1" t="str">
        <f aca="false">L1</f>
        <v>CTRL_D14 S</v>
      </c>
      <c r="AF10" s="1" t="str">
        <f aca="false">M1</f>
        <v>2XTPA_D14 B</v>
      </c>
      <c r="AG10" s="1" t="str">
        <f aca="false">N1</f>
        <v>2XTPA_D14 T</v>
      </c>
      <c r="AH10" s="1" t="str">
        <f aca="false">O1</f>
        <v>2XTPA_D14 S</v>
      </c>
      <c r="AN10" s="1" t="str">
        <f aca="false">W10</f>
        <v>CTRL_D1 B</v>
      </c>
      <c r="AO10" s="1" t="str">
        <f aca="false">X10</f>
        <v>CTRL_D1 T</v>
      </c>
      <c r="AP10" s="1" t="str">
        <f aca="false">Z10</f>
        <v>2XTPA_D1 B</v>
      </c>
      <c r="AQ10" s="1" t="str">
        <f aca="false">AA10</f>
        <v>2XTPA_D1 T</v>
      </c>
      <c r="AR10" s="1" t="str">
        <f aca="false">AC10</f>
        <v>CTRL_D14 B</v>
      </c>
      <c r="AS10" s="1" t="str">
        <f aca="false">AD10</f>
        <v>CTRL_D14 T</v>
      </c>
      <c r="AT10" s="1" t="str">
        <f aca="false">AF10</f>
        <v>2XTPA_D14 B</v>
      </c>
      <c r="AU10" s="1" t="str">
        <f aca="false">AG10</f>
        <v>2XTPA_D14 T</v>
      </c>
      <c r="AZ10" s="1" t="str">
        <f aca="false">AP10</f>
        <v>2XTPA_D1 B</v>
      </c>
      <c r="BA10" s="1" t="s">
        <v>65</v>
      </c>
      <c r="BB10" s="1" t="n">
        <f aca="false">SQRT(SUM(BB11:BB110))</f>
        <v>17.4674669638439</v>
      </c>
      <c r="BE10" s="1" t="str">
        <f aca="false">AT10</f>
        <v>2XTPA_D14 B</v>
      </c>
      <c r="BF10" s="1" t="s">
        <v>65</v>
      </c>
      <c r="BG10" s="1" t="n">
        <f aca="false">SQRT(SUM(BG11:BG110))</f>
        <v>11.6256560353344</v>
      </c>
      <c r="BJ10" s="1" t="str">
        <f aca="false">AN10</f>
        <v>CTRL_D1 B</v>
      </c>
      <c r="BK10" s="1" t="s">
        <v>65</v>
      </c>
      <c r="BL10" s="1" t="n">
        <f aca="false">SQRT(SUM(BL11:BL110))</f>
        <v>15.4000242881621</v>
      </c>
      <c r="BO10" s="1" t="str">
        <f aca="false">AR10</f>
        <v>CTRL_D14 B</v>
      </c>
      <c r="BP10" s="1" t="s">
        <v>65</v>
      </c>
      <c r="BQ10" s="1" t="n">
        <f aca="false">SQRT(SUM(BQ11:BQ110))</f>
        <v>28.9025540703398</v>
      </c>
      <c r="BV10" s="1" t="str">
        <f aca="false">W10</f>
        <v>CTRL_D1 B</v>
      </c>
      <c r="BW10" s="1" t="str">
        <f aca="false">X10</f>
        <v>CTRL_D1 T</v>
      </c>
      <c r="BX10" s="1" t="str">
        <f aca="false">Z10</f>
        <v>2XTPA_D1 B</v>
      </c>
      <c r="BY10" s="1" t="str">
        <f aca="false">AA10</f>
        <v>2XTPA_D1 T</v>
      </c>
      <c r="BZ10" s="1" t="str">
        <f aca="false">AC10</f>
        <v>CTRL_D14 B</v>
      </c>
      <c r="CA10" s="1" t="str">
        <f aca="false">AD10</f>
        <v>CTRL_D14 T</v>
      </c>
      <c r="CB10" s="1" t="str">
        <f aca="false">AF10</f>
        <v>2XTPA_D14 B</v>
      </c>
      <c r="CC10" s="1" t="str">
        <f aca="false">AG10</f>
        <v>2XTPA_D14 T</v>
      </c>
      <c r="CF10" s="1" t="str">
        <f aca="false">BV10</f>
        <v>CTRL_D1 B</v>
      </c>
      <c r="CG10" s="1" t="s">
        <v>65</v>
      </c>
      <c r="CH10" s="1" t="s">
        <v>66</v>
      </c>
      <c r="CI10" s="1" t="s">
        <v>67</v>
      </c>
      <c r="CJ10" s="1" t="s">
        <v>68</v>
      </c>
      <c r="CN10" s="1" t="str">
        <f aca="false">BZ10</f>
        <v>CTRL_D14 B</v>
      </c>
      <c r="CO10" s="1" t="s">
        <v>65</v>
      </c>
      <c r="CP10" s="1" t="s">
        <v>66</v>
      </c>
      <c r="CQ10" s="1" t="s">
        <v>67</v>
      </c>
      <c r="CR10" s="1" t="s">
        <v>68</v>
      </c>
      <c r="CV10" s="1" t="str">
        <f aca="false">CB10</f>
        <v>2XTPA_D14 B</v>
      </c>
      <c r="CW10" s="1" t="s">
        <v>65</v>
      </c>
      <c r="CX10" s="1" t="s">
        <v>66</v>
      </c>
      <c r="CY10" s="1" t="s">
        <v>67</v>
      </c>
      <c r="CZ10" s="1" t="s">
        <v>68</v>
      </c>
      <c r="DB10" s="1" t="s">
        <v>69</v>
      </c>
    </row>
    <row r="11" customFormat="false" ht="16" hidden="false" customHeight="false" outlineLevel="0" collapsed="false">
      <c r="C11" s="1" t="n">
        <f aca="false">B11-A11</f>
        <v>0</v>
      </c>
      <c r="D11" s="1" t="n">
        <v>2</v>
      </c>
      <c r="E11" s="1" t="n">
        <v>2</v>
      </c>
      <c r="F11" s="1" t="n">
        <f aca="false">E11-D11</f>
        <v>0</v>
      </c>
      <c r="G11" s="1" t="n">
        <v>3</v>
      </c>
      <c r="H11" s="1" t="n">
        <v>5</v>
      </c>
      <c r="I11" s="1" t="n">
        <f aca="false">H11-G11</f>
        <v>2</v>
      </c>
      <c r="J11" s="1" t="n">
        <v>2</v>
      </c>
      <c r="K11" s="1" t="n">
        <f aca="false">SUM(I11:J11)</f>
        <v>4</v>
      </c>
      <c r="L11" s="1" t="n">
        <f aca="false">K11-J11</f>
        <v>2</v>
      </c>
      <c r="M11" s="1" t="n">
        <v>3</v>
      </c>
      <c r="N11" s="1" t="n">
        <v>7</v>
      </c>
      <c r="O11" s="1" t="n">
        <f aca="false">N11-M11</f>
        <v>4</v>
      </c>
      <c r="P11" s="1" t="n">
        <f aca="false">O11/M11</f>
        <v>1.33333333333333</v>
      </c>
      <c r="R11" s="1" t="s">
        <v>70</v>
      </c>
      <c r="V11" s="1" t="n">
        <v>1</v>
      </c>
      <c r="W11" s="1" t="n">
        <f aca="false" t="array" ref="W11:W110">FREQUENCY(D2:D1000,$V11:$V110)</f>
        <v>26</v>
      </c>
      <c r="X11" s="1" t="n">
        <f aca="false" t="array" ref="X11:X110">FREQUENCY(E2:E1000,$V11:$V110)</f>
        <v>21</v>
      </c>
      <c r="Y11" s="1" t="n">
        <f aca="false" t="array" ref="Y11:Y110">FREQUENCY(F2:F1000,$V11:$V110)</f>
        <v>78</v>
      </c>
      <c r="Z11" s="1" t="n">
        <f aca="false" t="array" ref="Z11:Z110">FREQUENCY(G2:G1000,$V11:$V110)</f>
        <v>47</v>
      </c>
      <c r="AA11" s="1" t="n">
        <f aca="false" t="array" ref="AA11:AA110">FREQUENCY(H2:H1000,$V11:$V110)</f>
        <v>8</v>
      </c>
      <c r="AB11" s="1" t="n">
        <f aca="false" t="array" ref="AB11:AB110">FREQUENCY(I2:I1000,$V11:$V110)</f>
        <v>48</v>
      </c>
      <c r="AC11" s="1" t="n">
        <f aca="false" t="array" ref="AC11:AC110">FREQUENCY(J2:J1000,$V11:$V110)</f>
        <v>4</v>
      </c>
      <c r="AD11" s="1" t="n">
        <f aca="false" t="array" ref="AD11:AD110">FREQUENCY(K2:K1000,$V11:$V110)</f>
        <v>0</v>
      </c>
      <c r="AE11" s="1" t="n">
        <f aca="false" t="array" ref="AE11:AE110">FREQUENCY(L2:L1000,$V11:$V110)</f>
        <v>12</v>
      </c>
      <c r="AF11" s="1" t="n">
        <f aca="false" t="array" ref="AF11:AF110">FREQUENCY(M2:M1000,$V11:$V110)</f>
        <v>5</v>
      </c>
      <c r="AG11" s="1" t="n">
        <f aca="false" t="array" ref="AG11:AG110">FREQUENCY(N2:N1000,$V11:$V110)</f>
        <v>0</v>
      </c>
      <c r="AH11" s="1" t="n">
        <f aca="false" t="array" ref="AH11:AH110">FREQUENCY(O2:O1000,$V11:$V110)</f>
        <v>6</v>
      </c>
      <c r="AK11" s="1" t="n">
        <f aca="false">V11</f>
        <v>1</v>
      </c>
      <c r="AN11" s="1" t="n">
        <f aca="false">MAX(100-W11/W$9*100,0)</f>
        <v>69.0476190476191</v>
      </c>
      <c r="AO11" s="1" t="n">
        <f aca="false">MAX(100-X11/X$9*100,0)</f>
        <v>75</v>
      </c>
      <c r="AP11" s="1" t="n">
        <f aca="false">MAX(100-Z11/Z$9*100,0)</f>
        <v>44.7058823529412</v>
      </c>
      <c r="AQ11" s="1" t="n">
        <f aca="false">MAX(100-AA11/AA$9*100,0)</f>
        <v>90.5882352941177</v>
      </c>
      <c r="AR11" s="1" t="n">
        <f aca="false">MAX(100-AC11/AC$9*100,0)</f>
        <v>80</v>
      </c>
      <c r="AS11" s="1" t="n">
        <f aca="false">MAX(100-AD11/AD$9*100,0)</f>
        <v>100</v>
      </c>
      <c r="AT11" s="1" t="n">
        <f aca="false">MAX(100-AF11/AF$9*100,0)</f>
        <v>90.7407407407407</v>
      </c>
      <c r="AU11" s="1" t="n">
        <f aca="false">MAX(100-AG11/AG$9*100,0)</f>
        <v>100</v>
      </c>
      <c r="AY11" s="1" t="n">
        <f aca="false">$V11</f>
        <v>1</v>
      </c>
      <c r="AZ11" s="1" t="n">
        <f aca="false">AO11</f>
        <v>75</v>
      </c>
      <c r="BA11" s="1" t="n">
        <f aca="false">BA$7*EXP(-AY11/BA$8)</f>
        <v>58.1381669110058</v>
      </c>
      <c r="BB11" s="1" t="n">
        <f aca="false">(AZ11-BA11)^2</f>
        <v>284.3214151211</v>
      </c>
      <c r="BD11" s="1" t="n">
        <f aca="false">$V11</f>
        <v>1</v>
      </c>
      <c r="BE11" s="1" t="n">
        <f aca="false">AT11</f>
        <v>90.7407407407407</v>
      </c>
      <c r="BF11" s="1" t="n">
        <f aca="false">BF$7*EXP(-BD11/BF$8)</f>
        <v>90.0889287961451</v>
      </c>
      <c r="BG11" s="1" t="n">
        <f aca="false">(BE11-BF11)^2</f>
        <v>0.424858811117544</v>
      </c>
      <c r="BI11" s="1" t="n">
        <f aca="false">$V11</f>
        <v>1</v>
      </c>
      <c r="BJ11" s="1" t="n">
        <f aca="false">AN11</f>
        <v>69.0476190476191</v>
      </c>
      <c r="BK11" s="1" t="n">
        <f aca="false">BK$7*EXP(-BI11/BK$8)</f>
        <v>55.6459869251245</v>
      </c>
      <c r="BL11" s="1" t="n">
        <f aca="false">(BJ11-BK11)^2</f>
        <v>179.603743546678</v>
      </c>
      <c r="BN11" s="1" t="n">
        <f aca="false">$V11</f>
        <v>1</v>
      </c>
      <c r="BO11" s="1" t="n">
        <f aca="false">AR11</f>
        <v>80</v>
      </c>
      <c r="BP11" s="1" t="n">
        <f aca="false">BP$7*EXP(-BN11/BP$8)</f>
        <v>81.6430839032748</v>
      </c>
      <c r="BQ11" s="1" t="n">
        <f aca="false">(BO11-BP11)^2</f>
        <v>2.69972471320075</v>
      </c>
      <c r="BU11" s="1" t="n">
        <f aca="false">V11</f>
        <v>1</v>
      </c>
      <c r="BV11" s="1" t="n">
        <f aca="false">W11/W$9*100</f>
        <v>30.952380952381</v>
      </c>
      <c r="BW11" s="1" t="n">
        <f aca="false">X11/X$9*100</f>
        <v>25</v>
      </c>
      <c r="BX11" s="1" t="n">
        <f aca="false">Z11/Z$9*100</f>
        <v>55.2941176470588</v>
      </c>
      <c r="BY11" s="1" t="n">
        <f aca="false">AA11/AA$9*100</f>
        <v>9.41176470588235</v>
      </c>
      <c r="BZ11" s="1" t="n">
        <f aca="false">AC11/AC$9*100</f>
        <v>20</v>
      </c>
      <c r="CA11" s="1" t="n">
        <f aca="false">AD11/AD$9*100</f>
        <v>0</v>
      </c>
      <c r="CB11" s="1" t="n">
        <f aca="false">AF11/AF$9*100</f>
        <v>9.25925925925926</v>
      </c>
      <c r="CC11" s="1" t="n">
        <f aca="false">AG11/AG$9*100</f>
        <v>0</v>
      </c>
      <c r="CE11" s="1" t="n">
        <f aca="false">$V11</f>
        <v>1</v>
      </c>
      <c r="CF11" s="1" t="n">
        <f aca="false">BV11</f>
        <v>30.952380952381</v>
      </c>
      <c r="CG11" s="1" t="n">
        <f aca="false">CG$6*(1+CG$5*(-1)^$BU11)*EXP(-$BU11/CG$4)</f>
        <v>32.9259498061934</v>
      </c>
      <c r="CH11" s="1" t="n">
        <f aca="false">(CF11-CG11)^2</f>
        <v>3.89497402073858</v>
      </c>
      <c r="CI11" s="1" t="n">
        <f aca="false">EXP($BU11/CE11)*CF11</f>
        <v>84.137294690399</v>
      </c>
      <c r="CJ11" s="1" t="n">
        <f aca="false">EXP($BU11/CE11)*(-1)^$BU11*CF11</f>
        <v>-84.137294690399</v>
      </c>
      <c r="CK11" s="1" t="n">
        <f aca="false">(-1)^CE11*CF11</f>
        <v>-30.952380952381</v>
      </c>
      <c r="CM11" s="1" t="n">
        <f aca="false">$V11</f>
        <v>1</v>
      </c>
      <c r="CN11" s="1" t="n">
        <f aca="false">BZ11</f>
        <v>20</v>
      </c>
      <c r="CO11" s="1" t="n">
        <f aca="false">CO$6*(1+CO$5*(-1)^$BU11)*EXP(-$BU11/CO$4)</f>
        <v>32.9259498061934</v>
      </c>
      <c r="CP11" s="1" t="n">
        <f aca="false">(CN11-CO11)^2</f>
        <v>167.080178392231</v>
      </c>
      <c r="CQ11" s="1" t="n">
        <f aca="false">EXP($BU11/CM11)*CN11</f>
        <v>54.3656365691809</v>
      </c>
      <c r="CR11" s="1" t="n">
        <f aca="false">EXP($BU11/CM11)*(-1)^$BU11*CN11</f>
        <v>-54.3656365691809</v>
      </c>
      <c r="CS11" s="1" t="n">
        <f aca="false">(-1)^CM11*CN11</f>
        <v>-20</v>
      </c>
      <c r="CU11" s="1" t="n">
        <f aca="false">$V11</f>
        <v>1</v>
      </c>
      <c r="CV11" s="1" t="n">
        <f aca="false">CB11</f>
        <v>9.25925925925926</v>
      </c>
      <c r="CW11" s="1" t="n">
        <f aca="false">CW$6*(1+CW$5*(-1)^$BU11)*EXP(-$BU11/CW$4)</f>
        <v>20.3513358424512</v>
      </c>
      <c r="CX11" s="1" t="n">
        <f aca="false">(CV11-CW11)^2</f>
        <v>123.034162927395</v>
      </c>
      <c r="CY11" s="1" t="n">
        <f aca="false">EXP($BU11/CU11)*CV11</f>
        <v>25.1692761894356</v>
      </c>
      <c r="CZ11" s="1" t="n">
        <f aca="false">EXP($BU11/CU11)*(-1)^$BU11*CV11</f>
        <v>-25.1692761894356</v>
      </c>
      <c r="DA11" s="1" t="n">
        <f aca="false">(-1)^CU11*CV11</f>
        <v>-9.25925925925926</v>
      </c>
      <c r="DB11" s="1" t="n">
        <v>16.264621</v>
      </c>
    </row>
    <row r="12" customFormat="false" ht="16" hidden="false" customHeight="false" outlineLevel="0" collapsed="false">
      <c r="C12" s="1" t="n">
        <f aca="false">B12-A12</f>
        <v>0</v>
      </c>
      <c r="D12" s="1" t="n">
        <v>2</v>
      </c>
      <c r="E12" s="1" t="n">
        <v>2</v>
      </c>
      <c r="F12" s="1" t="n">
        <f aca="false">E12-D12</f>
        <v>0</v>
      </c>
      <c r="G12" s="1" t="n">
        <v>3</v>
      </c>
      <c r="H12" s="1" t="n">
        <v>5</v>
      </c>
      <c r="I12" s="1" t="n">
        <f aca="false">H12-G12</f>
        <v>2</v>
      </c>
      <c r="J12" s="1" t="n">
        <v>1</v>
      </c>
      <c r="K12" s="1" t="n">
        <f aca="false">SUM(I12:J12)</f>
        <v>3</v>
      </c>
      <c r="L12" s="1" t="n">
        <f aca="false">K12-J12</f>
        <v>2</v>
      </c>
      <c r="M12" s="1" t="n">
        <v>2</v>
      </c>
      <c r="N12" s="1" t="n">
        <v>5</v>
      </c>
      <c r="O12" s="1" t="n">
        <f aca="false">N12-M12</f>
        <v>3</v>
      </c>
      <c r="P12" s="1" t="n">
        <f aca="false">O12/M12</f>
        <v>1.5</v>
      </c>
      <c r="R12" s="1" t="s">
        <v>41</v>
      </c>
      <c r="S12" s="1" t="n">
        <f aca="false">COUNTIFS(H$2:H$1000,2,G$2:G$1000,2)</f>
        <v>11</v>
      </c>
      <c r="V12" s="1" t="n">
        <v>2</v>
      </c>
      <c r="W12" s="1" t="n">
        <v>50</v>
      </c>
      <c r="X12" s="1" t="n">
        <v>48</v>
      </c>
      <c r="Y12" s="1" t="n">
        <v>6</v>
      </c>
      <c r="Z12" s="1" t="n">
        <v>23</v>
      </c>
      <c r="AA12" s="1" t="n">
        <v>33</v>
      </c>
      <c r="AB12" s="1" t="n">
        <v>28</v>
      </c>
      <c r="AC12" s="1" t="n">
        <v>16</v>
      </c>
      <c r="AD12" s="1" t="n">
        <v>6</v>
      </c>
      <c r="AE12" s="1" t="n">
        <v>7</v>
      </c>
      <c r="AF12" s="1" t="n">
        <v>26</v>
      </c>
      <c r="AG12" s="1" t="n">
        <v>4</v>
      </c>
      <c r="AH12" s="1" t="n">
        <v>9</v>
      </c>
      <c r="AK12" s="1" t="n">
        <f aca="false">V12</f>
        <v>2</v>
      </c>
      <c r="AN12" s="1" t="n">
        <f aca="false">MAX(AN11-W12/W$9*100,0)</f>
        <v>9.52380952380953</v>
      </c>
      <c r="AO12" s="1" t="n">
        <f aca="false">MAX(AO11-X12/X$9*100,0)</f>
        <v>17.8571428571429</v>
      </c>
      <c r="AP12" s="1" t="n">
        <f aca="false">MAX(AP11-Z12/Z$9*100,0)</f>
        <v>17.6470588235294</v>
      </c>
      <c r="AQ12" s="1" t="n">
        <f aca="false">MAX(AQ11-AA12/AA$9*100,0)</f>
        <v>51.7647058823529</v>
      </c>
      <c r="AR12" s="1" t="n">
        <f aca="false">MAX(AR11-AC12/AC$9*100,0)</f>
        <v>0</v>
      </c>
      <c r="AS12" s="1" t="n">
        <f aca="false">MAX(AS11-AD12/AD$9*100,0)</f>
        <v>70</v>
      </c>
      <c r="AT12" s="1" t="n">
        <f aca="false">MAX(AT11-AF12/AF$9*100,0)</f>
        <v>42.5925925925926</v>
      </c>
      <c r="AU12" s="1" t="n">
        <f aca="false">MAX(AU11-AG12/AG$9*100,0)</f>
        <v>92.5925925925926</v>
      </c>
      <c r="AY12" s="1" t="n">
        <f aca="false">$V12</f>
        <v>2</v>
      </c>
      <c r="AZ12" s="1" t="n">
        <f aca="false">AO12</f>
        <v>17.8571428571429</v>
      </c>
      <c r="BA12" s="1" t="n">
        <f aca="false">BA$7*EXP(-AY12/BA$8)</f>
        <v>20.7364812992146</v>
      </c>
      <c r="BB12" s="1" t="n">
        <f aca="false">(AZ12-BA12)^2</f>
        <v>8.2905898639921</v>
      </c>
      <c r="BD12" s="1" t="n">
        <f aca="false">$V12</f>
        <v>2</v>
      </c>
      <c r="BE12" s="1" t="n">
        <f aca="false">AT12</f>
        <v>42.5925925925926</v>
      </c>
      <c r="BF12" s="1" t="n">
        <f aca="false">BF$7*EXP(-BD12/BF$8)</f>
        <v>51.3671841242842</v>
      </c>
      <c r="BG12" s="1" t="n">
        <f aca="false">(BE12-BF12)^2</f>
        <v>76.9934565480342</v>
      </c>
      <c r="BI12" s="1" t="n">
        <f aca="false">$V12</f>
        <v>2</v>
      </c>
      <c r="BJ12" s="1" t="n">
        <f aca="false">AN12</f>
        <v>9.52380952380953</v>
      </c>
      <c r="BK12" s="1" t="n">
        <f aca="false">BK$7*EXP(-BI12/BK$8)</f>
        <v>16.9206331195144</v>
      </c>
      <c r="BL12" s="1" t="n">
        <f aca="false">(BJ12-BK12)^2</f>
        <v>54.7129993059764</v>
      </c>
      <c r="BN12" s="1" t="n">
        <f aca="false">$V12</f>
        <v>2</v>
      </c>
      <c r="BO12" s="1" t="n">
        <f aca="false">AR12</f>
        <v>0</v>
      </c>
      <c r="BP12" s="1" t="n">
        <f aca="false">BP$7*EXP(-BN12/BP$8)</f>
        <v>27.2065026499477</v>
      </c>
      <c r="BQ12" s="1" t="n">
        <f aca="false">(BO12-BP12)^2</f>
        <v>740.193786441611</v>
      </c>
      <c r="BU12" s="1" t="n">
        <f aca="false">V12</f>
        <v>2</v>
      </c>
      <c r="BV12" s="1" t="n">
        <f aca="false">W12/W$9*100</f>
        <v>59.5238095238095</v>
      </c>
      <c r="BW12" s="1" t="n">
        <f aca="false">X12/X$9*100</f>
        <v>57.1428571428571</v>
      </c>
      <c r="BX12" s="1" t="n">
        <f aca="false">Z12/Z$9*100</f>
        <v>27.0588235294118</v>
      </c>
      <c r="BY12" s="1" t="n">
        <f aca="false">AA12/AA$9*100</f>
        <v>38.8235294117647</v>
      </c>
      <c r="BZ12" s="1" t="n">
        <f aca="false">AC12/AC$9*100</f>
        <v>80</v>
      </c>
      <c r="CA12" s="1" t="n">
        <f aca="false">AD12/AD$9*100</f>
        <v>30</v>
      </c>
      <c r="CB12" s="1" t="n">
        <f aca="false">AF12/AF$9*100</f>
        <v>48.1481481481481</v>
      </c>
      <c r="CC12" s="1" t="n">
        <f aca="false">AG12/AG$9*100</f>
        <v>7.40740740740741</v>
      </c>
      <c r="CE12" s="1" t="n">
        <f aca="false">$V12</f>
        <v>2</v>
      </c>
      <c r="CF12" s="1" t="n">
        <f aca="false">BV12</f>
        <v>59.5238095238095</v>
      </c>
      <c r="CG12" s="1" t="n">
        <f aca="false">CG$6*(1+CG$5*(-1)^$BU12)*EXP(-$BU12/CG$4)</f>
        <v>45.0965618837812</v>
      </c>
      <c r="CH12" s="1" t="n">
        <f aca="false">(CF12-CG12)^2</f>
        <v>208.145474466703</v>
      </c>
      <c r="CI12" s="1" t="n">
        <f aca="false">EXP($BU12/CE12)*CF12</f>
        <v>161.802489789229</v>
      </c>
      <c r="CJ12" s="1" t="n">
        <f aca="false">EXP($BU12/CE12)*(-1)^$BU12*CF12</f>
        <v>161.802489789229</v>
      </c>
      <c r="CK12" s="1" t="n">
        <f aca="false">(-1)^CE12*CF12</f>
        <v>59.5238095238095</v>
      </c>
      <c r="CM12" s="1" t="n">
        <f aca="false">$V12</f>
        <v>2</v>
      </c>
      <c r="CN12" s="1" t="n">
        <f aca="false">BZ12</f>
        <v>80</v>
      </c>
      <c r="CO12" s="1" t="n">
        <f aca="false">CO$6*(1+CO$5*(-1)^$BU12)*EXP(-$BU12/CO$4)</f>
        <v>45.0965618837812</v>
      </c>
      <c r="CP12" s="1" t="n">
        <f aca="false">(CN12-CO12)^2</f>
        <v>1218.24999233272</v>
      </c>
      <c r="CQ12" s="1" t="n">
        <f aca="false">EXP($BU12/CM12)*CN12</f>
        <v>217.462546276724</v>
      </c>
      <c r="CR12" s="1" t="n">
        <f aca="false">EXP($BU12/CM12)*(-1)^$BU12*CN12</f>
        <v>217.462546276724</v>
      </c>
      <c r="CS12" s="1" t="n">
        <f aca="false">(-1)^CM12*CN12</f>
        <v>80</v>
      </c>
      <c r="CU12" s="1" t="n">
        <f aca="false">$V12</f>
        <v>2</v>
      </c>
      <c r="CV12" s="1" t="n">
        <f aca="false">CB12</f>
        <v>48.1481481481481</v>
      </c>
      <c r="CW12" s="1" t="n">
        <f aca="false">CW$6*(1+CW$5*(-1)^$BU12)*EXP(-$BU12/CW$4)</f>
        <v>28.3069522542896</v>
      </c>
      <c r="CX12" s="1" t="n">
        <f aca="false">(CV12-CW12)^2</f>
        <v>393.673054498469</v>
      </c>
      <c r="CY12" s="1" t="n">
        <f aca="false">EXP($BU12/CU12)*CV12</f>
        <v>130.880236185065</v>
      </c>
      <c r="CZ12" s="1" t="n">
        <f aca="false">EXP($BU12/CU12)*(-1)^$BU12*CV12</f>
        <v>130.880236185065</v>
      </c>
      <c r="DA12" s="1" t="n">
        <f aca="false">(-1)^CU12*CV12</f>
        <v>48.1481481481481</v>
      </c>
      <c r="DB12" s="1" t="n">
        <v>32.733654</v>
      </c>
    </row>
    <row r="13" customFormat="false" ht="16" hidden="false" customHeight="false" outlineLevel="0" collapsed="false">
      <c r="C13" s="1" t="n">
        <f aca="false">B13-A13</f>
        <v>0</v>
      </c>
      <c r="D13" s="1" t="n">
        <v>2</v>
      </c>
      <c r="E13" s="1" t="n">
        <v>2</v>
      </c>
      <c r="F13" s="1" t="n">
        <f aca="false">E13-D13</f>
        <v>0</v>
      </c>
      <c r="G13" s="1" t="n">
        <v>1</v>
      </c>
      <c r="H13" s="1" t="n">
        <v>3</v>
      </c>
      <c r="I13" s="1" t="n">
        <f aca="false">H13-G13</f>
        <v>2</v>
      </c>
      <c r="J13" s="1" t="n">
        <v>2</v>
      </c>
      <c r="K13" s="1" t="n">
        <f aca="false">SUM(I13:J13)</f>
        <v>4</v>
      </c>
      <c r="L13" s="1" t="n">
        <f aca="false">K13-J13</f>
        <v>2</v>
      </c>
      <c r="M13" s="1" t="n">
        <v>1</v>
      </c>
      <c r="N13" s="1" t="n">
        <v>3</v>
      </c>
      <c r="O13" s="1" t="n">
        <f aca="false">N13-M13</f>
        <v>2</v>
      </c>
      <c r="P13" s="1" t="n">
        <f aca="false">O13/M13</f>
        <v>2</v>
      </c>
      <c r="R13" s="1" t="s">
        <v>48</v>
      </c>
      <c r="S13" s="1" t="n">
        <f aca="false">COUNTIFS(H$2:H$1000,2,G$2:G$1000,1)</f>
        <v>22</v>
      </c>
      <c r="V13" s="1" t="n">
        <v>3</v>
      </c>
      <c r="W13" s="1" t="n">
        <v>4</v>
      </c>
      <c r="X13" s="1" t="n">
        <v>7</v>
      </c>
      <c r="Y13" s="1" t="n">
        <v>0</v>
      </c>
      <c r="Z13" s="1" t="n">
        <v>9</v>
      </c>
      <c r="AA13" s="1" t="n">
        <v>16</v>
      </c>
      <c r="AB13" s="1" t="n">
        <v>4</v>
      </c>
      <c r="AC13" s="1" t="n">
        <v>0</v>
      </c>
      <c r="AD13" s="1" t="n">
        <v>7</v>
      </c>
      <c r="AE13" s="1" t="n">
        <v>0</v>
      </c>
      <c r="AF13" s="1" t="n">
        <v>4</v>
      </c>
      <c r="AG13" s="1" t="n">
        <v>3</v>
      </c>
      <c r="AH13" s="1" t="n">
        <v>3</v>
      </c>
      <c r="AK13" s="1" t="n">
        <f aca="false">V13</f>
        <v>3</v>
      </c>
      <c r="AN13" s="1" t="n">
        <f aca="false">MAX(AN12-W13/W$9*100,0)</f>
        <v>4.76190476190476</v>
      </c>
      <c r="AO13" s="1" t="n">
        <f aca="false">MAX(AO12-X13/X$9*100,0)</f>
        <v>9.52380952380953</v>
      </c>
      <c r="AP13" s="1" t="n">
        <f aca="false">MAX(AP12-Z13/Z$9*100,0)</f>
        <v>7.05882352941176</v>
      </c>
      <c r="AQ13" s="1" t="n">
        <f aca="false">MAX(AQ12-AA13/AA$9*100,0)</f>
        <v>32.9411764705882</v>
      </c>
      <c r="AR13" s="1" t="n">
        <f aca="false">MAX(AR12-AC13/AC$9*100,0)</f>
        <v>0</v>
      </c>
      <c r="AS13" s="1" t="n">
        <f aca="false">MAX(AS12-AD13/AD$9*100,0)</f>
        <v>35</v>
      </c>
      <c r="AT13" s="1" t="n">
        <f aca="false">MAX(AT12-AF13/AF$9*100,0)</f>
        <v>35.1851851851852</v>
      </c>
      <c r="AU13" s="1" t="n">
        <f aca="false">MAX(AU12-AG13/AG$9*100,0)</f>
        <v>87.037037037037</v>
      </c>
      <c r="AY13" s="1" t="n">
        <f aca="false">$V13</f>
        <v>3</v>
      </c>
      <c r="AZ13" s="1" t="n">
        <f aca="false">AO13</f>
        <v>9.52380952380953</v>
      </c>
      <c r="BA13" s="1" t="n">
        <f aca="false">BA$7*EXP(-AY13/BA$8)</f>
        <v>7.39620252098582</v>
      </c>
      <c r="BB13" s="1" t="n">
        <f aca="false">(AZ13-BA13)^2</f>
        <v>4.52671155846448</v>
      </c>
      <c r="BD13" s="1" t="n">
        <f aca="false">$V13</f>
        <v>3</v>
      </c>
      <c r="BE13" s="1" t="n">
        <f aca="false">AT13</f>
        <v>35.1851851851852</v>
      </c>
      <c r="BF13" s="1" t="n">
        <f aca="false">BF$7*EXP(-BD13/BF$8)</f>
        <v>29.2886999558932</v>
      </c>
      <c r="BG13" s="1" t="n">
        <f aca="false">(BE13-BF13)^2</f>
        <v>34.7685380592585</v>
      </c>
      <c r="BI13" s="1" t="n">
        <f aca="false">$V13</f>
        <v>3</v>
      </c>
      <c r="BJ13" s="1" t="n">
        <f aca="false">AN13</f>
        <v>4.76190476190476</v>
      </c>
      <c r="BK13" s="1" t="n">
        <f aca="false">BK$7*EXP(-BI13/BK$8)</f>
        <v>5.14516573406188</v>
      </c>
      <c r="BL13" s="1" t="n">
        <f aca="false">(BJ13-BK13)^2</f>
        <v>0.146888972778818</v>
      </c>
      <c r="BN13" s="1" t="n">
        <f aca="false">$V13</f>
        <v>3</v>
      </c>
      <c r="BO13" s="1" t="n">
        <f aca="false">AR13</f>
        <v>0</v>
      </c>
      <c r="BP13" s="1" t="n">
        <f aca="false">BP$7*EXP(-BN13/BP$8)</f>
        <v>9.06621542271162</v>
      </c>
      <c r="BQ13" s="1" t="n">
        <f aca="false">(BO13-BP13)^2</f>
        <v>82.196262091014</v>
      </c>
      <c r="BU13" s="1" t="n">
        <f aca="false">V13</f>
        <v>3</v>
      </c>
      <c r="BV13" s="1" t="n">
        <f aca="false">W13/W$9*100</f>
        <v>4.76190476190476</v>
      </c>
      <c r="BW13" s="1" t="n">
        <f aca="false">X13/X$9*100</f>
        <v>8.33333333333333</v>
      </c>
      <c r="BX13" s="1" t="n">
        <f aca="false">Z13/Z$9*100</f>
        <v>10.5882352941176</v>
      </c>
      <c r="BY13" s="1" t="n">
        <f aca="false">AA13/AA$9*100</f>
        <v>18.8235294117647</v>
      </c>
      <c r="BZ13" s="1" t="n">
        <f aca="false">AC13/AC$9*100</f>
        <v>0</v>
      </c>
      <c r="CA13" s="1" t="n">
        <f aca="false">AD13/AD$9*100</f>
        <v>35</v>
      </c>
      <c r="CB13" s="1" t="n">
        <f aca="false">AF13/AF$9*100</f>
        <v>7.40740740740741</v>
      </c>
      <c r="CC13" s="1" t="n">
        <f aca="false">AG13/AG$9*100</f>
        <v>5.55555555555556</v>
      </c>
      <c r="CE13" s="1" t="n">
        <f aca="false">$V13</f>
        <v>3</v>
      </c>
      <c r="CF13" s="1" t="n">
        <f aca="false">BV13</f>
        <v>4.76190476190476</v>
      </c>
      <c r="CG13" s="1" t="n">
        <f aca="false">CG$6*(1+CG$5*(-1)^$BU13)*EXP(-$BU13/CG$4)</f>
        <v>7.23629676962097</v>
      </c>
      <c r="CH13" s="1" t="n">
        <f aca="false">(CF13-CG13)^2</f>
        <v>6.12261580784985</v>
      </c>
      <c r="CI13" s="1" t="n">
        <f aca="false">EXP($BU13/CE13)*CF13</f>
        <v>12.9441991831383</v>
      </c>
      <c r="CJ13" s="1" t="n">
        <f aca="false">EXP($BU13/CE13)*(-1)^$BU13*CF13</f>
        <v>-12.9441991831383</v>
      </c>
      <c r="CK13" s="1" t="n">
        <f aca="false">(-1)^CE13*CF13</f>
        <v>-4.76190476190476</v>
      </c>
      <c r="CM13" s="1" t="n">
        <f aca="false">$V13</f>
        <v>3</v>
      </c>
      <c r="CN13" s="1" t="n">
        <f aca="false">BZ13</f>
        <v>0</v>
      </c>
      <c r="CO13" s="1" t="n">
        <f aca="false">CO$6*(1+CO$5*(-1)^$BU13)*EXP(-$BU13/CO$4)</f>
        <v>7.23629676962097</v>
      </c>
      <c r="CP13" s="1" t="n">
        <f aca="false">(CN13-CO13)^2</f>
        <v>52.3639909380269</v>
      </c>
      <c r="CQ13" s="1" t="n">
        <f aca="false">EXP($BU13/CM13)*CN13</f>
        <v>0</v>
      </c>
      <c r="CR13" s="1" t="n">
        <f aca="false">EXP($BU13/CM13)*(-1)^$BU13*CN13</f>
        <v>-0</v>
      </c>
      <c r="CS13" s="1" t="n">
        <f aca="false">(-1)^CM13*CN13</f>
        <v>-0</v>
      </c>
      <c r="CU13" s="1" t="n">
        <f aca="false">$V13</f>
        <v>3</v>
      </c>
      <c r="CV13" s="1" t="n">
        <f aca="false">CB13</f>
        <v>7.40740740740741</v>
      </c>
      <c r="CW13" s="1" t="n">
        <f aca="false">CW$6*(1+CW$5*(-1)^$BU13)*EXP(-$BU13/CW$4)</f>
        <v>10.448724216696</v>
      </c>
      <c r="CX13" s="1" t="n">
        <f aca="false">(CV13-CW13)^2</f>
        <v>9.24960793446135</v>
      </c>
      <c r="CY13" s="1" t="n">
        <f aca="false">EXP($BU13/CU13)*CV13</f>
        <v>20.1354209515485</v>
      </c>
      <c r="CZ13" s="1" t="n">
        <f aca="false">EXP($BU13/CU13)*(-1)^$BU13*CV13</f>
        <v>-20.1354209515485</v>
      </c>
      <c r="DA13" s="1" t="n">
        <f aca="false">(-1)^CU13*CV13</f>
        <v>-7.40740740740741</v>
      </c>
      <c r="DB13" s="1" t="n">
        <v>18.186517</v>
      </c>
    </row>
    <row r="14" customFormat="false" ht="16" hidden="false" customHeight="false" outlineLevel="0" collapsed="false">
      <c r="C14" s="1" t="n">
        <f aca="false">B14-A14</f>
        <v>0</v>
      </c>
      <c r="D14" s="1" t="n">
        <v>1</v>
      </c>
      <c r="E14" s="1" t="n">
        <v>1</v>
      </c>
      <c r="F14" s="1" t="n">
        <f aca="false">E14-D14</f>
        <v>0</v>
      </c>
      <c r="G14" s="1" t="n">
        <v>2</v>
      </c>
      <c r="H14" s="1" t="n">
        <v>2</v>
      </c>
      <c r="I14" s="1" t="n">
        <f aca="false">H14-G14</f>
        <v>0</v>
      </c>
      <c r="J14" s="1" t="n">
        <v>2</v>
      </c>
      <c r="K14" s="1" t="n">
        <f aca="false">SUM(I14:J14)</f>
        <v>2</v>
      </c>
      <c r="L14" s="1" t="n">
        <f aca="false">K14-J14</f>
        <v>0</v>
      </c>
      <c r="M14" s="1" t="n">
        <v>4</v>
      </c>
      <c r="N14" s="1" t="n">
        <v>6</v>
      </c>
      <c r="O14" s="1" t="n">
        <f aca="false">N14-M14</f>
        <v>2</v>
      </c>
      <c r="P14" s="1" t="n">
        <f aca="false">O14/M14</f>
        <v>0.5</v>
      </c>
      <c r="R14" s="1" t="s">
        <v>52</v>
      </c>
      <c r="S14" s="1" t="n">
        <f aca="false">COUNTIFS(H$2:H$1000,2,G$2:G$1000,0)</f>
        <v>0</v>
      </c>
      <c r="V14" s="1" t="n">
        <v>4</v>
      </c>
      <c r="W14" s="1" t="n">
        <v>4</v>
      </c>
      <c r="X14" s="1" t="n">
        <v>8</v>
      </c>
      <c r="Y14" s="1" t="n">
        <v>0</v>
      </c>
      <c r="Z14" s="1" t="n">
        <v>6</v>
      </c>
      <c r="AA14" s="1" t="n">
        <v>11</v>
      </c>
      <c r="AB14" s="1" t="n">
        <v>5</v>
      </c>
      <c r="AC14" s="1" t="n">
        <v>0</v>
      </c>
      <c r="AD14" s="1" t="n">
        <v>6</v>
      </c>
      <c r="AE14" s="1" t="n">
        <v>1</v>
      </c>
      <c r="AF14" s="1" t="n">
        <v>11</v>
      </c>
      <c r="AG14" s="1" t="n">
        <v>7</v>
      </c>
      <c r="AH14" s="1" t="n">
        <v>21</v>
      </c>
      <c r="AK14" s="1" t="n">
        <f aca="false">V14</f>
        <v>4</v>
      </c>
      <c r="AN14" s="1" t="n">
        <f aca="false">MAX(AN13-W14/W$9*100,0)</f>
        <v>0</v>
      </c>
      <c r="AO14" s="1" t="n">
        <f aca="false">MAX(AO13-X14/X$9*100,0)</f>
        <v>0</v>
      </c>
      <c r="AP14" s="1" t="n">
        <f aca="false">MAX(AP13-Z14/Z$9*100,0)</f>
        <v>0</v>
      </c>
      <c r="AQ14" s="1" t="n">
        <f aca="false">MAX(AQ13-AA14/AA$9*100,0)</f>
        <v>20</v>
      </c>
      <c r="AR14" s="1" t="n">
        <f aca="false">MAX(AR13-AC14/AC$9*100,0)</f>
        <v>0</v>
      </c>
      <c r="AS14" s="1" t="n">
        <f aca="false">MAX(AS13-AD14/AD$9*100,0)</f>
        <v>5</v>
      </c>
      <c r="AT14" s="1" t="n">
        <f aca="false">MAX(AT13-AF14/AF$9*100,0)</f>
        <v>14.8148148148148</v>
      </c>
      <c r="AU14" s="1" t="n">
        <f aca="false">MAX(AU13-AG14/AG$9*100,0)</f>
        <v>74.0740740740741</v>
      </c>
      <c r="AY14" s="1" t="n">
        <f aca="false">$V14</f>
        <v>4</v>
      </c>
      <c r="AZ14" s="1" t="n">
        <f aca="false">AO14</f>
        <v>0</v>
      </c>
      <c r="BA14" s="1" t="n">
        <f aca="false">BA$7*EXP(-AY14/BA$8)</f>
        <v>2.638046973452</v>
      </c>
      <c r="BB14" s="1" t="n">
        <f aca="false">(AZ14-BA14)^2</f>
        <v>6.95929183413926</v>
      </c>
      <c r="BD14" s="1" t="n">
        <f aca="false">$V14</f>
        <v>4</v>
      </c>
      <c r="BE14" s="1" t="n">
        <f aca="false">AT14</f>
        <v>14.8148148148148</v>
      </c>
      <c r="BF14" s="1" t="n">
        <f aca="false">BF$7*EXP(-BD14/BF$8)</f>
        <v>16.6999215497349</v>
      </c>
      <c r="BG14" s="1" t="n">
        <f aca="false">(BE14-BF14)^2</f>
        <v>3.55362740204107</v>
      </c>
      <c r="BI14" s="1" t="n">
        <f aca="false">$V14</f>
        <v>4</v>
      </c>
      <c r="BJ14" s="1" t="n">
        <f aca="false">AN14</f>
        <v>0</v>
      </c>
      <c r="BK14" s="1" t="n">
        <f aca="false">BK$7*EXP(-BI14/BK$8)</f>
        <v>1.56452363478255</v>
      </c>
      <c r="BL14" s="1" t="n">
        <f aca="false">(BJ14-BK14)^2</f>
        <v>2.4477342037932</v>
      </c>
      <c r="BN14" s="1" t="n">
        <f aca="false">$V14</f>
        <v>4</v>
      </c>
      <c r="BO14" s="1" t="n">
        <f aca="false">AR14</f>
        <v>0</v>
      </c>
      <c r="BP14" s="1" t="n">
        <f aca="false">BP$7*EXP(-BN14/BP$8)</f>
        <v>3.0211991283331</v>
      </c>
      <c r="BQ14" s="1" t="n">
        <f aca="false">(BO14-BP14)^2</f>
        <v>9.12764417304068</v>
      </c>
      <c r="BU14" s="1" t="n">
        <f aca="false">V14</f>
        <v>4</v>
      </c>
      <c r="BV14" s="1" t="n">
        <f aca="false">W14/W$9*100</f>
        <v>4.76190476190476</v>
      </c>
      <c r="BW14" s="1" t="n">
        <f aca="false">X14/X$9*100</f>
        <v>9.52380952380952</v>
      </c>
      <c r="BX14" s="1" t="n">
        <f aca="false">Z14/Z$9*100</f>
        <v>7.05882352941176</v>
      </c>
      <c r="BY14" s="1" t="n">
        <f aca="false">AA14/AA$9*100</f>
        <v>12.9411764705882</v>
      </c>
      <c r="BZ14" s="1" t="n">
        <f aca="false">AC14/AC$9*100</f>
        <v>0</v>
      </c>
      <c r="CA14" s="1" t="n">
        <f aca="false">AD14/AD$9*100</f>
        <v>30</v>
      </c>
      <c r="CB14" s="1" t="n">
        <f aca="false">AF14/AF$9*100</f>
        <v>20.3703703703704</v>
      </c>
      <c r="CC14" s="1" t="n">
        <f aca="false">AG14/AG$9*100</f>
        <v>12.962962962963</v>
      </c>
      <c r="CE14" s="1" t="n">
        <f aca="false">$V14</f>
        <v>4</v>
      </c>
      <c r="CF14" s="1" t="n">
        <f aca="false">BV14</f>
        <v>4.76190476190476</v>
      </c>
      <c r="CG14" s="1" t="n">
        <f aca="false">CG$6*(1+CG$5*(-1)^$BU14)*EXP(-$BU14/CG$4)</f>
        <v>9.91109161623137</v>
      </c>
      <c r="CH14" s="1" t="n">
        <f aca="false">(CF14-CG14)^2</f>
        <v>26.51412526077</v>
      </c>
      <c r="CI14" s="1" t="n">
        <f aca="false">EXP($BU14/CE14)*CF14</f>
        <v>12.9441991831383</v>
      </c>
      <c r="CJ14" s="1" t="n">
        <f aca="false">EXP($BU14/CE14)*(-1)^$BU14*CF14</f>
        <v>12.9441991831383</v>
      </c>
      <c r="CK14" s="1" t="n">
        <f aca="false">(-1)^CE14*CF14</f>
        <v>4.76190476190476</v>
      </c>
      <c r="CM14" s="1" t="n">
        <f aca="false">$V14</f>
        <v>4</v>
      </c>
      <c r="CN14" s="1" t="n">
        <f aca="false">BZ14</f>
        <v>0</v>
      </c>
      <c r="CO14" s="1" t="n">
        <f aca="false">CO$6*(1+CO$5*(-1)^$BU14)*EXP(-$BU14/CO$4)</f>
        <v>9.91109161623137</v>
      </c>
      <c r="CP14" s="1" t="n">
        <f aca="false">(CN14-CO14)^2</f>
        <v>98.2297370253318</v>
      </c>
      <c r="CQ14" s="1" t="n">
        <f aca="false">EXP($BU14/CM14)*CN14</f>
        <v>0</v>
      </c>
      <c r="CR14" s="1" t="n">
        <f aca="false">EXP($BU14/CM14)*(-1)^$BU14*CN14</f>
        <v>0</v>
      </c>
      <c r="CS14" s="1" t="n">
        <f aca="false">(-1)^CM14*CN14</f>
        <v>0</v>
      </c>
      <c r="CU14" s="1" t="n">
        <f aca="false">$V14</f>
        <v>4</v>
      </c>
      <c r="CV14" s="1" t="n">
        <f aca="false">CB14</f>
        <v>20.3703703703704</v>
      </c>
      <c r="CW14" s="1" t="n">
        <f aca="false">CW$6*(1+CW$5*(-1)^$BU14)*EXP(-$BU14/CW$4)</f>
        <v>14.5332738749905</v>
      </c>
      <c r="CX14" s="1" t="n">
        <f aca="false">(CV14-CW14)^2</f>
        <v>34.071695496376</v>
      </c>
      <c r="CY14" s="1" t="n">
        <f aca="false">EXP($BU14/CU14)*CV14</f>
        <v>55.3724076167583</v>
      </c>
      <c r="CZ14" s="1" t="n">
        <f aca="false">EXP($BU14/CU14)*(-1)^$BU14*CV14</f>
        <v>55.3724076167583</v>
      </c>
      <c r="DA14" s="1" t="n">
        <f aca="false">(-1)^CU14*CV14</f>
        <v>20.3703703703704</v>
      </c>
      <c r="DB14" s="1" t="n">
        <v>14.681435</v>
      </c>
    </row>
    <row r="15" customFormat="false" ht="16" hidden="false" customHeight="false" outlineLevel="0" collapsed="false">
      <c r="C15" s="1" t="n">
        <f aca="false">B15-A15</f>
        <v>0</v>
      </c>
      <c r="D15" s="1" t="n">
        <v>2</v>
      </c>
      <c r="E15" s="1" t="n">
        <v>2</v>
      </c>
      <c r="F15" s="1" t="n">
        <f aca="false">E15-D15</f>
        <v>0</v>
      </c>
      <c r="G15" s="1" t="n">
        <v>1</v>
      </c>
      <c r="H15" s="1" t="n">
        <v>2</v>
      </c>
      <c r="I15" s="1" t="n">
        <f aca="false">H15-G15</f>
        <v>1</v>
      </c>
      <c r="J15" s="1" t="n">
        <v>2</v>
      </c>
      <c r="K15" s="1" t="n">
        <f aca="false">SUM(I15:J15)</f>
        <v>3</v>
      </c>
      <c r="L15" s="1" t="n">
        <f aca="false">K15-J15</f>
        <v>1</v>
      </c>
      <c r="M15" s="1" t="n">
        <v>2</v>
      </c>
      <c r="N15" s="1" t="n">
        <v>4</v>
      </c>
      <c r="O15" s="1" t="n">
        <f aca="false">N15-M15</f>
        <v>2</v>
      </c>
      <c r="P15" s="1" t="n">
        <f aca="false">O15/M15</f>
        <v>1</v>
      </c>
      <c r="V15" s="1" t="n">
        <v>5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10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1</v>
      </c>
      <c r="AG15" s="1" t="n">
        <v>3</v>
      </c>
      <c r="AH15" s="1" t="n">
        <v>1</v>
      </c>
      <c r="AK15" s="1" t="n">
        <f aca="false">V15</f>
        <v>5</v>
      </c>
      <c r="AN15" s="1" t="n">
        <f aca="false">MAX(AN14-W15/W$9*100,0)</f>
        <v>0</v>
      </c>
      <c r="AO15" s="1" t="n">
        <f aca="false">MAX(AO14-X15/X$9*100,0)</f>
        <v>0</v>
      </c>
      <c r="AP15" s="1" t="n">
        <f aca="false">MAX(AP14-Z15/Z$9*100,0)</f>
        <v>0</v>
      </c>
      <c r="AQ15" s="1" t="n">
        <f aca="false">MAX(AQ14-AA15/AA$9*100,0)</f>
        <v>8.23529411764705</v>
      </c>
      <c r="AR15" s="1" t="n">
        <f aca="false">MAX(AR14-AC15/AC$9*100,0)</f>
        <v>0</v>
      </c>
      <c r="AS15" s="1" t="n">
        <f aca="false">MAX(AS14-AD15/AD$9*100,0)</f>
        <v>5</v>
      </c>
      <c r="AT15" s="1" t="n">
        <f aca="false">MAX(AT14-AF15/AF$9*100,0)</f>
        <v>12.962962962963</v>
      </c>
      <c r="AU15" s="1" t="n">
        <f aca="false">MAX(AU14-AG15/AG$9*100,0)</f>
        <v>68.5185185185185</v>
      </c>
      <c r="AY15" s="1" t="n">
        <f aca="false">$V15</f>
        <v>5</v>
      </c>
      <c r="AZ15" s="1" t="n">
        <f aca="false">AO15</f>
        <v>0</v>
      </c>
      <c r="BA15" s="1" t="n">
        <f aca="false">BA$7*EXP(-AY15/BA$8)</f>
        <v>0.940927700991571</v>
      </c>
      <c r="BB15" s="1" t="n">
        <f aca="false">(AZ15-BA15)^2</f>
        <v>0.885344938493283</v>
      </c>
      <c r="BD15" s="1" t="n">
        <f aca="false">$V15</f>
        <v>5</v>
      </c>
      <c r="BE15" s="1" t="n">
        <f aca="false">AT15</f>
        <v>12.962962962963</v>
      </c>
      <c r="BF15" s="1" t="n">
        <f aca="false">BF$7*EXP(-BD15/BF$8)</f>
        <v>9.52201293288151</v>
      </c>
      <c r="BG15" s="1" t="n">
        <f aca="false">(BE15-BF15)^2</f>
        <v>11.8401371095175</v>
      </c>
      <c r="BI15" s="1" t="n">
        <f aca="false">$V15</f>
        <v>5</v>
      </c>
      <c r="BJ15" s="1" t="n">
        <f aca="false">AN15</f>
        <v>0</v>
      </c>
      <c r="BK15" s="1" t="n">
        <f aca="false">BK$7*EXP(-BI15/BK$8)</f>
        <v>0.475734763525453</v>
      </c>
      <c r="BL15" s="1" t="n">
        <f aca="false">(BJ15-BK15)^2</f>
        <v>0.226323565226619</v>
      </c>
      <c r="BN15" s="1" t="n">
        <f aca="false">$V15</f>
        <v>5</v>
      </c>
      <c r="BO15" s="1" t="n">
        <f aca="false">AR15</f>
        <v>0</v>
      </c>
      <c r="BP15" s="1" t="n">
        <f aca="false">BP$7*EXP(-BN15/BP$8)</f>
        <v>1.00677556703265</v>
      </c>
      <c r="BQ15" s="1" t="n">
        <f aca="false">(BO15-BP15)^2</f>
        <v>1.01359704237391</v>
      </c>
      <c r="BU15" s="1" t="n">
        <f aca="false">V15</f>
        <v>5</v>
      </c>
      <c r="BV15" s="1" t="n">
        <f aca="false">W15/W$9*100</f>
        <v>0</v>
      </c>
      <c r="BW15" s="1" t="n">
        <f aca="false">X15/X$9*100</f>
        <v>0</v>
      </c>
      <c r="BX15" s="1" t="n">
        <f aca="false">Z15/Z$9*100</f>
        <v>0</v>
      </c>
      <c r="BY15" s="1" t="n">
        <f aca="false">AA15/AA$9*100</f>
        <v>11.7647058823529</v>
      </c>
      <c r="BZ15" s="1" t="n">
        <f aca="false">AC15/AC$9*100</f>
        <v>0</v>
      </c>
      <c r="CA15" s="1" t="n">
        <f aca="false">AD15/AD$9*100</f>
        <v>0</v>
      </c>
      <c r="CB15" s="1" t="n">
        <f aca="false">AF15/AF$9*100</f>
        <v>1.85185185185185</v>
      </c>
      <c r="CC15" s="1" t="n">
        <f aca="false">AG15/AG$9*100</f>
        <v>5.55555555555556</v>
      </c>
      <c r="CE15" s="1" t="n">
        <f aca="false">$V15</f>
        <v>5</v>
      </c>
      <c r="CF15" s="1" t="n">
        <f aca="false">BV15</f>
        <v>0</v>
      </c>
      <c r="CG15" s="1" t="n">
        <f aca="false">CG$6*(1+CG$5*(-1)^$BU15)*EXP(-$BU15/CG$4)</f>
        <v>1.59035627662219</v>
      </c>
      <c r="CH15" s="1" t="n">
        <f aca="false">(CF15-CG15)^2</f>
        <v>2.5292330865916</v>
      </c>
      <c r="CI15" s="1" t="n">
        <f aca="false">EXP($BU15/CE15)*CF15</f>
        <v>0</v>
      </c>
      <c r="CJ15" s="1" t="n">
        <f aca="false">EXP($BU15/CE15)*(-1)^$BU15*CF15</f>
        <v>-0</v>
      </c>
      <c r="CK15" s="1" t="n">
        <f aca="false">(-1)^CE15*CF15</f>
        <v>-0</v>
      </c>
      <c r="CM15" s="1" t="n">
        <f aca="false">$V15</f>
        <v>5</v>
      </c>
      <c r="CN15" s="1" t="n">
        <f aca="false">BZ15</f>
        <v>0</v>
      </c>
      <c r="CO15" s="1" t="n">
        <f aca="false">CO$6*(1+CO$5*(-1)^$BU15)*EXP(-$BU15/CO$4)</f>
        <v>1.59035627662219</v>
      </c>
      <c r="CP15" s="1" t="n">
        <f aca="false">(CN15-CO15)^2</f>
        <v>2.5292330865916</v>
      </c>
      <c r="CQ15" s="1" t="n">
        <f aca="false">EXP($BU15/CM15)*CN15</f>
        <v>0</v>
      </c>
      <c r="CR15" s="1" t="n">
        <f aca="false">EXP($BU15/CM15)*(-1)^$BU15*CN15</f>
        <v>-0</v>
      </c>
      <c r="CS15" s="1" t="n">
        <f aca="false">(-1)^CM15*CN15</f>
        <v>-0</v>
      </c>
      <c r="CU15" s="1" t="n">
        <f aca="false">$V15</f>
        <v>5</v>
      </c>
      <c r="CV15" s="1" t="n">
        <f aca="false">CB15</f>
        <v>1.85185185185185</v>
      </c>
      <c r="CW15" s="1" t="n">
        <f aca="false">CW$6*(1+CW$5*(-1)^$BU15)*EXP(-$BU15/CW$4)</f>
        <v>5.36455388490215</v>
      </c>
      <c r="CX15" s="1" t="n">
        <f aca="false">(CV15-CW15)^2</f>
        <v>12.3390755729957</v>
      </c>
      <c r="CY15" s="1" t="n">
        <f aca="false">EXP($BU15/CU15)*CV15</f>
        <v>5.03385523788712</v>
      </c>
      <c r="CZ15" s="1" t="n">
        <f aca="false">EXP($BU15/CU15)*(-1)^$BU15*CV15</f>
        <v>-5.03385523788712</v>
      </c>
      <c r="DA15" s="1" t="n">
        <f aca="false">(-1)^CU15*CV15</f>
        <v>-1.85185185185185</v>
      </c>
      <c r="DB15" s="1" t="n">
        <v>7.941985</v>
      </c>
    </row>
    <row r="16" customFormat="false" ht="16" hidden="false" customHeight="false" outlineLevel="0" collapsed="false">
      <c r="C16" s="1" t="n">
        <f aca="false">B16-A16</f>
        <v>0</v>
      </c>
      <c r="D16" s="1" t="n">
        <v>1</v>
      </c>
      <c r="E16" s="1" t="n">
        <v>3</v>
      </c>
      <c r="F16" s="1" t="n">
        <f aca="false">E16-D16</f>
        <v>2</v>
      </c>
      <c r="G16" s="1" t="n">
        <v>1</v>
      </c>
      <c r="H16" s="1" t="n">
        <v>2</v>
      </c>
      <c r="I16" s="1" t="n">
        <f aca="false">H16-G16</f>
        <v>1</v>
      </c>
      <c r="J16" s="1" t="n">
        <v>1</v>
      </c>
      <c r="K16" s="1" t="n">
        <f aca="false">SUM(I16:J16)</f>
        <v>2</v>
      </c>
      <c r="L16" s="1" t="n">
        <f aca="false">K16-J16</f>
        <v>1</v>
      </c>
      <c r="M16" s="1" t="n">
        <v>2</v>
      </c>
      <c r="N16" s="1" t="n">
        <v>4</v>
      </c>
      <c r="O16" s="1" t="n">
        <f aca="false">N16-M16</f>
        <v>2</v>
      </c>
      <c r="P16" s="1" t="n">
        <f aca="false">O16/M16</f>
        <v>1</v>
      </c>
      <c r="R16" s="1" t="s">
        <v>71</v>
      </c>
      <c r="V16" s="1" t="n">
        <v>6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7</v>
      </c>
      <c r="AB16" s="1" t="n">
        <v>0</v>
      </c>
      <c r="AC16" s="1" t="n">
        <v>0</v>
      </c>
      <c r="AD16" s="1" t="n">
        <v>1</v>
      </c>
      <c r="AE16" s="1" t="n">
        <v>0</v>
      </c>
      <c r="AF16" s="1" t="n">
        <v>4</v>
      </c>
      <c r="AG16" s="1" t="n">
        <v>12</v>
      </c>
      <c r="AH16" s="1" t="n">
        <v>6</v>
      </c>
      <c r="AK16" s="1" t="n">
        <f aca="false">V16</f>
        <v>6</v>
      </c>
      <c r="AN16" s="1" t="n">
        <f aca="false">MAX(AN15-W16/W$9*100,0)</f>
        <v>0</v>
      </c>
      <c r="AO16" s="1" t="n">
        <f aca="false">MAX(AO15-X16/X$9*100,0)</f>
        <v>0</v>
      </c>
      <c r="AP16" s="1" t="n">
        <f aca="false">MAX(AP15-Z16/Z$9*100,0)</f>
        <v>0</v>
      </c>
      <c r="AQ16" s="1" t="n">
        <f aca="false">MAX(AQ15-AA16/AA$9*100,0)</f>
        <v>0</v>
      </c>
      <c r="AR16" s="1" t="n">
        <f aca="false">MAX(AR15-AC16/AC$9*100,0)</f>
        <v>0</v>
      </c>
      <c r="AS16" s="1" t="n">
        <f aca="false">MAX(AS15-AD16/AD$9*100,0)</f>
        <v>0</v>
      </c>
      <c r="AT16" s="1" t="n">
        <f aca="false">MAX(AT15-AF16/AF$9*100,0)</f>
        <v>5.55555555555556</v>
      </c>
      <c r="AU16" s="1" t="n">
        <f aca="false">MAX(AU15-AG16/AG$9*100,0)</f>
        <v>46.2962962962963</v>
      </c>
      <c r="AY16" s="1" t="n">
        <f aca="false">$V16</f>
        <v>6</v>
      </c>
      <c r="AZ16" s="1" t="n">
        <f aca="false">AO16</f>
        <v>0</v>
      </c>
      <c r="BA16" s="1" t="n">
        <f aca="false">BA$7*EXP(-AY16/BA$8)</f>
        <v>0.335606206941331</v>
      </c>
      <c r="BB16" s="1" t="n">
        <f aca="false">(AZ16-BA16)^2</f>
        <v>0.112631526137547</v>
      </c>
      <c r="BD16" s="1" t="n">
        <f aca="false">$V16</f>
        <v>6</v>
      </c>
      <c r="BE16" s="1" t="n">
        <f aca="false">AT16</f>
        <v>5.55555555555556</v>
      </c>
      <c r="BF16" s="1" t="n">
        <f aca="false">BF$7*EXP(-BD16/BF$8)</f>
        <v>5.42929079181225</v>
      </c>
      <c r="BG16" s="1" t="n">
        <f aca="false">(BE16-BF16)^2</f>
        <v>0.0159427905631526</v>
      </c>
      <c r="BI16" s="1" t="n">
        <f aca="false">$V16</f>
        <v>6</v>
      </c>
      <c r="BJ16" s="1" t="n">
        <f aca="false">AN16</f>
        <v>0</v>
      </c>
      <c r="BK16" s="1" t="n">
        <f aca="false">BK$7*EXP(-BI16/BK$8)</f>
        <v>0.144659729130954</v>
      </c>
      <c r="BL16" s="1" t="n">
        <f aca="false">(BJ16-BK16)^2</f>
        <v>0.020926437232241</v>
      </c>
      <c r="BN16" s="1" t="n">
        <f aca="false">$V16</f>
        <v>6</v>
      </c>
      <c r="BO16" s="1" t="n">
        <f aca="false">AR16</f>
        <v>0</v>
      </c>
      <c r="BP16" s="1" t="n">
        <f aca="false">BP$7*EXP(-BN16/BP$8)</f>
        <v>0.335494947310261</v>
      </c>
      <c r="BQ16" s="1" t="n">
        <f aca="false">(BO16-BP16)^2</f>
        <v>0.112556859670715</v>
      </c>
      <c r="BU16" s="1" t="n">
        <f aca="false">V16</f>
        <v>6</v>
      </c>
      <c r="BV16" s="1" t="n">
        <f aca="false">W16/W$9*100</f>
        <v>0</v>
      </c>
      <c r="BW16" s="1" t="n">
        <f aca="false">X16/X$9*100</f>
        <v>0</v>
      </c>
      <c r="BX16" s="1" t="n">
        <f aca="false">Z16/Z$9*100</f>
        <v>0</v>
      </c>
      <c r="BY16" s="1" t="n">
        <f aca="false">AA16/AA$9*100</f>
        <v>8.23529411764706</v>
      </c>
      <c r="BZ16" s="1" t="n">
        <f aca="false">AC16/AC$9*100</f>
        <v>0</v>
      </c>
      <c r="CA16" s="1" t="n">
        <f aca="false">AD16/AD$9*100</f>
        <v>5</v>
      </c>
      <c r="CB16" s="1" t="n">
        <f aca="false">AF16/AF$9*100</f>
        <v>7.40740740740741</v>
      </c>
      <c r="CC16" s="1" t="n">
        <f aca="false">AG16/AG$9*100</f>
        <v>22.2222222222222</v>
      </c>
      <c r="CE16" s="1" t="n">
        <f aca="false">$V16</f>
        <v>6</v>
      </c>
      <c r="CF16" s="1" t="n">
        <f aca="false">BV16</f>
        <v>0</v>
      </c>
      <c r="CG16" s="1" t="n">
        <f aca="false">CG$6*(1+CG$5*(-1)^$BU16)*EXP(-$BU16/CG$4)</f>
        <v>2.17820900135315</v>
      </c>
      <c r="CH16" s="1" t="n">
        <f aca="false">(CF16-CG16)^2</f>
        <v>4.74459445357589</v>
      </c>
      <c r="CI16" s="1" t="n">
        <f aca="false">EXP($BU16/CE16)*CF16</f>
        <v>0</v>
      </c>
      <c r="CJ16" s="1" t="n">
        <f aca="false">EXP($BU16/CE16)*(-1)^$BU16*CF16</f>
        <v>0</v>
      </c>
      <c r="CK16" s="1" t="n">
        <f aca="false">(-1)^CE16*CF16</f>
        <v>0</v>
      </c>
      <c r="CM16" s="1" t="n">
        <f aca="false">$V16</f>
        <v>6</v>
      </c>
      <c r="CN16" s="1" t="n">
        <f aca="false">BZ16</f>
        <v>0</v>
      </c>
      <c r="CO16" s="1" t="n">
        <f aca="false">CO$6*(1+CO$5*(-1)^$BU16)*EXP(-$BU16/CO$4)</f>
        <v>2.17820900135315</v>
      </c>
      <c r="CP16" s="1" t="n">
        <f aca="false">(CN16-CO16)^2</f>
        <v>4.74459445357589</v>
      </c>
      <c r="CQ16" s="1" t="n">
        <f aca="false">EXP($BU16/CM16)*CN16</f>
        <v>0</v>
      </c>
      <c r="CR16" s="1" t="n">
        <f aca="false">EXP($BU16/CM16)*(-1)^$BU16*CN16</f>
        <v>0</v>
      </c>
      <c r="CS16" s="1" t="n">
        <f aca="false">(-1)^CM16*CN16</f>
        <v>0</v>
      </c>
      <c r="CU16" s="1" t="n">
        <f aca="false">$V16</f>
        <v>6</v>
      </c>
      <c r="CV16" s="1" t="n">
        <f aca="false">CB16</f>
        <v>7.40740740740741</v>
      </c>
      <c r="CW16" s="1" t="n">
        <f aca="false">CW$6*(1+CW$5*(-1)^$BU16)*EXP(-$BU16/CW$4)</f>
        <v>7.46163160300926</v>
      </c>
      <c r="CX16" s="1" t="n">
        <f aca="false">(CV16-CW16)^2</f>
        <v>0.00294026338866806</v>
      </c>
      <c r="CY16" s="1" t="n">
        <f aca="false">EXP($BU16/CU16)*CV16</f>
        <v>20.1354209515485</v>
      </c>
      <c r="CZ16" s="1" t="n">
        <f aca="false">EXP($BU16/CU16)*(-1)^$BU16*CV16</f>
        <v>20.1354209515485</v>
      </c>
      <c r="DA16" s="1" t="n">
        <f aca="false">(-1)^CU16*CV16</f>
        <v>7.40740740740741</v>
      </c>
      <c r="DB16" s="1" t="n">
        <v>4.824121</v>
      </c>
    </row>
    <row r="17" customFormat="false" ht="16" hidden="false" customHeight="false" outlineLevel="0" collapsed="false">
      <c r="C17" s="1" t="n">
        <f aca="false">B17-A17</f>
        <v>0</v>
      </c>
      <c r="D17" s="1" t="n">
        <v>1</v>
      </c>
      <c r="E17" s="1" t="n">
        <v>1</v>
      </c>
      <c r="F17" s="1" t="n">
        <f aca="false">E17-D17</f>
        <v>0</v>
      </c>
      <c r="G17" s="1" t="n">
        <v>1</v>
      </c>
      <c r="H17" s="1" t="n">
        <v>3</v>
      </c>
      <c r="I17" s="1" t="n">
        <f aca="false">H17-G17</f>
        <v>2</v>
      </c>
      <c r="J17" s="1" t="n">
        <v>2</v>
      </c>
      <c r="K17" s="1" t="n">
        <f aca="false">SUM(I17:J17)</f>
        <v>4</v>
      </c>
      <c r="L17" s="1" t="n">
        <f aca="false">K17-J17</f>
        <v>2</v>
      </c>
      <c r="M17" s="1" t="n">
        <v>6</v>
      </c>
      <c r="N17" s="1" t="n">
        <v>12</v>
      </c>
      <c r="O17" s="1" t="n">
        <f aca="false">N17-M17</f>
        <v>6</v>
      </c>
      <c r="P17" s="1" t="n">
        <f aca="false">O17/M17</f>
        <v>1</v>
      </c>
      <c r="R17" s="1" t="s">
        <v>41</v>
      </c>
      <c r="S17" s="1" t="n">
        <f aca="false">COUNTIFS(K$2:K$1000,2,J$2:J$1000,2)</f>
        <v>3</v>
      </c>
      <c r="V17" s="1" t="n">
        <v>7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3</v>
      </c>
      <c r="AH17" s="1" t="n">
        <v>0</v>
      </c>
      <c r="AK17" s="1" t="n">
        <f aca="false">V17</f>
        <v>7</v>
      </c>
      <c r="AN17" s="1" t="n">
        <f aca="false">MAX(AN16-W17/W$9*100,0)</f>
        <v>0</v>
      </c>
      <c r="AO17" s="1" t="n">
        <f aca="false">MAX(AO16-X17/X$9*100,0)</f>
        <v>0</v>
      </c>
      <c r="AP17" s="1" t="n">
        <f aca="false">MAX(AP16-Z17/Z$9*100,0)</f>
        <v>0</v>
      </c>
      <c r="AQ17" s="1" t="n">
        <f aca="false">MAX(AQ16-AA17/AA$9*100,0)</f>
        <v>0</v>
      </c>
      <c r="AR17" s="1" t="n">
        <f aca="false">MAX(AR16-AC17/AC$9*100,0)</f>
        <v>0</v>
      </c>
      <c r="AS17" s="1" t="n">
        <f aca="false">MAX(AS16-AD17/AD$9*100,0)</f>
        <v>0</v>
      </c>
      <c r="AT17" s="1" t="n">
        <f aca="false">MAX(AT16-AF17/AF$9*100,0)</f>
        <v>5.55555555555556</v>
      </c>
      <c r="AU17" s="1" t="n">
        <f aca="false">MAX(AU16-AG17/AG$9*100,0)</f>
        <v>40.7407407407407</v>
      </c>
      <c r="AY17" s="1" t="n">
        <f aca="false">$V17</f>
        <v>7</v>
      </c>
      <c r="AZ17" s="1" t="n">
        <f aca="false">AO17</f>
        <v>0</v>
      </c>
      <c r="BA17" s="1" t="n">
        <f aca="false">BA$7*EXP(-AY17/BA$8)</f>
        <v>0.119702636046164</v>
      </c>
      <c r="BB17" s="1" t="n">
        <f aca="false">(AZ17-BA17)^2</f>
        <v>0.0143287210764004</v>
      </c>
      <c r="BD17" s="1" t="n">
        <f aca="false">$V17</f>
        <v>7</v>
      </c>
      <c r="BE17" s="1" t="n">
        <f aca="false">AT17</f>
        <v>5.55555555555556</v>
      </c>
      <c r="BF17" s="1" t="n">
        <f aca="false">BF$7*EXP(-BD17/BF$8)</f>
        <v>3.0956898199819</v>
      </c>
      <c r="BG17" s="1" t="n">
        <f aca="false">(BE17-BF17)^2</f>
        <v>6.05093943704932</v>
      </c>
      <c r="BI17" s="1" t="n">
        <f aca="false">$V17</f>
        <v>7</v>
      </c>
      <c r="BJ17" s="1" t="n">
        <f aca="false">AN17</f>
        <v>0</v>
      </c>
      <c r="BK17" s="1" t="n">
        <f aca="false">BK$7*EXP(-BI17/BK$8)</f>
        <v>0.0439876141847711</v>
      </c>
      <c r="BL17" s="1" t="n">
        <f aca="false">(BJ17-BK17)^2</f>
        <v>0.00193491020166828</v>
      </c>
      <c r="BN17" s="1" t="n">
        <f aca="false">$V17</f>
        <v>7</v>
      </c>
      <c r="BO17" s="1" t="n">
        <f aca="false">AR17</f>
        <v>0</v>
      </c>
      <c r="BP17" s="1" t="n">
        <f aca="false">BP$7*EXP(-BN17/BP$8)</f>
        <v>0.111799355642353</v>
      </c>
      <c r="BQ17" s="1" t="n">
        <f aca="false">(BO17-BP17)^2</f>
        <v>0.0124990959220453</v>
      </c>
      <c r="BU17" s="1" t="n">
        <f aca="false">V17</f>
        <v>7</v>
      </c>
      <c r="BV17" s="1" t="n">
        <f aca="false">W17/W$9*100</f>
        <v>0</v>
      </c>
      <c r="BW17" s="1" t="n">
        <f aca="false">X17/X$9*100</f>
        <v>0</v>
      </c>
      <c r="BX17" s="1" t="n">
        <f aca="false">Z17/Z$9*100</f>
        <v>0</v>
      </c>
      <c r="BY17" s="1" t="n">
        <f aca="false">AA17/AA$9*100</f>
        <v>0</v>
      </c>
      <c r="BZ17" s="1" t="n">
        <f aca="false">AC17/AC$9*100</f>
        <v>0</v>
      </c>
      <c r="CA17" s="1" t="n">
        <f aca="false">AD17/AD$9*100</f>
        <v>0</v>
      </c>
      <c r="CB17" s="1" t="n">
        <f aca="false">AF17/AF$9*100</f>
        <v>0</v>
      </c>
      <c r="CC17" s="1" t="n">
        <f aca="false">AG17/AG$9*100</f>
        <v>5.55555555555556</v>
      </c>
      <c r="CE17" s="1" t="n">
        <f aca="false">$V17</f>
        <v>7</v>
      </c>
      <c r="CF17" s="1" t="n">
        <f aca="false">BV17</f>
        <v>0</v>
      </c>
      <c r="CG17" s="1" t="n">
        <f aca="false">CG$6*(1+CG$5*(-1)^$BU17)*EXP(-$BU17/CG$4)</f>
        <v>0.349520364782397</v>
      </c>
      <c r="CH17" s="1" t="n">
        <f aca="false">(CF17-CG17)^2</f>
        <v>0.12216448539762</v>
      </c>
      <c r="CI17" s="1" t="n">
        <f aca="false">EXP($BU17/CE17)*CF17</f>
        <v>0</v>
      </c>
      <c r="CJ17" s="1" t="n">
        <f aca="false">EXP($BU17/CE17)*(-1)^$BU17*CF17</f>
        <v>-0</v>
      </c>
      <c r="CK17" s="1" t="n">
        <f aca="false">(-1)^CE17*CF17</f>
        <v>-0</v>
      </c>
      <c r="CM17" s="1" t="n">
        <f aca="false">$V17</f>
        <v>7</v>
      </c>
      <c r="CN17" s="1" t="n">
        <f aca="false">BZ17</f>
        <v>0</v>
      </c>
      <c r="CO17" s="1" t="n">
        <f aca="false">CO$6*(1+CO$5*(-1)^$BU17)*EXP(-$BU17/CO$4)</f>
        <v>0.349520364782397</v>
      </c>
      <c r="CP17" s="1" t="n">
        <f aca="false">(CN17-CO17)^2</f>
        <v>0.12216448539762</v>
      </c>
      <c r="CQ17" s="1" t="n">
        <f aca="false">EXP($BU17/CM17)*CN17</f>
        <v>0</v>
      </c>
      <c r="CR17" s="1" t="n">
        <f aca="false">EXP($BU17/CM17)*(-1)^$BU17*CN17</f>
        <v>-0</v>
      </c>
      <c r="CS17" s="1" t="n">
        <f aca="false">(-1)^CM17*CN17</f>
        <v>-0</v>
      </c>
      <c r="CU17" s="1" t="n">
        <f aca="false">$V17</f>
        <v>7</v>
      </c>
      <c r="CV17" s="1" t="n">
        <f aca="false">CB17</f>
        <v>0</v>
      </c>
      <c r="CW17" s="1" t="n">
        <f aca="false">CW$6*(1+CW$5*(-1)^$BU17)*EXP(-$BU17/CW$4)</f>
        <v>2.75425380048156</v>
      </c>
      <c r="CX17" s="1" t="n">
        <f aca="false">(CV17-CW17)^2</f>
        <v>7.58591399746712</v>
      </c>
      <c r="CY17" s="1" t="n">
        <f aca="false">EXP($BU17/CU17)*CV17</f>
        <v>0</v>
      </c>
      <c r="CZ17" s="1" t="n">
        <f aca="false">EXP($BU17/CU17)*(-1)^$BU17*CV17</f>
        <v>-0</v>
      </c>
      <c r="DA17" s="1" t="n">
        <f aca="false">(-1)^CU17*CV17</f>
        <v>-0</v>
      </c>
      <c r="DB17" s="1" t="n">
        <v>2.596137</v>
      </c>
    </row>
    <row r="18" customFormat="false" ht="16" hidden="false" customHeight="false" outlineLevel="0" collapsed="false">
      <c r="C18" s="1" t="n">
        <f aca="false">B18-A18</f>
        <v>0</v>
      </c>
      <c r="D18" s="1" t="n">
        <v>1</v>
      </c>
      <c r="E18" s="1" t="n">
        <v>1</v>
      </c>
      <c r="F18" s="1" t="n">
        <f aca="false">E18-D18</f>
        <v>0</v>
      </c>
      <c r="G18" s="1" t="n">
        <v>1</v>
      </c>
      <c r="H18" s="1" t="n">
        <v>5</v>
      </c>
      <c r="I18" s="1" t="n">
        <f aca="false">H18-G18</f>
        <v>4</v>
      </c>
      <c r="J18" s="1" t="n">
        <v>2</v>
      </c>
      <c r="K18" s="1" t="n">
        <f aca="false">SUM(I18:J18)</f>
        <v>6</v>
      </c>
      <c r="L18" s="1" t="n">
        <f aca="false">K18-J18</f>
        <v>4</v>
      </c>
      <c r="M18" s="1" t="n">
        <v>6</v>
      </c>
      <c r="N18" s="1" t="n">
        <v>10</v>
      </c>
      <c r="O18" s="1" t="n">
        <f aca="false">N18-M18</f>
        <v>4</v>
      </c>
      <c r="P18" s="1" t="n">
        <f aca="false">O18/M18</f>
        <v>0.666666666666667</v>
      </c>
      <c r="R18" s="1" t="s">
        <v>48</v>
      </c>
      <c r="S18" s="1" t="n">
        <f aca="false">COUNTIFS(K$2:K$1000,2,J$2:J$1000,1)</f>
        <v>3</v>
      </c>
      <c r="V18" s="1" t="n">
        <v>8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2</v>
      </c>
      <c r="AG18" s="1" t="n">
        <v>7</v>
      </c>
      <c r="AH18" s="1" t="n">
        <v>5</v>
      </c>
      <c r="AK18" s="1" t="n">
        <f aca="false">V18</f>
        <v>8</v>
      </c>
      <c r="AN18" s="1" t="n">
        <f aca="false">MAX(AN17-W18/W$9*100,0)</f>
        <v>0</v>
      </c>
      <c r="AO18" s="1" t="n">
        <f aca="false">MAX(AO17-X18/X$9*100,0)</f>
        <v>0</v>
      </c>
      <c r="AP18" s="1" t="n">
        <f aca="false">MAX(AP17-Z18/Z$9*100,0)</f>
        <v>0</v>
      </c>
      <c r="AQ18" s="1" t="n">
        <f aca="false">MAX(AQ17-AA18/AA$9*100,0)</f>
        <v>0</v>
      </c>
      <c r="AR18" s="1" t="n">
        <f aca="false">MAX(AR17-AC18/AC$9*100,0)</f>
        <v>0</v>
      </c>
      <c r="AS18" s="1" t="n">
        <f aca="false">MAX(AS17-AD18/AD$9*100,0)</f>
        <v>0</v>
      </c>
      <c r="AT18" s="1" t="n">
        <f aca="false">MAX(AT17-AF18/AF$9*100,0)</f>
        <v>1.85185185185185</v>
      </c>
      <c r="AU18" s="1" t="n">
        <f aca="false">MAX(AU17-AG18/AG$9*100,0)</f>
        <v>27.7777777777778</v>
      </c>
      <c r="AY18" s="1" t="n">
        <f aca="false">$V18</f>
        <v>8</v>
      </c>
      <c r="AZ18" s="1" t="n">
        <f aca="false">AO18</f>
        <v>0</v>
      </c>
      <c r="BA18" s="1" t="n">
        <f aca="false">BA$7*EXP(-AY18/BA$8)</f>
        <v>0.0426950419272346</v>
      </c>
      <c r="BB18" s="1" t="n">
        <f aca="false">(AZ18-BA18)^2</f>
        <v>0.00182286660516832</v>
      </c>
      <c r="BD18" s="1" t="n">
        <f aca="false">$V18</f>
        <v>8</v>
      </c>
      <c r="BE18" s="1" t="n">
        <f aca="false">AT18</f>
        <v>1.85185185185185</v>
      </c>
      <c r="BF18" s="1" t="n">
        <f aca="false">BF$7*EXP(-BD18/BF$8)</f>
        <v>1.76510999852722</v>
      </c>
      <c r="BG18" s="1" t="n">
        <f aca="false">(BE18-BF18)^2</f>
        <v>0.00752414911819198</v>
      </c>
      <c r="BI18" s="1" t="n">
        <f aca="false">$V18</f>
        <v>8</v>
      </c>
      <c r="BJ18" s="1" t="n">
        <f aca="false">AN18</f>
        <v>0</v>
      </c>
      <c r="BK18" s="1" t="n">
        <f aca="false">BK$7*EXP(-BI18/BK$8)</f>
        <v>0.0133755967420393</v>
      </c>
      <c r="BL18" s="1" t="n">
        <f aca="false">(BJ18-BK18)^2</f>
        <v>0.000178906588205652</v>
      </c>
      <c r="BN18" s="1" t="n">
        <f aca="false">$V18</f>
        <v>8</v>
      </c>
      <c r="BO18" s="1" t="n">
        <f aca="false">AR18</f>
        <v>0</v>
      </c>
      <c r="BP18" s="1" t="n">
        <f aca="false">BP$7*EXP(-BN18/BP$8)</f>
        <v>0.0372556905022068</v>
      </c>
      <c r="BQ18" s="1" t="n">
        <f aca="false">(BO18-BP18)^2</f>
        <v>0.00138798647479622</v>
      </c>
      <c r="BU18" s="1" t="n">
        <f aca="false">V18</f>
        <v>8</v>
      </c>
      <c r="BV18" s="1" t="n">
        <f aca="false">W18/W$9*100</f>
        <v>0</v>
      </c>
      <c r="BW18" s="1" t="n">
        <f aca="false">X18/X$9*100</f>
        <v>0</v>
      </c>
      <c r="BX18" s="1" t="n">
        <f aca="false">Z18/Z$9*100</f>
        <v>0</v>
      </c>
      <c r="BY18" s="1" t="n">
        <f aca="false">AA18/AA$9*100</f>
        <v>0</v>
      </c>
      <c r="BZ18" s="1" t="n">
        <f aca="false">AC18/AC$9*100</f>
        <v>0</v>
      </c>
      <c r="CA18" s="1" t="n">
        <f aca="false">AD18/AD$9*100</f>
        <v>0</v>
      </c>
      <c r="CB18" s="1" t="n">
        <f aca="false">AF18/AF$9*100</f>
        <v>3.7037037037037</v>
      </c>
      <c r="CC18" s="1" t="n">
        <f aca="false">AG18/AG$9*100</f>
        <v>12.962962962963</v>
      </c>
      <c r="CE18" s="1" t="n">
        <f aca="false">$V18</f>
        <v>8</v>
      </c>
      <c r="CF18" s="1" t="n">
        <f aca="false">BV18</f>
        <v>0</v>
      </c>
      <c r="CG18" s="1" t="n">
        <f aca="false">CG$6*(1+CG$5*(-1)^$BU18)*EXP(-$BU18/CG$4)</f>
        <v>0.478715628640309</v>
      </c>
      <c r="CH18" s="1" t="n">
        <f aca="false">(CF18-CG18)^2</f>
        <v>0.229168653104486</v>
      </c>
      <c r="CI18" s="1" t="n">
        <f aca="false">EXP($BU18/CE18)*CF18</f>
        <v>0</v>
      </c>
      <c r="CJ18" s="1" t="n">
        <f aca="false">EXP($BU18/CE18)*(-1)^$BU18*CF18</f>
        <v>0</v>
      </c>
      <c r="CK18" s="1" t="n">
        <f aca="false">(-1)^CE18*CF18</f>
        <v>0</v>
      </c>
      <c r="CM18" s="1" t="n">
        <f aca="false">$V18</f>
        <v>8</v>
      </c>
      <c r="CN18" s="1" t="n">
        <f aca="false">BZ18</f>
        <v>0</v>
      </c>
      <c r="CO18" s="1" t="n">
        <f aca="false">CO$6*(1+CO$5*(-1)^$BU18)*EXP(-$BU18/CO$4)</f>
        <v>0.478715628640309</v>
      </c>
      <c r="CP18" s="1" t="n">
        <f aca="false">(CN18-CO18)^2</f>
        <v>0.229168653104486</v>
      </c>
      <c r="CQ18" s="1" t="n">
        <f aca="false">EXP($BU18/CM18)*CN18</f>
        <v>0</v>
      </c>
      <c r="CR18" s="1" t="n">
        <f aca="false">EXP($BU18/CM18)*(-1)^$BU18*CN18</f>
        <v>0</v>
      </c>
      <c r="CS18" s="1" t="n">
        <f aca="false">(-1)^CM18*CN18</f>
        <v>0</v>
      </c>
      <c r="CU18" s="1" t="n">
        <f aca="false">$V18</f>
        <v>8</v>
      </c>
      <c r="CV18" s="1" t="n">
        <f aca="false">CB18</f>
        <v>3.7037037037037</v>
      </c>
      <c r="CW18" s="1" t="n">
        <f aca="false">CW$6*(1+CW$5*(-1)^$BU18)*EXP(-$BU18/CW$4)</f>
        <v>3.83092940089956</v>
      </c>
      <c r="CX18" s="1" t="n">
        <f aca="false">(CV18-CW18)^2</f>
        <v>0.0161863780269718</v>
      </c>
      <c r="CY18" s="1" t="n">
        <f aca="false">EXP($BU18/CU18)*CV18</f>
        <v>10.0677104757742</v>
      </c>
      <c r="CZ18" s="1" t="n">
        <f aca="false">EXP($BU18/CU18)*(-1)^$BU18*CV18</f>
        <v>10.0677104757742</v>
      </c>
      <c r="DA18" s="1" t="n">
        <f aca="false">(-1)^CU18*CV18</f>
        <v>3.7037037037037</v>
      </c>
      <c r="DB18" s="1" t="n">
        <v>1.416056</v>
      </c>
    </row>
    <row r="19" customFormat="false" ht="16" hidden="false" customHeight="false" outlineLevel="0" collapsed="false">
      <c r="C19" s="1" t="n">
        <f aca="false">B19-A19</f>
        <v>0</v>
      </c>
      <c r="D19" s="1" t="n">
        <v>2</v>
      </c>
      <c r="E19" s="1" t="n">
        <v>2</v>
      </c>
      <c r="F19" s="1" t="n">
        <f aca="false">E19-D19</f>
        <v>0</v>
      </c>
      <c r="G19" s="1" t="n">
        <v>1</v>
      </c>
      <c r="H19" s="1" t="n">
        <v>3</v>
      </c>
      <c r="I19" s="1" t="n">
        <f aca="false">H19-G19</f>
        <v>2</v>
      </c>
      <c r="J19" s="1" t="n">
        <v>2</v>
      </c>
      <c r="K19" s="1" t="n">
        <f aca="false">SUM(I19:J19)</f>
        <v>4</v>
      </c>
      <c r="L19" s="1" t="n">
        <f aca="false">K19-J19</f>
        <v>2</v>
      </c>
      <c r="M19" s="1" t="n">
        <v>5</v>
      </c>
      <c r="N19" s="1" t="n">
        <v>8</v>
      </c>
      <c r="O19" s="1" t="n">
        <f aca="false">N19-M19</f>
        <v>3</v>
      </c>
      <c r="P19" s="1" t="n">
        <f aca="false">O19/M19</f>
        <v>0.6</v>
      </c>
      <c r="R19" s="1" t="s">
        <v>52</v>
      </c>
      <c r="S19" s="1" t="n">
        <f aca="false">COUNTIFS(K$2:K$1000,2,J$2:J$1000,0)</f>
        <v>0</v>
      </c>
      <c r="V19" s="1" t="n">
        <v>9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1</v>
      </c>
      <c r="AG19" s="1" t="n">
        <v>1</v>
      </c>
      <c r="AH19" s="1" t="n">
        <v>0</v>
      </c>
      <c r="AK19" s="1" t="n">
        <f aca="false">V19</f>
        <v>9</v>
      </c>
      <c r="AN19" s="1" t="n">
        <f aca="false">MAX(AN18-W19/W$9*100,0)</f>
        <v>0</v>
      </c>
      <c r="AO19" s="1" t="n">
        <f aca="false">MAX(AO18-X19/X$9*100,0)</f>
        <v>0</v>
      </c>
      <c r="AP19" s="1" t="n">
        <f aca="false">MAX(AP18-Z19/Z$9*100,0)</f>
        <v>0</v>
      </c>
      <c r="AQ19" s="1" t="n">
        <f aca="false">MAX(AQ18-AA19/AA$9*100,0)</f>
        <v>0</v>
      </c>
      <c r="AR19" s="1" t="n">
        <f aca="false">MAX(AR18-AC19/AC$9*100,0)</f>
        <v>0</v>
      </c>
      <c r="AS19" s="1" t="n">
        <f aca="false">MAX(AS18-AD19/AD$9*100,0)</f>
        <v>0</v>
      </c>
      <c r="AT19" s="1" t="n">
        <f aca="false">MAX(AT18-AF19/AF$9*100,0)</f>
        <v>0</v>
      </c>
      <c r="AU19" s="1" t="n">
        <f aca="false">MAX(AU18-AG19/AG$9*100,0)</f>
        <v>25.9259259259259</v>
      </c>
      <c r="AY19" s="1" t="n">
        <f aca="false">$V19</f>
        <v>9</v>
      </c>
      <c r="AZ19" s="1" t="n">
        <f aca="false">AO19</f>
        <v>0</v>
      </c>
      <c r="BA19" s="1" t="n">
        <f aca="false">BA$7*EXP(-AY19/BA$8)</f>
        <v>0.0152282912505396</v>
      </c>
      <c r="BB19" s="1" t="n">
        <f aca="false">(AZ19-BA19)^2</f>
        <v>0.000231900854411261</v>
      </c>
      <c r="BD19" s="1" t="n">
        <f aca="false">$V19</f>
        <v>9</v>
      </c>
      <c r="BE19" s="1" t="n">
        <f aca="false">AT19</f>
        <v>0</v>
      </c>
      <c r="BF19" s="1" t="n">
        <f aca="false">BF$7*EXP(-BD19/BF$8)</f>
        <v>1.0064358795866</v>
      </c>
      <c r="BG19" s="1" t="n">
        <f aca="false">(BE19-BF19)^2</f>
        <v>1.01291317971925</v>
      </c>
      <c r="BI19" s="1" t="n">
        <f aca="false">$V19</f>
        <v>9</v>
      </c>
      <c r="BJ19" s="1" t="n">
        <f aca="false">AN19</f>
        <v>0</v>
      </c>
      <c r="BK19" s="1" t="n">
        <f aca="false">BK$7*EXP(-BI19/BK$8)</f>
        <v>0.00406720372362435</v>
      </c>
      <c r="BL19" s="1" t="n">
        <f aca="false">(BJ19-BK19)^2</f>
        <v>1.65421461294638E-005</v>
      </c>
      <c r="BN19" s="1" t="n">
        <f aca="false">$V19</f>
        <v>9</v>
      </c>
      <c r="BO19" s="1" t="n">
        <f aca="false">AR19</f>
        <v>0</v>
      </c>
      <c r="BP19" s="1" t="n">
        <f aca="false">BP$7*EXP(-BN19/BP$8)</f>
        <v>0.0124149774103923</v>
      </c>
      <c r="BQ19" s="1" t="n">
        <f aca="false">(BO19-BP19)^2</f>
        <v>0.000154131664100551</v>
      </c>
      <c r="BU19" s="1" t="n">
        <f aca="false">V19</f>
        <v>9</v>
      </c>
      <c r="BV19" s="1" t="n">
        <f aca="false">W19/W$9*100</f>
        <v>0</v>
      </c>
      <c r="BW19" s="1" t="n">
        <f aca="false">X19/X$9*100</f>
        <v>0</v>
      </c>
      <c r="BX19" s="1" t="n">
        <f aca="false">Z19/Z$9*100</f>
        <v>0</v>
      </c>
      <c r="BY19" s="1" t="n">
        <f aca="false">AA19/AA$9*100</f>
        <v>0</v>
      </c>
      <c r="BZ19" s="1" t="n">
        <f aca="false">AC19/AC$9*100</f>
        <v>0</v>
      </c>
      <c r="CA19" s="1" t="n">
        <f aca="false">AD19/AD$9*100</f>
        <v>0</v>
      </c>
      <c r="CB19" s="1" t="n">
        <f aca="false">AF19/AF$9*100</f>
        <v>1.85185185185185</v>
      </c>
      <c r="CC19" s="1" t="n">
        <f aca="false">AG19/AG$9*100</f>
        <v>1.85185185185185</v>
      </c>
      <c r="CE19" s="1" t="n">
        <f aca="false">$V19</f>
        <v>9</v>
      </c>
      <c r="CF19" s="1" t="n">
        <f aca="false">BV19</f>
        <v>0</v>
      </c>
      <c r="CG19" s="1" t="n">
        <f aca="false">CG$6*(1+CG$5*(-1)^$BU19)*EXP(-$BU19/CG$4)</f>
        <v>0.0768157973112093</v>
      </c>
      <c r="CH19" s="1" t="n">
        <f aca="false">(CF19-CG19)^2</f>
        <v>0.00590066671655679</v>
      </c>
      <c r="CI19" s="1" t="n">
        <f aca="false">EXP($BU19/CE19)*CF19</f>
        <v>0</v>
      </c>
      <c r="CJ19" s="1" t="n">
        <f aca="false">EXP($BU19/CE19)*(-1)^$BU19*CF19</f>
        <v>-0</v>
      </c>
      <c r="CK19" s="1" t="n">
        <f aca="false">(-1)^CE19*CF19</f>
        <v>-0</v>
      </c>
      <c r="CM19" s="1" t="n">
        <f aca="false">$V19</f>
        <v>9</v>
      </c>
      <c r="CN19" s="1" t="n">
        <f aca="false">BZ19</f>
        <v>0</v>
      </c>
      <c r="CO19" s="1" t="n">
        <f aca="false">CO$6*(1+CO$5*(-1)^$BU19)*EXP(-$BU19/CO$4)</f>
        <v>0.0768157973112093</v>
      </c>
      <c r="CP19" s="1" t="n">
        <f aca="false">(CN19-CO19)^2</f>
        <v>0.00590066671655679</v>
      </c>
      <c r="CQ19" s="1" t="n">
        <f aca="false">EXP($BU19/CM19)*CN19</f>
        <v>0</v>
      </c>
      <c r="CR19" s="1" t="n">
        <f aca="false">EXP($BU19/CM19)*(-1)^$BU19*CN19</f>
        <v>-0</v>
      </c>
      <c r="CS19" s="1" t="n">
        <f aca="false">(-1)^CM19*CN19</f>
        <v>-0</v>
      </c>
      <c r="CU19" s="1" t="n">
        <f aca="false">$V19</f>
        <v>9</v>
      </c>
      <c r="CV19" s="1" t="n">
        <f aca="false">CB19</f>
        <v>1.85185185185185</v>
      </c>
      <c r="CW19" s="1" t="n">
        <f aca="false">CW$6*(1+CW$5*(-1)^$BU19)*EXP(-$BU19/CW$4)</f>
        <v>1.41408105132781</v>
      </c>
      <c r="CX19" s="1" t="n">
        <f aca="false">(CV19-CW19)^2</f>
        <v>0.19164327379146</v>
      </c>
      <c r="CY19" s="1" t="n">
        <f aca="false">EXP($BU19/CU19)*CV19</f>
        <v>5.03385523788712</v>
      </c>
      <c r="CZ19" s="1" t="n">
        <f aca="false">EXP($BU19/CU19)*(-1)^$BU19*CV19</f>
        <v>-5.03385523788712</v>
      </c>
      <c r="DA19" s="1" t="n">
        <f aca="false">(-1)^CU19*CV19</f>
        <v>-1.85185185185185</v>
      </c>
      <c r="DB19" s="1" t="n">
        <v>0.683774</v>
      </c>
    </row>
    <row r="20" customFormat="false" ht="16" hidden="false" customHeight="false" outlineLevel="0" collapsed="false">
      <c r="C20" s="1" t="n">
        <f aca="false">B20-A20</f>
        <v>0</v>
      </c>
      <c r="D20" s="1" t="n">
        <v>2</v>
      </c>
      <c r="E20" s="1" t="n">
        <v>2</v>
      </c>
      <c r="F20" s="1" t="n">
        <f aca="false">E20-D20</f>
        <v>0</v>
      </c>
      <c r="G20" s="1" t="n">
        <v>1</v>
      </c>
      <c r="H20" s="1" t="n">
        <v>3</v>
      </c>
      <c r="I20" s="1" t="n">
        <f aca="false">H20-G20</f>
        <v>2</v>
      </c>
      <c r="J20" s="1" t="n">
        <v>2</v>
      </c>
      <c r="K20" s="1" t="n">
        <f aca="false">SUM(I20:J20)</f>
        <v>4</v>
      </c>
      <c r="L20" s="1" t="n">
        <f aca="false">K20-J20</f>
        <v>2</v>
      </c>
      <c r="M20" s="1" t="n">
        <v>2</v>
      </c>
      <c r="N20" s="1" t="n">
        <v>6</v>
      </c>
      <c r="O20" s="1" t="n">
        <f aca="false">N20-M20</f>
        <v>4</v>
      </c>
      <c r="P20" s="1" t="n">
        <f aca="false">O20/M20</f>
        <v>2</v>
      </c>
      <c r="V20" s="1" t="n">
        <v>10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5</v>
      </c>
      <c r="AH20" s="1" t="n">
        <v>1</v>
      </c>
      <c r="AK20" s="1" t="n">
        <f aca="false">V20</f>
        <v>10</v>
      </c>
      <c r="AN20" s="1" t="n">
        <f aca="false">MAX(AN19-W20/W$9*100,0)</f>
        <v>0</v>
      </c>
      <c r="AO20" s="1" t="n">
        <f aca="false">MAX(AO19-X20/X$9*100,0)</f>
        <v>0</v>
      </c>
      <c r="AP20" s="1" t="n">
        <f aca="false">MAX(AP19-Z20/Z$9*100,0)</f>
        <v>0</v>
      </c>
      <c r="AQ20" s="1" t="n">
        <f aca="false">MAX(AQ19-AA20/AA$9*100,0)</f>
        <v>0</v>
      </c>
      <c r="AR20" s="1" t="n">
        <f aca="false">MAX(AR19-AC20/AC$9*100,0)</f>
        <v>0</v>
      </c>
      <c r="AS20" s="1" t="n">
        <f aca="false">MAX(AS19-AD20/AD$9*100,0)</f>
        <v>0</v>
      </c>
      <c r="AT20" s="1" t="n">
        <f aca="false">MAX(AT19-AF20/AF$9*100,0)</f>
        <v>0</v>
      </c>
      <c r="AU20" s="1" t="n">
        <f aca="false">MAX(AU19-AG20/AG$9*100,0)</f>
        <v>16.6666666666667</v>
      </c>
      <c r="AY20" s="1" t="n">
        <f aca="false">$V20</f>
        <v>10</v>
      </c>
      <c r="AZ20" s="1" t="n">
        <f aca="false">AO20</f>
        <v>0</v>
      </c>
      <c r="BA20" s="1" t="n">
        <f aca="false">BA$7*EXP(-AY20/BA$8)</f>
        <v>0.00543156403983609</v>
      </c>
      <c r="BB20" s="1" t="n">
        <f aca="false">(AZ20-BA20)^2</f>
        <v>2.95018879188405E-005</v>
      </c>
      <c r="BD20" s="1" t="n">
        <f aca="false">$V20</f>
        <v>10</v>
      </c>
      <c r="BE20" s="1" t="n">
        <f aca="false">AT20</f>
        <v>0</v>
      </c>
      <c r="BF20" s="1" t="n">
        <f aca="false">BF$7*EXP(-BD20/BF$8)</f>
        <v>0.573852723379511</v>
      </c>
      <c r="BG20" s="1" t="n">
        <f aca="false">(BE20-BF20)^2</f>
        <v>0.329306948130082</v>
      </c>
      <c r="BI20" s="1" t="n">
        <f aca="false">$V20</f>
        <v>10</v>
      </c>
      <c r="BJ20" s="1" t="n">
        <f aca="false">AN20</f>
        <v>0</v>
      </c>
      <c r="BK20" s="1" t="n">
        <f aca="false">BK$7*EXP(-BI20/BK$8)</f>
        <v>0.00123674079358808</v>
      </c>
      <c r="BL20" s="1" t="n">
        <f aca="false">(BJ20-BK20)^2</f>
        <v>1.52952779052487E-006</v>
      </c>
      <c r="BN20" s="1" t="n">
        <f aca="false">$V20</f>
        <v>10</v>
      </c>
      <c r="BO20" s="1" t="n">
        <f aca="false">AR20</f>
        <v>0</v>
      </c>
      <c r="BP20" s="1" t="n">
        <f aca="false">BP$7*EXP(-BN20/BP$8)</f>
        <v>0.00413713078519966</v>
      </c>
      <c r="BQ20" s="1" t="n">
        <f aca="false">(BO20-BP20)^2</f>
        <v>1.71158511338468E-005</v>
      </c>
      <c r="BU20" s="1" t="n">
        <f aca="false">V20</f>
        <v>10</v>
      </c>
      <c r="BV20" s="1" t="n">
        <f aca="false">W20/W$9*100</f>
        <v>0</v>
      </c>
      <c r="BW20" s="1" t="n">
        <f aca="false">X20/X$9*100</f>
        <v>0</v>
      </c>
      <c r="BX20" s="1" t="n">
        <f aca="false">Z20/Z$9*100</f>
        <v>0</v>
      </c>
      <c r="BY20" s="1" t="n">
        <f aca="false">AA20/AA$9*100</f>
        <v>0</v>
      </c>
      <c r="BZ20" s="1" t="n">
        <f aca="false">AC20/AC$9*100</f>
        <v>0</v>
      </c>
      <c r="CA20" s="1" t="n">
        <f aca="false">AD20/AD$9*100</f>
        <v>0</v>
      </c>
      <c r="CB20" s="1" t="n">
        <f aca="false">AF20/AF$9*100</f>
        <v>0</v>
      </c>
      <c r="CC20" s="1" t="n">
        <f aca="false">AG20/AG$9*100</f>
        <v>9.25925925925926</v>
      </c>
      <c r="CE20" s="1" t="n">
        <f aca="false">$V20</f>
        <v>10</v>
      </c>
      <c r="CF20" s="1" t="n">
        <f aca="false">BV20</f>
        <v>0</v>
      </c>
      <c r="CG20" s="1" t="n">
        <f aca="false">CG$6*(1+CG$5*(-1)^$BU20)*EXP(-$BU20/CG$4)</f>
        <v>0.105209671322688</v>
      </c>
      <c r="CH20" s="1" t="n">
        <f aca="false">(CF20-CG20)^2</f>
        <v>0.011069074939828</v>
      </c>
      <c r="CI20" s="1" t="n">
        <f aca="false">EXP($BU20/CE20)*CF20</f>
        <v>0</v>
      </c>
      <c r="CJ20" s="1" t="n">
        <f aca="false">EXP($BU20/CE20)*(-1)^$BU20*CF20</f>
        <v>0</v>
      </c>
      <c r="CK20" s="1" t="n">
        <f aca="false">(-1)^CE20*CF20</f>
        <v>0</v>
      </c>
      <c r="CM20" s="1" t="n">
        <f aca="false">$V20</f>
        <v>10</v>
      </c>
      <c r="CN20" s="1" t="n">
        <f aca="false">BZ20</f>
        <v>0</v>
      </c>
      <c r="CO20" s="1" t="n">
        <f aca="false">CO$6*(1+CO$5*(-1)^$BU20)*EXP(-$BU20/CO$4)</f>
        <v>0.105209671322688</v>
      </c>
      <c r="CP20" s="1" t="n">
        <f aca="false">(CN20-CO20)^2</f>
        <v>0.011069074939828</v>
      </c>
      <c r="CQ20" s="1" t="n">
        <f aca="false">EXP($BU20/CM20)*CN20</f>
        <v>0</v>
      </c>
      <c r="CR20" s="1" t="n">
        <f aca="false">EXP($BU20/CM20)*(-1)^$BU20*CN20</f>
        <v>0</v>
      </c>
      <c r="CS20" s="1" t="n">
        <f aca="false">(-1)^CM20*CN20</f>
        <v>0</v>
      </c>
      <c r="CU20" s="1" t="n">
        <f aca="false">$V20</f>
        <v>10</v>
      </c>
      <c r="CV20" s="1" t="n">
        <f aca="false">CB20</f>
        <v>0</v>
      </c>
      <c r="CW20" s="1" t="n">
        <f aca="false">CW$6*(1+CW$5*(-1)^$BU20)*EXP(-$BU20/CW$4)</f>
        <v>1.9668647362271</v>
      </c>
      <c r="CX20" s="1" t="n">
        <f aca="false">(CV20-CW20)^2</f>
        <v>3.8685568906137</v>
      </c>
      <c r="CY20" s="1" t="n">
        <f aca="false">EXP($BU20/CU20)*CV20</f>
        <v>0</v>
      </c>
      <c r="CZ20" s="1" t="n">
        <f aca="false">EXP($BU20/CU20)*(-1)^$BU20*CV20</f>
        <v>0</v>
      </c>
      <c r="DA20" s="1" t="n">
        <f aca="false">(-1)^CU20*CV20</f>
        <v>0</v>
      </c>
      <c r="DB20" s="1" t="n">
        <v>0.356926</v>
      </c>
    </row>
    <row r="21" customFormat="false" ht="16" hidden="false" customHeight="false" outlineLevel="0" collapsed="false">
      <c r="C21" s="1" t="n">
        <f aca="false">B21-A21</f>
        <v>0</v>
      </c>
      <c r="D21" s="1" t="n">
        <v>2</v>
      </c>
      <c r="E21" s="1" t="n">
        <v>2</v>
      </c>
      <c r="F21" s="1" t="n">
        <f aca="false">E21-D21</f>
        <v>0</v>
      </c>
      <c r="G21" s="1" t="n">
        <v>1</v>
      </c>
      <c r="H21" s="1" t="n">
        <v>2</v>
      </c>
      <c r="I21" s="1" t="n">
        <f aca="false">H21-G21</f>
        <v>1</v>
      </c>
      <c r="J21" s="1" t="n">
        <v>2</v>
      </c>
      <c r="K21" s="1" t="n">
        <f aca="false">SUM(I21:J21)</f>
        <v>3</v>
      </c>
      <c r="L21" s="1" t="n">
        <f aca="false">K21-J21</f>
        <v>1</v>
      </c>
      <c r="M21" s="1" t="n">
        <v>2</v>
      </c>
      <c r="N21" s="1" t="n">
        <v>8</v>
      </c>
      <c r="O21" s="1" t="n">
        <f aca="false">N21-M21</f>
        <v>6</v>
      </c>
      <c r="P21" s="1" t="n">
        <f aca="false">O21/M21</f>
        <v>3</v>
      </c>
      <c r="R21" s="1" t="s">
        <v>72</v>
      </c>
      <c r="V21" s="1" t="n">
        <v>11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K21" s="1" t="n">
        <f aca="false">V21</f>
        <v>11</v>
      </c>
      <c r="AN21" s="1" t="n">
        <f aca="false">MAX(AN20-W21/W$9*100,0)</f>
        <v>0</v>
      </c>
      <c r="AO21" s="1" t="n">
        <f aca="false">MAX(AO20-X21/X$9*100,0)</f>
        <v>0</v>
      </c>
      <c r="AP21" s="1" t="n">
        <f aca="false">MAX(AP20-Z21/Z$9*100,0)</f>
        <v>0</v>
      </c>
      <c r="AQ21" s="1" t="n">
        <f aca="false">MAX(AQ20-AA21/AA$9*100,0)</f>
        <v>0</v>
      </c>
      <c r="AR21" s="1" t="n">
        <f aca="false">MAX(AR20-AC21/AC$9*100,0)</f>
        <v>0</v>
      </c>
      <c r="AS21" s="1" t="n">
        <f aca="false">MAX(AS20-AD21/AD$9*100,0)</f>
        <v>0</v>
      </c>
      <c r="AT21" s="1" t="n">
        <f aca="false">MAX(AT20-AF21/AF$9*100,0)</f>
        <v>0</v>
      </c>
      <c r="AU21" s="1" t="n">
        <f aca="false">MAX(AU20-AG21/AG$9*100,0)</f>
        <v>16.6666666666667</v>
      </c>
      <c r="AY21" s="1" t="n">
        <f aca="false">$V21</f>
        <v>11</v>
      </c>
      <c r="AZ21" s="1" t="n">
        <f aca="false">AO21</f>
        <v>0</v>
      </c>
      <c r="BA21" s="1" t="n">
        <f aca="false">BA$7*EXP(-AY21/BA$8)</f>
        <v>0.00193730783273502</v>
      </c>
      <c r="BB21" s="1" t="n">
        <f aca="false">(AZ21-BA21)^2</f>
        <v>3.75316163877646E-006</v>
      </c>
      <c r="BD21" s="1" t="n">
        <f aca="false">$V21</f>
        <v>11</v>
      </c>
      <c r="BE21" s="1" t="n">
        <f aca="false">AT21</f>
        <v>0</v>
      </c>
      <c r="BF21" s="1" t="n">
        <f aca="false">BF$7*EXP(-BD21/BF$8)</f>
        <v>0.327201121113992</v>
      </c>
      <c r="BG21" s="1" t="n">
        <f aca="false">(BE21-BF21)^2</f>
        <v>0.107060573658253</v>
      </c>
      <c r="BI21" s="1" t="n">
        <f aca="false">$V21</f>
        <v>11</v>
      </c>
      <c r="BJ21" s="1" t="n">
        <f aca="false">AN21</f>
        <v>0</v>
      </c>
      <c r="BK21" s="1" t="n">
        <f aca="false">BK$7*EXP(-BI21/BK$8)</f>
        <v>0.000376063726938636</v>
      </c>
      <c r="BL21" s="1" t="n">
        <f aca="false">(BJ21-BK21)^2</f>
        <v>1.41423926718977E-007</v>
      </c>
      <c r="BN21" s="1" t="n">
        <f aca="false">$V21</f>
        <v>11</v>
      </c>
      <c r="BO21" s="1" t="n">
        <f aca="false">AR21</f>
        <v>0</v>
      </c>
      <c r="BP21" s="1" t="n">
        <f aca="false">BP$7*EXP(-BN21/BP$8)</f>
        <v>0.00137864537067297</v>
      </c>
      <c r="BQ21" s="1" t="n">
        <f aca="false">(BO21-BP21)^2</f>
        <v>1.90066305807801E-006</v>
      </c>
      <c r="BU21" s="1" t="n">
        <f aca="false">V21</f>
        <v>11</v>
      </c>
      <c r="BV21" s="1" t="n">
        <f aca="false">W21/W$9*100</f>
        <v>0</v>
      </c>
      <c r="BW21" s="1" t="n">
        <f aca="false">X21/X$9*100</f>
        <v>0</v>
      </c>
      <c r="BX21" s="1" t="n">
        <f aca="false">Z21/Z$9*100</f>
        <v>0</v>
      </c>
      <c r="BY21" s="1" t="n">
        <f aca="false">AA21/AA$9*100</f>
        <v>0</v>
      </c>
      <c r="BZ21" s="1" t="n">
        <f aca="false">AC21/AC$9*100</f>
        <v>0</v>
      </c>
      <c r="CA21" s="1" t="n">
        <f aca="false">AD21/AD$9*100</f>
        <v>0</v>
      </c>
      <c r="CB21" s="1" t="n">
        <f aca="false">AF21/AF$9*100</f>
        <v>0</v>
      </c>
      <c r="CC21" s="1" t="n">
        <f aca="false">AG21/AG$9*100</f>
        <v>0</v>
      </c>
      <c r="CE21" s="1" t="n">
        <f aca="false">$V21</f>
        <v>11</v>
      </c>
      <c r="CF21" s="1" t="n">
        <f aca="false">BV21</f>
        <v>0</v>
      </c>
      <c r="CG21" s="1" t="n">
        <f aca="false">CG$6*(1+CG$5*(-1)^$BU21)*EXP(-$BU21/CG$4)</f>
        <v>0.0168821828743238</v>
      </c>
      <c r="CH21" s="1" t="n">
        <f aca="false">(CF21-CG21)^2</f>
        <v>0.000285008098602112</v>
      </c>
      <c r="CI21" s="1" t="n">
        <f aca="false">EXP($BU21/CE21)*CF21</f>
        <v>0</v>
      </c>
      <c r="CJ21" s="1" t="n">
        <f aca="false">EXP($BU21/CE21)*(-1)^$BU21*CF21</f>
        <v>-0</v>
      </c>
      <c r="CK21" s="1" t="n">
        <f aca="false">(-1)^CE21*CF21</f>
        <v>-0</v>
      </c>
      <c r="CM21" s="1" t="n">
        <f aca="false">$V21</f>
        <v>11</v>
      </c>
      <c r="CN21" s="1" t="n">
        <f aca="false">BZ21</f>
        <v>0</v>
      </c>
      <c r="CO21" s="1" t="n">
        <f aca="false">CO$6*(1+CO$5*(-1)^$BU21)*EXP(-$BU21/CO$4)</f>
        <v>0.0168821828743238</v>
      </c>
      <c r="CP21" s="1" t="n">
        <f aca="false">(CN21-CO21)^2</f>
        <v>0.000285008098602112</v>
      </c>
      <c r="CQ21" s="1" t="n">
        <f aca="false">EXP($BU21/CM21)*CN21</f>
        <v>0</v>
      </c>
      <c r="CR21" s="1" t="n">
        <f aca="false">EXP($BU21/CM21)*(-1)^$BU21*CN21</f>
        <v>-0</v>
      </c>
      <c r="CS21" s="1" t="n">
        <f aca="false">(-1)^CM21*CN21</f>
        <v>-0</v>
      </c>
      <c r="CU21" s="1" t="n">
        <f aca="false">$V21</f>
        <v>11</v>
      </c>
      <c r="CV21" s="1" t="n">
        <f aca="false">CB21</f>
        <v>0</v>
      </c>
      <c r="CW21" s="1" t="n">
        <f aca="false">CW$6*(1+CW$5*(-1)^$BU21)*EXP(-$BU21/CW$4)</f>
        <v>0.726013419451303</v>
      </c>
      <c r="CX21" s="1" t="n">
        <f aca="false">(CV21-CW21)^2</f>
        <v>0.527095485223374</v>
      </c>
      <c r="CY21" s="1" t="n">
        <f aca="false">EXP($BU21/CU21)*CV21</f>
        <v>0</v>
      </c>
      <c r="CZ21" s="1" t="n">
        <f aca="false">EXP($BU21/CU21)*(-1)^$BU21*CV21</f>
        <v>-0</v>
      </c>
      <c r="DA21" s="1" t="n">
        <f aca="false">(-1)^CU21*CV21</f>
        <v>-0</v>
      </c>
      <c r="DB21" s="1" t="n">
        <v>0.172214</v>
      </c>
    </row>
    <row r="22" customFormat="false" ht="16" hidden="false" customHeight="false" outlineLevel="0" collapsed="false">
      <c r="C22" s="1" t="n">
        <f aca="false">B22-A22</f>
        <v>0</v>
      </c>
      <c r="D22" s="1" t="n">
        <v>2</v>
      </c>
      <c r="E22" s="1" t="n">
        <v>2</v>
      </c>
      <c r="F22" s="1" t="n">
        <f aca="false">E22-D22</f>
        <v>0</v>
      </c>
      <c r="G22" s="1" t="n">
        <v>1</v>
      </c>
      <c r="H22" s="1" t="n">
        <v>2</v>
      </c>
      <c r="I22" s="1" t="n">
        <f aca="false">H22-G22</f>
        <v>1</v>
      </c>
      <c r="M22" s="1" t="n">
        <v>2</v>
      </c>
      <c r="N22" s="1" t="n">
        <v>2</v>
      </c>
      <c r="O22" s="1" t="n">
        <f aca="false">N22-M22</f>
        <v>0</v>
      </c>
      <c r="P22" s="1" t="n">
        <f aca="false">O22/M22</f>
        <v>0</v>
      </c>
      <c r="R22" s="1" t="s">
        <v>41</v>
      </c>
      <c r="S22" s="1" t="n">
        <f aca="false">COUNTIFS(N$2:N$1000,2,M$2:M$1000,2)</f>
        <v>3</v>
      </c>
      <c r="V22" s="1" t="n">
        <v>12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2</v>
      </c>
      <c r="AH22" s="1" t="n">
        <v>1</v>
      </c>
      <c r="AK22" s="1" t="n">
        <f aca="false">V22</f>
        <v>12</v>
      </c>
      <c r="AN22" s="1" t="n">
        <f aca="false">MAX(AN21-W22/W$9*100,0)</f>
        <v>0</v>
      </c>
      <c r="AO22" s="1" t="n">
        <f aca="false">MAX(AO21-X22/X$9*100,0)</f>
        <v>0</v>
      </c>
      <c r="AP22" s="1" t="n">
        <f aca="false">MAX(AP21-Z22/Z$9*100,0)</f>
        <v>0</v>
      </c>
      <c r="AQ22" s="1" t="n">
        <f aca="false">MAX(AQ21-AA22/AA$9*100,0)</f>
        <v>0</v>
      </c>
      <c r="AR22" s="1" t="n">
        <f aca="false">MAX(AR21-AC22/AC$9*100,0)</f>
        <v>0</v>
      </c>
      <c r="AS22" s="1" t="n">
        <f aca="false">MAX(AS21-AD22/AD$9*100,0)</f>
        <v>0</v>
      </c>
      <c r="AT22" s="1" t="n">
        <f aca="false">MAX(AT21-AF22/AF$9*100,0)</f>
        <v>0</v>
      </c>
      <c r="AU22" s="1" t="n">
        <f aca="false">MAX(AU21-AG22/AG$9*100,0)</f>
        <v>12.962962962963</v>
      </c>
      <c r="AY22" s="1" t="n">
        <f aca="false">$V22</f>
        <v>12</v>
      </c>
      <c r="AZ22" s="1" t="n">
        <f aca="false">AO22</f>
        <v>0</v>
      </c>
      <c r="BA22" s="1" t="n">
        <f aca="false">BA$7*EXP(-AY22/BA$8)</f>
        <v>0.000690990957899064</v>
      </c>
      <c r="BB22" s="1" t="n">
        <f aca="false">(AZ22-BA22)^2</f>
        <v>4.77468503898266E-007</v>
      </c>
      <c r="BD22" s="1" t="n">
        <f aca="false">$V22</f>
        <v>12</v>
      </c>
      <c r="BE22" s="1" t="n">
        <f aca="false">AT22</f>
        <v>0</v>
      </c>
      <c r="BF22" s="1" t="n">
        <f aca="false">BF$7*EXP(-BD22/BF$8)</f>
        <v>0.186564547481375</v>
      </c>
      <c r="BG22" s="1" t="n">
        <f aca="false">(BE22-BF22)^2</f>
        <v>0.0348063303769302</v>
      </c>
      <c r="BI22" s="1" t="n">
        <f aca="false">$V22</f>
        <v>12</v>
      </c>
      <c r="BJ22" s="1" t="n">
        <f aca="false">AN22</f>
        <v>0</v>
      </c>
      <c r="BK22" s="1" t="n">
        <f aca="false">BK$7*EXP(-BI22/BK$8)</f>
        <v>0.000114352116023174</v>
      </c>
      <c r="BL22" s="1" t="n">
        <f aca="false">(BJ22-BK22)^2</f>
        <v>1.30764064389774E-008</v>
      </c>
      <c r="BN22" s="1" t="n">
        <f aca="false">$V22</f>
        <v>12</v>
      </c>
      <c r="BO22" s="1" t="n">
        <f aca="false">AR22</f>
        <v>0</v>
      </c>
      <c r="BP22" s="1" t="n">
        <f aca="false">BP$7*EXP(-BN22/BP$8)</f>
        <v>0.000459415753758019</v>
      </c>
      <c r="BQ22" s="1" t="n">
        <f aca="false">(BO22-BP22)^2</f>
        <v>2.11062834801049E-007</v>
      </c>
      <c r="BU22" s="1" t="n">
        <f aca="false">V22</f>
        <v>12</v>
      </c>
      <c r="BV22" s="1" t="n">
        <f aca="false">W22/W$9*100</f>
        <v>0</v>
      </c>
      <c r="BW22" s="1" t="n">
        <f aca="false">X22/X$9*100</f>
        <v>0</v>
      </c>
      <c r="BX22" s="1" t="n">
        <f aca="false">Z22/Z$9*100</f>
        <v>0</v>
      </c>
      <c r="BY22" s="1" t="n">
        <f aca="false">AA22/AA$9*100</f>
        <v>0</v>
      </c>
      <c r="BZ22" s="1" t="n">
        <f aca="false">AC22/AC$9*100</f>
        <v>0</v>
      </c>
      <c r="CA22" s="1" t="n">
        <f aca="false">AD22/AD$9*100</f>
        <v>0</v>
      </c>
      <c r="CB22" s="1" t="n">
        <f aca="false">AF22/AF$9*100</f>
        <v>0</v>
      </c>
      <c r="CC22" s="1" t="n">
        <f aca="false">AG22/AG$9*100</f>
        <v>3.7037037037037</v>
      </c>
      <c r="CE22" s="1" t="n">
        <f aca="false">$V22</f>
        <v>12</v>
      </c>
      <c r="CF22" s="1" t="n">
        <f aca="false">BV22</f>
        <v>0</v>
      </c>
      <c r="CG22" s="1" t="n">
        <f aca="false">CG$6*(1+CG$5*(-1)^$BU22)*EXP(-$BU22/CG$4)</f>
        <v>0.02312244321596</v>
      </c>
      <c r="CH22" s="1" t="n">
        <f aca="false">(CF22-CG22)^2</f>
        <v>0.000534647380275295</v>
      </c>
      <c r="CI22" s="1" t="n">
        <f aca="false">EXP($BU22/CE22)*CF22</f>
        <v>0</v>
      </c>
      <c r="CJ22" s="1" t="n">
        <f aca="false">EXP($BU22/CE22)*(-1)^$BU22*CF22</f>
        <v>0</v>
      </c>
      <c r="CK22" s="1" t="n">
        <f aca="false">(-1)^CE22*CF22</f>
        <v>0</v>
      </c>
      <c r="CM22" s="1" t="n">
        <f aca="false">$V22</f>
        <v>12</v>
      </c>
      <c r="CN22" s="1" t="n">
        <f aca="false">BZ22</f>
        <v>0</v>
      </c>
      <c r="CO22" s="1" t="n">
        <f aca="false">CO$6*(1+CO$5*(-1)^$BU22)*EXP(-$BU22/CO$4)</f>
        <v>0.02312244321596</v>
      </c>
      <c r="CP22" s="1" t="n">
        <f aca="false">(CN22-CO22)^2</f>
        <v>0.000534647380275295</v>
      </c>
      <c r="CQ22" s="1" t="n">
        <f aca="false">EXP($BU22/CM22)*CN22</f>
        <v>0</v>
      </c>
      <c r="CR22" s="1" t="n">
        <f aca="false">EXP($BU22/CM22)*(-1)^$BU22*CN22</f>
        <v>0</v>
      </c>
      <c r="CS22" s="1" t="n">
        <f aca="false">(-1)^CM22*CN22</f>
        <v>0</v>
      </c>
      <c r="CU22" s="1" t="n">
        <f aca="false">$V22</f>
        <v>12</v>
      </c>
      <c r="CV22" s="1" t="n">
        <f aca="false">CB22</f>
        <v>0</v>
      </c>
      <c r="CW22" s="1" t="n">
        <f aca="false">CW$6*(1+CW$5*(-1)^$BU22)*EXP(-$BU22/CW$4)</f>
        <v>1.00982202640052</v>
      </c>
      <c r="CX22" s="1" t="n">
        <f aca="false">(CV22-CW22)^2</f>
        <v>1.01974052500365</v>
      </c>
      <c r="CY22" s="1" t="n">
        <f aca="false">EXP($BU22/CU22)*CV22</f>
        <v>0</v>
      </c>
      <c r="CZ22" s="1" t="n">
        <f aca="false">EXP($BU22/CU22)*(-1)^$BU22*CV22</f>
        <v>0</v>
      </c>
      <c r="DA22" s="1" t="n">
        <f aca="false">(-1)^CU22*CV22</f>
        <v>0</v>
      </c>
      <c r="DB22" s="1" t="n">
        <v>0.074775</v>
      </c>
    </row>
    <row r="23" customFormat="false" ht="16" hidden="false" customHeight="false" outlineLevel="0" collapsed="false">
      <c r="C23" s="1" t="n">
        <f aca="false">B23-A23</f>
        <v>0</v>
      </c>
      <c r="D23" s="1" t="n">
        <v>2</v>
      </c>
      <c r="E23" s="1" t="n">
        <v>2</v>
      </c>
      <c r="F23" s="1" t="n">
        <f aca="false">E23-D23</f>
        <v>0</v>
      </c>
      <c r="G23" s="1" t="n">
        <v>2</v>
      </c>
      <c r="H23" s="1" t="n">
        <v>2</v>
      </c>
      <c r="I23" s="1" t="n">
        <f aca="false">H23-G23</f>
        <v>0</v>
      </c>
      <c r="M23" s="1" t="n">
        <v>1</v>
      </c>
      <c r="N23" s="1" t="n">
        <v>5</v>
      </c>
      <c r="O23" s="1" t="n">
        <f aca="false">N23-M23</f>
        <v>4</v>
      </c>
      <c r="P23" s="1" t="n">
        <f aca="false">O23/M23</f>
        <v>4</v>
      </c>
      <c r="R23" s="1" t="s">
        <v>48</v>
      </c>
      <c r="S23" s="1" t="n">
        <f aca="false">COUNTIFS(N$2:N$1000,2,M$2:M$1000,1)</f>
        <v>1</v>
      </c>
      <c r="V23" s="1" t="n">
        <v>13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1</v>
      </c>
      <c r="AH23" s="1" t="n">
        <v>0</v>
      </c>
      <c r="AK23" s="1" t="n">
        <f aca="false">V23</f>
        <v>13</v>
      </c>
      <c r="AN23" s="1" t="n">
        <f aca="false">MAX(AN22-W23/W$9*100,0)</f>
        <v>0</v>
      </c>
      <c r="AO23" s="1" t="n">
        <f aca="false">MAX(AO22-X23/X$9*100,0)</f>
        <v>0</v>
      </c>
      <c r="AP23" s="1" t="n">
        <f aca="false">MAX(AP22-Z23/Z$9*100,0)</f>
        <v>0</v>
      </c>
      <c r="AQ23" s="1" t="n">
        <f aca="false">MAX(AQ22-AA23/AA$9*100,0)</f>
        <v>0</v>
      </c>
      <c r="AR23" s="1" t="n">
        <f aca="false">MAX(AR22-AC23/AC$9*100,0)</f>
        <v>0</v>
      </c>
      <c r="AS23" s="1" t="n">
        <f aca="false">MAX(AS22-AD23/AD$9*100,0)</f>
        <v>0</v>
      </c>
      <c r="AT23" s="1" t="n">
        <f aca="false">MAX(AT22-AF23/AF$9*100,0)</f>
        <v>0</v>
      </c>
      <c r="AU23" s="1" t="n">
        <f aca="false">MAX(AU22-AG23/AG$9*100,0)</f>
        <v>11.1111111111111</v>
      </c>
      <c r="AY23" s="1" t="n">
        <f aca="false">$V23</f>
        <v>13</v>
      </c>
      <c r="AZ23" s="1" t="n">
        <f aca="false">AO23</f>
        <v>0</v>
      </c>
      <c r="BA23" s="1" t="n">
        <f aca="false">BA$7*EXP(-AY23/BA$8)</f>
        <v>0.000246459801498967</v>
      </c>
      <c r="BB23" s="1" t="n">
        <f aca="false">(AZ23-BA23)^2</f>
        <v>6.07424337549102E-008</v>
      </c>
      <c r="BD23" s="1" t="n">
        <f aca="false">$V23</f>
        <v>13</v>
      </c>
      <c r="BE23" s="1" t="n">
        <f aca="false">AT23</f>
        <v>0</v>
      </c>
      <c r="BF23" s="1" t="n">
        <f aca="false">BF$7*EXP(-BD23/BF$8)</f>
        <v>0.106375950847688</v>
      </c>
      <c r="BG23" s="1" t="n">
        <f aca="false">(BE23-BF23)^2</f>
        <v>0.0113158429187497</v>
      </c>
      <c r="BI23" s="1" t="n">
        <f aca="false">$V23</f>
        <v>13</v>
      </c>
      <c r="BJ23" s="1" t="n">
        <f aca="false">AN23</f>
        <v>0</v>
      </c>
      <c r="BK23" s="1" t="n">
        <f aca="false">BK$7*EXP(-BI23/BK$8)</f>
        <v>3.47717833501961E-005</v>
      </c>
      <c r="BL23" s="1" t="n">
        <f aca="false">(BJ23-BK23)^2</f>
        <v>1.20907691735297E-009</v>
      </c>
      <c r="BN23" s="1" t="n">
        <f aca="false">$V23</f>
        <v>13</v>
      </c>
      <c r="BO23" s="1" t="n">
        <f aca="false">AR23</f>
        <v>0</v>
      </c>
      <c r="BP23" s="1" t="n">
        <f aca="false">BP$7*EXP(-BN23/BP$8)</f>
        <v>0.000153094362981846</v>
      </c>
      <c r="BQ23" s="1" t="n">
        <f aca="false">(BO23-BP23)^2</f>
        <v>2.34378839768172E-008</v>
      </c>
      <c r="BU23" s="1" t="n">
        <f aca="false">V23</f>
        <v>13</v>
      </c>
      <c r="BV23" s="1" t="n">
        <f aca="false">W23/W$9*100</f>
        <v>0</v>
      </c>
      <c r="BW23" s="1" t="n">
        <f aca="false">X23/X$9*100</f>
        <v>0</v>
      </c>
      <c r="BX23" s="1" t="n">
        <f aca="false">Z23/Z$9*100</f>
        <v>0</v>
      </c>
      <c r="BY23" s="1" t="n">
        <f aca="false">AA23/AA$9*100</f>
        <v>0</v>
      </c>
      <c r="BZ23" s="1" t="n">
        <f aca="false">AC23/AC$9*100</f>
        <v>0</v>
      </c>
      <c r="CA23" s="1" t="n">
        <f aca="false">AD23/AD$9*100</f>
        <v>0</v>
      </c>
      <c r="CB23" s="1" t="n">
        <f aca="false">AF23/AF$9*100</f>
        <v>0</v>
      </c>
      <c r="CC23" s="1" t="n">
        <f aca="false">AG23/AG$9*100</f>
        <v>1.85185185185185</v>
      </c>
      <c r="CE23" s="1" t="n">
        <f aca="false">$V23</f>
        <v>13</v>
      </c>
      <c r="CF23" s="1" t="n">
        <f aca="false">BV23</f>
        <v>0</v>
      </c>
      <c r="CG23" s="1" t="n">
        <f aca="false">CG$6*(1+CG$5*(-1)^$BU23)*EXP(-$BU23/CG$4)</f>
        <v>0.00371027976768162</v>
      </c>
      <c r="CH23" s="1" t="n">
        <f aca="false">(CF23-CG23)^2</f>
        <v>1.37661759544676E-005</v>
      </c>
      <c r="CI23" s="1" t="n">
        <f aca="false">EXP($BU23/CE23)*CF23</f>
        <v>0</v>
      </c>
      <c r="CJ23" s="1" t="n">
        <f aca="false">EXP($BU23/CE23)*(-1)^$BU23*CF23</f>
        <v>-0</v>
      </c>
      <c r="CK23" s="1" t="n">
        <f aca="false">(-1)^CE23*CF23</f>
        <v>-0</v>
      </c>
      <c r="CM23" s="1" t="n">
        <f aca="false">$V23</f>
        <v>13</v>
      </c>
      <c r="CN23" s="1" t="n">
        <f aca="false">BZ23</f>
        <v>0</v>
      </c>
      <c r="CO23" s="1" t="n">
        <f aca="false">CO$6*(1+CO$5*(-1)^$BU23)*EXP(-$BU23/CO$4)</f>
        <v>0.00371027976768162</v>
      </c>
      <c r="CP23" s="1" t="n">
        <f aca="false">(CN23-CO23)^2</f>
        <v>1.37661759544676E-005</v>
      </c>
      <c r="CQ23" s="1" t="n">
        <f aca="false">EXP($BU23/CM23)*CN23</f>
        <v>0</v>
      </c>
      <c r="CR23" s="1" t="n">
        <f aca="false">EXP($BU23/CM23)*(-1)^$BU23*CN23</f>
        <v>-0</v>
      </c>
      <c r="CS23" s="1" t="n">
        <f aca="false">(-1)^CM23*CN23</f>
        <v>-0</v>
      </c>
      <c r="CU23" s="1" t="n">
        <f aca="false">$V23</f>
        <v>13</v>
      </c>
      <c r="CV23" s="1" t="n">
        <f aca="false">CB23</f>
        <v>0</v>
      </c>
      <c r="CW23" s="1" t="n">
        <f aca="false">CW$6*(1+CW$5*(-1)^$BU23)*EXP(-$BU23/CW$4)</f>
        <v>0.372747718193689</v>
      </c>
      <c r="CX23" s="1" t="n">
        <f aca="false">(CV23-CW23)^2</f>
        <v>0.138940861418602</v>
      </c>
      <c r="CY23" s="1" t="n">
        <f aca="false">EXP($BU23/CU23)*CV23</f>
        <v>0</v>
      </c>
      <c r="CZ23" s="1" t="n">
        <f aca="false">EXP($BU23/CU23)*(-1)^$BU23*CV23</f>
        <v>-0</v>
      </c>
      <c r="DA23" s="1" t="n">
        <f aca="false">(-1)^CU23*CV23</f>
        <v>-0</v>
      </c>
      <c r="DB23" s="1" t="n">
        <v>0.03707</v>
      </c>
    </row>
    <row r="24" customFormat="false" ht="16" hidden="false" customHeight="false" outlineLevel="0" collapsed="false">
      <c r="C24" s="1" t="n">
        <f aca="false">B24-A24</f>
        <v>0</v>
      </c>
      <c r="D24" s="1" t="n">
        <v>2</v>
      </c>
      <c r="E24" s="1" t="n">
        <v>2</v>
      </c>
      <c r="F24" s="1" t="n">
        <f aca="false">E24-D24</f>
        <v>0</v>
      </c>
      <c r="G24" s="1" t="n">
        <v>1</v>
      </c>
      <c r="H24" s="1" t="n">
        <v>2</v>
      </c>
      <c r="I24" s="1" t="n">
        <f aca="false">H24-G24</f>
        <v>1</v>
      </c>
      <c r="M24" s="1" t="n">
        <v>2</v>
      </c>
      <c r="N24" s="1" t="n">
        <v>7</v>
      </c>
      <c r="O24" s="1" t="n">
        <f aca="false">N24-M24</f>
        <v>5</v>
      </c>
      <c r="P24" s="1" t="n">
        <f aca="false">O24/M24</f>
        <v>2.5</v>
      </c>
      <c r="R24" s="1" t="s">
        <v>52</v>
      </c>
      <c r="S24" s="1" t="n">
        <f aca="false">COUNTIFS(N$2:N$1000,2,M$2:M$1000,0)</f>
        <v>0</v>
      </c>
      <c r="V24" s="1" t="n">
        <v>14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2</v>
      </c>
      <c r="AH24" s="1" t="n">
        <v>1</v>
      </c>
      <c r="AK24" s="1" t="n">
        <f aca="false">V24</f>
        <v>14</v>
      </c>
      <c r="AN24" s="1" t="n">
        <f aca="false">MAX(AN23-W24/W$9*100,0)</f>
        <v>0</v>
      </c>
      <c r="AO24" s="1" t="n">
        <f aca="false">MAX(AO23-X24/X$9*100,0)</f>
        <v>0</v>
      </c>
      <c r="AP24" s="1" t="n">
        <f aca="false">MAX(AP23-Z24/Z$9*100,0)</f>
        <v>0</v>
      </c>
      <c r="AQ24" s="1" t="n">
        <f aca="false">MAX(AQ23-AA24/AA$9*100,0)</f>
        <v>0</v>
      </c>
      <c r="AR24" s="1" t="n">
        <f aca="false">MAX(AR23-AC24/AC$9*100,0)</f>
        <v>0</v>
      </c>
      <c r="AS24" s="1" t="n">
        <f aca="false">MAX(AS23-AD24/AD$9*100,0)</f>
        <v>0</v>
      </c>
      <c r="AT24" s="1" t="n">
        <f aca="false">MAX(AT23-AF24/AF$9*100,0)</f>
        <v>0</v>
      </c>
      <c r="AU24" s="1" t="n">
        <f aca="false">MAX(AU23-AG24/AG$9*100,0)</f>
        <v>7.40740740740741</v>
      </c>
      <c r="AY24" s="1" t="n">
        <f aca="false">$V24</f>
        <v>14</v>
      </c>
      <c r="AZ24" s="1" t="n">
        <f aca="false">AO24</f>
        <v>0</v>
      </c>
      <c r="BA24" s="1" t="n">
        <f aca="false">BA$7*EXP(-AY24/BA$8)</f>
        <v>8.79062642723945E-005</v>
      </c>
      <c r="BB24" s="1" t="n">
        <f aca="false">(AZ24-BA24)^2</f>
        <v>7.72751129832806E-009</v>
      </c>
      <c r="BD24" s="1" t="n">
        <f aca="false">$V24</f>
        <v>14</v>
      </c>
      <c r="BE24" s="1" t="n">
        <f aca="false">AT24</f>
        <v>0</v>
      </c>
      <c r="BF24" s="1" t="n">
        <f aca="false">BF$7*EXP(-BD24/BF$8)</f>
        <v>0.0606537687439213</v>
      </c>
      <c r="BG24" s="1" t="n">
        <f aca="false">(BE24-BF24)^2</f>
        <v>0.00367887966284109</v>
      </c>
      <c r="BI24" s="1" t="n">
        <f aca="false">$V24</f>
        <v>14</v>
      </c>
      <c r="BJ24" s="1" t="n">
        <f aca="false">AN24</f>
        <v>0</v>
      </c>
      <c r="BK24" s="1" t="n">
        <f aca="false">BK$7*EXP(-BI24/BK$8)</f>
        <v>1.0573279790537E-005</v>
      </c>
      <c r="BL24" s="1" t="n">
        <f aca="false">(BJ24-BK24)^2</f>
        <v>1.11794245528978E-010</v>
      </c>
      <c r="BN24" s="1" t="n">
        <f aca="false">$V24</f>
        <v>14</v>
      </c>
      <c r="BO24" s="1" t="n">
        <f aca="false">AR24</f>
        <v>0</v>
      </c>
      <c r="BP24" s="1" t="n">
        <f aca="false">BP$7*EXP(-BN24/BP$8)</f>
        <v>5.10167180491643E-005</v>
      </c>
      <c r="BQ24" s="1" t="n">
        <f aca="false">(BO24-BP24)^2</f>
        <v>2.60270552050793E-009</v>
      </c>
      <c r="BU24" s="1" t="n">
        <f aca="false">V24</f>
        <v>14</v>
      </c>
      <c r="BV24" s="1" t="n">
        <f aca="false">W24/W$9*100</f>
        <v>0</v>
      </c>
      <c r="BW24" s="1" t="n">
        <f aca="false">X24/X$9*100</f>
        <v>0</v>
      </c>
      <c r="BX24" s="1" t="n">
        <f aca="false">Z24/Z$9*100</f>
        <v>0</v>
      </c>
      <c r="BY24" s="1" t="n">
        <f aca="false">AA24/AA$9*100</f>
        <v>0</v>
      </c>
      <c r="BZ24" s="1" t="n">
        <f aca="false">AC24/AC$9*100</f>
        <v>0</v>
      </c>
      <c r="CA24" s="1" t="n">
        <f aca="false">AD24/AD$9*100</f>
        <v>0</v>
      </c>
      <c r="CB24" s="1" t="n">
        <f aca="false">AF24/AF$9*100</f>
        <v>0</v>
      </c>
      <c r="CC24" s="1" t="n">
        <f aca="false">AG24/AG$9*100</f>
        <v>3.7037037037037</v>
      </c>
      <c r="CE24" s="1" t="n">
        <f aca="false">$V24</f>
        <v>14</v>
      </c>
      <c r="CF24" s="1" t="n">
        <f aca="false">BV24</f>
        <v>0</v>
      </c>
      <c r="CG24" s="1" t="n">
        <f aca="false">CG$6*(1+CG$5*(-1)^$BU24)*EXP(-$BU24/CG$4)</f>
        <v>0.00508173225477985</v>
      </c>
      <c r="CH24" s="1" t="n">
        <f aca="false">(CF24-CG24)^2</f>
        <v>2.58240027092699E-005</v>
      </c>
      <c r="CI24" s="1" t="n">
        <f aca="false">EXP($BU24/CE24)*CF24</f>
        <v>0</v>
      </c>
      <c r="CJ24" s="1" t="n">
        <f aca="false">EXP($BU24/CE24)*(-1)^$BU24*CF24</f>
        <v>0</v>
      </c>
      <c r="CK24" s="1" t="n">
        <f aca="false">(-1)^CE24*CF24</f>
        <v>0</v>
      </c>
      <c r="CM24" s="1" t="n">
        <f aca="false">$V24</f>
        <v>14</v>
      </c>
      <c r="CN24" s="1" t="n">
        <f aca="false">BZ24</f>
        <v>0</v>
      </c>
      <c r="CO24" s="1" t="n">
        <f aca="false">CO$6*(1+CO$5*(-1)^$BU24)*EXP(-$BU24/CO$4)</f>
        <v>0.00508173225477985</v>
      </c>
      <c r="CP24" s="1" t="n">
        <f aca="false">(CN24-CO24)^2</f>
        <v>2.58240027092699E-005</v>
      </c>
      <c r="CQ24" s="1" t="n">
        <f aca="false">EXP($BU24/CM24)*CN24</f>
        <v>0</v>
      </c>
      <c r="CR24" s="1" t="n">
        <f aca="false">EXP($BU24/CM24)*(-1)^$BU24*CN24</f>
        <v>0</v>
      </c>
      <c r="CS24" s="1" t="n">
        <f aca="false">(-1)^CM24*CN24</f>
        <v>0</v>
      </c>
      <c r="CU24" s="1" t="n">
        <f aca="false">$V24</f>
        <v>14</v>
      </c>
      <c r="CV24" s="1" t="n">
        <f aca="false">CB24</f>
        <v>0</v>
      </c>
      <c r="CW24" s="1" t="n">
        <f aca="false">CW$6*(1+CW$5*(-1)^$BU24)*EXP(-$BU24/CW$4)</f>
        <v>0.518459915530208</v>
      </c>
      <c r="CX24" s="1" t="n">
        <f aca="false">(CV24-CW24)^2</f>
        <v>0.26880068401159</v>
      </c>
      <c r="CY24" s="1" t="n">
        <f aca="false">EXP($BU24/CU24)*CV24</f>
        <v>0</v>
      </c>
      <c r="CZ24" s="1" t="n">
        <f aca="false">EXP($BU24/CU24)*(-1)^$BU24*CV24</f>
        <v>0</v>
      </c>
      <c r="DA24" s="1" t="n">
        <f aca="false">(-1)^CU24*CV24</f>
        <v>0</v>
      </c>
      <c r="DB24" s="1" t="n">
        <v>0.017582</v>
      </c>
    </row>
    <row r="25" customFormat="false" ht="16" hidden="false" customHeight="false" outlineLevel="0" collapsed="false">
      <c r="C25" s="1" t="n">
        <f aca="false">B25-A25</f>
        <v>0</v>
      </c>
      <c r="D25" s="1" t="n">
        <v>1</v>
      </c>
      <c r="E25" s="1" t="n">
        <v>1</v>
      </c>
      <c r="F25" s="1" t="n">
        <f aca="false">E25-D25</f>
        <v>0</v>
      </c>
      <c r="G25" s="1" t="n">
        <v>1</v>
      </c>
      <c r="H25" s="1" t="n">
        <v>2</v>
      </c>
      <c r="I25" s="1" t="n">
        <f aca="false">H25-G25</f>
        <v>1</v>
      </c>
      <c r="M25" s="1" t="n">
        <v>2</v>
      </c>
      <c r="N25" s="1" t="n">
        <v>6</v>
      </c>
      <c r="O25" s="1" t="n">
        <f aca="false">N25-M25</f>
        <v>4</v>
      </c>
      <c r="P25" s="1" t="n">
        <f aca="false">O25/M25</f>
        <v>2</v>
      </c>
      <c r="V25" s="1" t="n">
        <v>15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1</v>
      </c>
      <c r="AH25" s="1" t="n">
        <v>0</v>
      </c>
      <c r="AK25" s="1" t="n">
        <f aca="false">V25</f>
        <v>15</v>
      </c>
      <c r="AN25" s="1" t="n">
        <f aca="false">MAX(AN24-W25/W$9*100,0)</f>
        <v>0</v>
      </c>
      <c r="AO25" s="1" t="n">
        <f aca="false">MAX(AO24-X25/X$9*100,0)</f>
        <v>0</v>
      </c>
      <c r="AP25" s="1" t="n">
        <f aca="false">MAX(AP24-Z25/Z$9*100,0)</f>
        <v>0</v>
      </c>
      <c r="AQ25" s="1" t="n">
        <f aca="false">MAX(AQ24-AA25/AA$9*100,0)</f>
        <v>0</v>
      </c>
      <c r="AR25" s="1" t="n">
        <f aca="false">MAX(AR24-AC25/AC$9*100,0)</f>
        <v>0</v>
      </c>
      <c r="AS25" s="1" t="n">
        <f aca="false">MAX(AS24-AD25/AD$9*100,0)</f>
        <v>0</v>
      </c>
      <c r="AT25" s="1" t="n">
        <f aca="false">MAX(AT24-AF25/AF$9*100,0)</f>
        <v>0</v>
      </c>
      <c r="AU25" s="1" t="n">
        <f aca="false">MAX(AU24-AG25/AG$9*100,0)</f>
        <v>5.55555555555556</v>
      </c>
      <c r="AY25" s="1" t="n">
        <f aca="false">$V25</f>
        <v>15</v>
      </c>
      <c r="AZ25" s="1" t="n">
        <f aca="false">AO25</f>
        <v>0</v>
      </c>
      <c r="BA25" s="1" t="n">
        <f aca="false">BA$7*EXP(-AY25/BA$8)</f>
        <v>3.13540433422789E-005</v>
      </c>
      <c r="BB25" s="1" t="n">
        <f aca="false">(AZ25-BA25)^2</f>
        <v>9.83076033909504E-010</v>
      </c>
      <c r="BD25" s="1" t="n">
        <f aca="false">$V25</f>
        <v>15</v>
      </c>
      <c r="BE25" s="1" t="n">
        <f aca="false">AT25</f>
        <v>0</v>
      </c>
      <c r="BF25" s="1" t="n">
        <f aca="false">BF$7*EXP(-BD25/BF$8)</f>
        <v>0.0345837535037277</v>
      </c>
      <c r="BG25" s="1" t="n">
        <f aca="false">(BE25-BF25)^2</f>
        <v>0.0011960360064066</v>
      </c>
      <c r="BI25" s="1" t="n">
        <f aca="false">$V25</f>
        <v>15</v>
      </c>
      <c r="BJ25" s="1" t="n">
        <f aca="false">AN25</f>
        <v>0</v>
      </c>
      <c r="BK25" s="1" t="n">
        <f aca="false">BK$7*EXP(-BI25/BK$8)</f>
        <v>3.21508518568255E-006</v>
      </c>
      <c r="BL25" s="1" t="n">
        <f aca="false">(BJ25-BK25)^2</f>
        <v>1.03367727511954E-011</v>
      </c>
      <c r="BN25" s="1" t="n">
        <f aca="false">$V25</f>
        <v>15</v>
      </c>
      <c r="BO25" s="1" t="n">
        <f aca="false">AR25</f>
        <v>0</v>
      </c>
      <c r="BP25" s="1" t="n">
        <f aca="false">BP$7*EXP(-BN25/BP$8)</f>
        <v>1.70006620088067E-005</v>
      </c>
      <c r="BQ25" s="1" t="n">
        <f aca="false">(BO25-BP25)^2</f>
        <v>2.89022508737683E-010</v>
      </c>
      <c r="BU25" s="1" t="n">
        <f aca="false">V25</f>
        <v>15</v>
      </c>
      <c r="BV25" s="1" t="n">
        <f aca="false">W25/W$9*100</f>
        <v>0</v>
      </c>
      <c r="BW25" s="1" t="n">
        <f aca="false">X25/X$9*100</f>
        <v>0</v>
      </c>
      <c r="BX25" s="1" t="n">
        <f aca="false">Z25/Z$9*100</f>
        <v>0</v>
      </c>
      <c r="BY25" s="1" t="n">
        <f aca="false">AA25/AA$9*100</f>
        <v>0</v>
      </c>
      <c r="BZ25" s="1" t="n">
        <f aca="false">AC25/AC$9*100</f>
        <v>0</v>
      </c>
      <c r="CA25" s="1" t="n">
        <f aca="false">AD25/AD$9*100</f>
        <v>0</v>
      </c>
      <c r="CB25" s="1" t="n">
        <f aca="false">AF25/AF$9*100</f>
        <v>0</v>
      </c>
      <c r="CC25" s="1" t="n">
        <f aca="false">AG25/AG$9*100</f>
        <v>1.85185185185185</v>
      </c>
      <c r="CE25" s="1" t="n">
        <f aca="false">$V25</f>
        <v>15</v>
      </c>
      <c r="CF25" s="1" t="n">
        <f aca="false">BV25</f>
        <v>0</v>
      </c>
      <c r="CG25" s="1" t="n">
        <f aca="false">CG$6*(1+CG$5*(-1)^$BU25)*EXP(-$BU25/CG$4)</f>
        <v>0.000815426302211463</v>
      </c>
      <c r="CH25" s="1" t="n">
        <f aca="false">(CF25-CG25)^2</f>
        <v>6.6492005433826E-007</v>
      </c>
      <c r="CI25" s="1" t="n">
        <f aca="false">EXP($BU25/CE25)*CF25</f>
        <v>0</v>
      </c>
      <c r="CJ25" s="1" t="n">
        <f aca="false">EXP($BU25/CE25)*(-1)^$BU25*CF25</f>
        <v>-0</v>
      </c>
      <c r="CK25" s="1" t="n">
        <f aca="false">(-1)^CE25*CF25</f>
        <v>-0</v>
      </c>
      <c r="CM25" s="1" t="n">
        <f aca="false">$V25</f>
        <v>15</v>
      </c>
      <c r="CN25" s="1" t="n">
        <f aca="false">BZ25</f>
        <v>0</v>
      </c>
      <c r="CO25" s="1" t="n">
        <f aca="false">CO$6*(1+CO$5*(-1)^$BU25)*EXP(-$BU25/CO$4)</f>
        <v>0.000815426302211463</v>
      </c>
      <c r="CP25" s="1" t="n">
        <f aca="false">(CN25-CO25)^2</f>
        <v>6.6492005433826E-007</v>
      </c>
      <c r="CQ25" s="1" t="n">
        <f aca="false">EXP($BU25/CM25)*CN25</f>
        <v>0</v>
      </c>
      <c r="CR25" s="1" t="n">
        <f aca="false">EXP($BU25/CM25)*(-1)^$BU25*CN25</f>
        <v>-0</v>
      </c>
      <c r="CS25" s="1" t="n">
        <f aca="false">(-1)^CM25*CN25</f>
        <v>-0</v>
      </c>
      <c r="CU25" s="1" t="n">
        <f aca="false">$V25</f>
        <v>15</v>
      </c>
      <c r="CV25" s="1" t="n">
        <f aca="false">CB25</f>
        <v>0</v>
      </c>
      <c r="CW25" s="1" t="n">
        <f aca="false">CW$6*(1+CW$5*(-1)^$BU25)*EXP(-$BU25/CW$4)</f>
        <v>0.191375059600976</v>
      </c>
      <c r="CX25" s="1" t="n">
        <f aca="false">(CV25-CW25)^2</f>
        <v>0.0366244134372771</v>
      </c>
      <c r="CY25" s="1" t="n">
        <f aca="false">EXP($BU25/CU25)*CV25</f>
        <v>0</v>
      </c>
      <c r="CZ25" s="1" t="n">
        <f aca="false">EXP($BU25/CU25)*(-1)^$BU25*CV25</f>
        <v>-0</v>
      </c>
      <c r="DA25" s="1" t="n">
        <f aca="false">(-1)^CU25*CV25</f>
        <v>-0</v>
      </c>
      <c r="DB25" s="1" t="n">
        <v>0.006355</v>
      </c>
    </row>
    <row r="26" customFormat="false" ht="16" hidden="false" customHeight="false" outlineLevel="0" collapsed="false">
      <c r="C26" s="1" t="n">
        <f aca="false">B26-A26</f>
        <v>0</v>
      </c>
      <c r="D26" s="1" t="n">
        <v>2</v>
      </c>
      <c r="E26" s="1" t="n">
        <v>2</v>
      </c>
      <c r="F26" s="1" t="n">
        <f aca="false">E26-D26</f>
        <v>0</v>
      </c>
      <c r="G26" s="1" t="n">
        <v>1</v>
      </c>
      <c r="H26" s="1" t="n">
        <v>5</v>
      </c>
      <c r="I26" s="1" t="n">
        <f aca="false">H26-G26</f>
        <v>4</v>
      </c>
      <c r="M26" s="1" t="n">
        <v>1</v>
      </c>
      <c r="N26" s="1" t="n">
        <v>3</v>
      </c>
      <c r="O26" s="1" t="n">
        <f aca="false">N26-M26</f>
        <v>2</v>
      </c>
      <c r="P26" s="1" t="n">
        <f aca="false">O26/M26</f>
        <v>2</v>
      </c>
      <c r="R26" s="1" t="s">
        <v>73</v>
      </c>
      <c r="V26" s="1" t="n">
        <v>16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2</v>
      </c>
      <c r="AH26" s="1" t="n">
        <v>0</v>
      </c>
      <c r="AK26" s="1" t="n">
        <f aca="false">V26</f>
        <v>16</v>
      </c>
      <c r="AN26" s="1" t="n">
        <f aca="false">MAX(AN25-W26/W$9*100,0)</f>
        <v>0</v>
      </c>
      <c r="AO26" s="1" t="n">
        <f aca="false">MAX(AO25-X26/X$9*100,0)</f>
        <v>0</v>
      </c>
      <c r="AP26" s="1" t="n">
        <f aca="false">MAX(AP25-Z26/Z$9*100,0)</f>
        <v>0</v>
      </c>
      <c r="AQ26" s="1" t="n">
        <f aca="false">MAX(AQ25-AA26/AA$9*100,0)</f>
        <v>0</v>
      </c>
      <c r="AR26" s="1" t="n">
        <f aca="false">MAX(AR25-AC26/AC$9*100,0)</f>
        <v>0</v>
      </c>
      <c r="AS26" s="1" t="n">
        <f aca="false">MAX(AS25-AD26/AD$9*100,0)</f>
        <v>0</v>
      </c>
      <c r="AT26" s="1" t="n">
        <f aca="false">MAX(AT25-AF26/AF$9*100,0)</f>
        <v>0</v>
      </c>
      <c r="AU26" s="1" t="n">
        <f aca="false">MAX(AU25-AG26/AG$9*100,0)</f>
        <v>1.85185185185186</v>
      </c>
      <c r="AY26" s="1" t="n">
        <f aca="false">$V26</f>
        <v>16</v>
      </c>
      <c r="AZ26" s="1" t="n">
        <f aca="false">AO26</f>
        <v>0</v>
      </c>
      <c r="BA26" s="1" t="n">
        <f aca="false">BA$7*EXP(-AY26/BA$8)</f>
        <v>1.11832307065541E-005</v>
      </c>
      <c r="BB26" s="1" t="n">
        <f aca="false">(AZ26-BA26)^2</f>
        <v>1.25064649036015E-010</v>
      </c>
      <c r="BD26" s="1" t="n">
        <f aca="false">$V26</f>
        <v>16</v>
      </c>
      <c r="BE26" s="1" t="n">
        <f aca="false">AT26</f>
        <v>0</v>
      </c>
      <c r="BF26" s="1" t="n">
        <f aca="false">BF$7*EXP(-BD26/BF$8)</f>
        <v>0.019719071562663</v>
      </c>
      <c r="BG26" s="1" t="n">
        <f aca="false">(BE26-BF26)^2</f>
        <v>0.000388841783293425</v>
      </c>
      <c r="BI26" s="1" t="n">
        <f aca="false">$V26</f>
        <v>16</v>
      </c>
      <c r="BJ26" s="1" t="n">
        <f aca="false">AN26</f>
        <v>0</v>
      </c>
      <c r="BK26" s="1" t="n">
        <f aca="false">BK$7*EXP(-BI26/BK$8)</f>
        <v>9.77631629539086E-007</v>
      </c>
      <c r="BL26" s="1" t="n">
        <f aca="false">(BJ26-BK26)^2</f>
        <v>9.55763603075249E-013</v>
      </c>
      <c r="BN26" s="1" t="n">
        <f aca="false">$V26</f>
        <v>16</v>
      </c>
      <c r="BO26" s="1" t="n">
        <f aca="false">AR26</f>
        <v>0</v>
      </c>
      <c r="BP26" s="1" t="n">
        <f aca="false">BP$7*EXP(-BN26/BP$8)</f>
        <v>5.6652509175356E-006</v>
      </c>
      <c r="BQ26" s="1" t="n">
        <f aca="false">(BO26-BP26)^2</f>
        <v>3.2095067958638E-011</v>
      </c>
      <c r="BU26" s="1" t="n">
        <f aca="false">V26</f>
        <v>16</v>
      </c>
      <c r="BV26" s="1" t="n">
        <f aca="false">W26/W$9*100</f>
        <v>0</v>
      </c>
      <c r="BW26" s="1" t="n">
        <f aca="false">X26/X$9*100</f>
        <v>0</v>
      </c>
      <c r="BX26" s="1" t="n">
        <f aca="false">Z26/Z$9*100</f>
        <v>0</v>
      </c>
      <c r="BY26" s="1" t="n">
        <f aca="false">AA26/AA$9*100</f>
        <v>0</v>
      </c>
      <c r="BZ26" s="1" t="n">
        <f aca="false">AC26/AC$9*100</f>
        <v>0</v>
      </c>
      <c r="CA26" s="1" t="n">
        <f aca="false">AD26/AD$9*100</f>
        <v>0</v>
      </c>
      <c r="CB26" s="1" t="n">
        <f aca="false">AF26/AF$9*100</f>
        <v>0</v>
      </c>
      <c r="CC26" s="1" t="n">
        <f aca="false">AG26/AG$9*100</f>
        <v>3.7037037037037</v>
      </c>
      <c r="CE26" s="1" t="n">
        <f aca="false">$V26</f>
        <v>16</v>
      </c>
      <c r="CF26" s="1" t="n">
        <f aca="false">BV26</f>
        <v>0</v>
      </c>
      <c r="CG26" s="1" t="n">
        <f aca="false">CG$6*(1+CG$5*(-1)^$BU26)*EXP(-$BU26/CG$4)</f>
        <v>0.00111683711224103</v>
      </c>
      <c r="CH26" s="1" t="n">
        <f aca="false">(CF26-CG26)^2</f>
        <v>1.24732513527888E-006</v>
      </c>
      <c r="CI26" s="1" t="n">
        <f aca="false">EXP($BU26/CE26)*CF26</f>
        <v>0</v>
      </c>
      <c r="CJ26" s="1" t="n">
        <f aca="false">EXP($BU26/CE26)*(-1)^$BU26*CF26</f>
        <v>0</v>
      </c>
      <c r="CK26" s="1" t="n">
        <f aca="false">(-1)^CE26*CF26</f>
        <v>0</v>
      </c>
      <c r="CM26" s="1" t="n">
        <f aca="false">$V26</f>
        <v>16</v>
      </c>
      <c r="CN26" s="1" t="n">
        <f aca="false">BZ26</f>
        <v>0</v>
      </c>
      <c r="CO26" s="1" t="n">
        <f aca="false">CO$6*(1+CO$5*(-1)^$BU26)*EXP(-$BU26/CO$4)</f>
        <v>0.00111683711224103</v>
      </c>
      <c r="CP26" s="1" t="n">
        <f aca="false">(CN26-CO26)^2</f>
        <v>1.24732513527888E-006</v>
      </c>
      <c r="CQ26" s="1" t="n">
        <f aca="false">EXP($BU26/CM26)*CN26</f>
        <v>0</v>
      </c>
      <c r="CR26" s="1" t="n">
        <f aca="false">EXP($BU26/CM26)*(-1)^$BU26*CN26</f>
        <v>0</v>
      </c>
      <c r="CS26" s="1" t="n">
        <f aca="false">(-1)^CM26*CN26</f>
        <v>0</v>
      </c>
      <c r="CU26" s="1" t="n">
        <f aca="false">$V26</f>
        <v>16</v>
      </c>
      <c r="CV26" s="1" t="n">
        <f aca="false">CB26</f>
        <v>0</v>
      </c>
      <c r="CW26" s="1" t="n">
        <f aca="false">CW$6*(1+CW$5*(-1)^$BU26)*EXP(-$BU26/CW$4)</f>
        <v>0.266186196165401</v>
      </c>
      <c r="CX26" s="1" t="n">
        <f aca="false">(CV26-CW26)^2</f>
        <v>0.0708550910290054</v>
      </c>
      <c r="CY26" s="1" t="n">
        <f aca="false">EXP($BU26/CU26)*CV26</f>
        <v>0</v>
      </c>
      <c r="CZ26" s="1" t="n">
        <f aca="false">EXP($BU26/CU26)*(-1)^$BU26*CV26</f>
        <v>0</v>
      </c>
      <c r="DA26" s="1" t="n">
        <f aca="false">(-1)^CU26*CV26</f>
        <v>0</v>
      </c>
      <c r="DB26" s="1" t="n">
        <v>0.002966</v>
      </c>
    </row>
    <row r="27" customFormat="false" ht="16" hidden="false" customHeight="false" outlineLevel="0" collapsed="false">
      <c r="C27" s="1" t="n">
        <f aca="false">B27-A27</f>
        <v>0</v>
      </c>
      <c r="D27" s="1" t="n">
        <v>2</v>
      </c>
      <c r="E27" s="1" t="n">
        <v>2</v>
      </c>
      <c r="F27" s="1" t="n">
        <f aca="false">E27-D27</f>
        <v>0</v>
      </c>
      <c r="G27" s="1" t="n">
        <v>1</v>
      </c>
      <c r="H27" s="1" t="n">
        <v>3</v>
      </c>
      <c r="I27" s="1" t="n">
        <f aca="false">H27-G27</f>
        <v>2</v>
      </c>
      <c r="M27" s="1" t="n">
        <v>2</v>
      </c>
      <c r="N27" s="1" t="n">
        <v>10</v>
      </c>
      <c r="O27" s="1" t="n">
        <f aca="false">N27-M27</f>
        <v>8</v>
      </c>
      <c r="P27" s="1" t="n">
        <f aca="false">O27/M27</f>
        <v>4</v>
      </c>
      <c r="R27" s="1" t="s">
        <v>41</v>
      </c>
      <c r="S27" s="1" t="e">
        <f aca="false">COUNTIFS(#REF!,2,#REF!,2)</f>
        <v>#VALUE!</v>
      </c>
      <c r="V27" s="1" t="n">
        <v>17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K27" s="1" t="n">
        <f aca="false">V27</f>
        <v>17</v>
      </c>
      <c r="AN27" s="1" t="n">
        <f aca="false">MAX(AN26-W27/W$9*100,0)</f>
        <v>0</v>
      </c>
      <c r="AO27" s="1" t="n">
        <f aca="false">MAX(AO26-X27/X$9*100,0)</f>
        <v>0</v>
      </c>
      <c r="AP27" s="1" t="n">
        <f aca="false">MAX(AP26-Z27/Z$9*100,0)</f>
        <v>0</v>
      </c>
      <c r="AQ27" s="1" t="n">
        <f aca="false">MAX(AQ26-AA27/AA$9*100,0)</f>
        <v>0</v>
      </c>
      <c r="AR27" s="1" t="n">
        <f aca="false">MAX(AR26-AC27/AC$9*100,0)</f>
        <v>0</v>
      </c>
      <c r="AS27" s="1" t="n">
        <f aca="false">MAX(AS26-AD27/AD$9*100,0)</f>
        <v>0</v>
      </c>
      <c r="AT27" s="1" t="n">
        <f aca="false">MAX(AT26-AF27/AF$9*100,0)</f>
        <v>0</v>
      </c>
      <c r="AU27" s="1" t="n">
        <f aca="false">MAX(AU26-AG27/AG$9*100,0)</f>
        <v>1.85185185185186</v>
      </c>
      <c r="AY27" s="1" t="n">
        <f aca="false">$V27</f>
        <v>17</v>
      </c>
      <c r="AZ27" s="1" t="n">
        <f aca="false">AO27</f>
        <v>0</v>
      </c>
      <c r="BA27" s="1" t="n">
        <f aca="false">BA$7*EXP(-AY27/BA$8)</f>
        <v>3.98878854860079E-006</v>
      </c>
      <c r="BB27" s="1" t="n">
        <f aca="false">(AZ27-BA27)^2</f>
        <v>1.59104340854488E-011</v>
      </c>
      <c r="BD27" s="1" t="n">
        <f aca="false">$V27</f>
        <v>17</v>
      </c>
      <c r="BE27" s="1" t="n">
        <f aca="false">AT27</f>
        <v>0</v>
      </c>
      <c r="BF27" s="1" t="n">
        <f aca="false">BF$7*EXP(-BD27/BF$8)</f>
        <v>0.0112434812274357</v>
      </c>
      <c r="BG27" s="1" t="n">
        <f aca="false">(BE27-BF27)^2</f>
        <v>0.000126415870111699</v>
      </c>
      <c r="BI27" s="1" t="n">
        <f aca="false">$V27</f>
        <v>17</v>
      </c>
      <c r="BJ27" s="1" t="n">
        <f aca="false">AN27</f>
        <v>0</v>
      </c>
      <c r="BK27" s="1" t="n">
        <f aca="false">BK$7*EXP(-BI27/BK$8)</f>
        <v>2.97274737021422E-007</v>
      </c>
      <c r="BL27" s="1" t="n">
        <f aca="false">(BJ27-BK27)^2</f>
        <v>8.83722692711556E-014</v>
      </c>
      <c r="BN27" s="1" t="n">
        <f aca="false">$V27</f>
        <v>17</v>
      </c>
      <c r="BO27" s="1" t="n">
        <f aca="false">AR27</f>
        <v>0</v>
      </c>
      <c r="BP27" s="1" t="n">
        <f aca="false">BP$7*EXP(-BN27/BP$8)</f>
        <v>1.88787165711617E-006</v>
      </c>
      <c r="BQ27" s="1" t="n">
        <f aca="false">(BO27-BP27)^2</f>
        <v>3.56405939374255E-012</v>
      </c>
      <c r="BU27" s="1" t="n">
        <f aca="false">V27</f>
        <v>17</v>
      </c>
      <c r="BV27" s="1" t="n">
        <f aca="false">W27/W$9*100</f>
        <v>0</v>
      </c>
      <c r="BW27" s="1" t="n">
        <f aca="false">X27/X$9*100</f>
        <v>0</v>
      </c>
      <c r="BX27" s="1" t="n">
        <f aca="false">Z27/Z$9*100</f>
        <v>0</v>
      </c>
      <c r="BY27" s="1" t="n">
        <f aca="false">AA27/AA$9*100</f>
        <v>0</v>
      </c>
      <c r="BZ27" s="1" t="n">
        <f aca="false">AC27/AC$9*100</f>
        <v>0</v>
      </c>
      <c r="CA27" s="1" t="n">
        <f aca="false">AD27/AD$9*100</f>
        <v>0</v>
      </c>
      <c r="CB27" s="1" t="n">
        <f aca="false">AF27/AF$9*100</f>
        <v>0</v>
      </c>
      <c r="CC27" s="1" t="n">
        <f aca="false">AG27/AG$9*100</f>
        <v>0</v>
      </c>
      <c r="CE27" s="1" t="n">
        <f aca="false">$V27</f>
        <v>17</v>
      </c>
      <c r="CF27" s="1" t="n">
        <f aca="false">BV27</f>
        <v>0</v>
      </c>
      <c r="CG27" s="1" t="n">
        <f aca="false">CG$6*(1+CG$5*(-1)^$BU27)*EXP(-$BU27/CG$4)</f>
        <v>0.000179210220245396</v>
      </c>
      <c r="CH27" s="1" t="n">
        <f aca="false">(CF27-CG27)^2</f>
        <v>3.21163030404033E-008</v>
      </c>
      <c r="CI27" s="1" t="n">
        <f aca="false">EXP($BU27/CE27)*CF27</f>
        <v>0</v>
      </c>
      <c r="CJ27" s="1" t="n">
        <f aca="false">EXP($BU27/CE27)*(-1)^$BU27*CF27</f>
        <v>-0</v>
      </c>
      <c r="CK27" s="1" t="n">
        <f aca="false">(-1)^CE27*CF27</f>
        <v>-0</v>
      </c>
      <c r="CM27" s="1" t="n">
        <f aca="false">$V27</f>
        <v>17</v>
      </c>
      <c r="CN27" s="1" t="n">
        <f aca="false">BZ27</f>
        <v>0</v>
      </c>
      <c r="CO27" s="1" t="n">
        <f aca="false">CO$6*(1+CO$5*(-1)^$BU27)*EXP(-$BU27/CO$4)</f>
        <v>0.000179210220245396</v>
      </c>
      <c r="CP27" s="1" t="n">
        <f aca="false">(CN27-CO27)^2</f>
        <v>3.21163030404033E-008</v>
      </c>
      <c r="CQ27" s="1" t="n">
        <f aca="false">EXP($BU27/CM27)*CN27</f>
        <v>0</v>
      </c>
      <c r="CR27" s="1" t="n">
        <f aca="false">EXP($BU27/CM27)*(-1)^$BU27*CN27</f>
        <v>-0</v>
      </c>
      <c r="CS27" s="1" t="n">
        <f aca="false">(-1)^CM27*CN27</f>
        <v>-0</v>
      </c>
      <c r="CU27" s="1" t="n">
        <f aca="false">$V27</f>
        <v>17</v>
      </c>
      <c r="CV27" s="1" t="n">
        <f aca="false">CB27</f>
        <v>0</v>
      </c>
      <c r="CW27" s="1" t="n">
        <f aca="false">CW$6*(1+CW$5*(-1)^$BU27)*EXP(-$BU27/CW$4)</f>
        <v>0.0982552317550238</v>
      </c>
      <c r="CX27" s="1" t="n">
        <f aca="false">(CV27-CW27)^2</f>
        <v>0.00965409056723344</v>
      </c>
      <c r="CY27" s="1" t="n">
        <f aca="false">EXP($BU27/CU27)*CV27</f>
        <v>0</v>
      </c>
      <c r="CZ27" s="1" t="n">
        <f aca="false">EXP($BU27/CU27)*(-1)^$BU27*CV27</f>
        <v>-0</v>
      </c>
      <c r="DA27" s="1" t="n">
        <f aca="false">(-1)^CU27*CV27</f>
        <v>-0</v>
      </c>
      <c r="DB27" s="1" t="n">
        <v>0.001059</v>
      </c>
    </row>
    <row r="28" customFormat="false" ht="16" hidden="false" customHeight="false" outlineLevel="0" collapsed="false">
      <c r="C28" s="1" t="n">
        <f aca="false">B28-A28</f>
        <v>0</v>
      </c>
      <c r="D28" s="1" t="n">
        <v>2</v>
      </c>
      <c r="E28" s="1" t="n">
        <v>2</v>
      </c>
      <c r="F28" s="1" t="n">
        <f aca="false">E28-D28</f>
        <v>0</v>
      </c>
      <c r="G28" s="1" t="n">
        <v>2</v>
      </c>
      <c r="H28" s="1" t="n">
        <v>2</v>
      </c>
      <c r="I28" s="1" t="n">
        <f aca="false">H28-G28</f>
        <v>0</v>
      </c>
      <c r="M28" s="1" t="n">
        <v>3</v>
      </c>
      <c r="N28" s="1" t="n">
        <v>13</v>
      </c>
      <c r="O28" s="1" t="n">
        <f aca="false">N28-M28</f>
        <v>10</v>
      </c>
      <c r="P28" s="1" t="n">
        <f aca="false">O28/M28</f>
        <v>3.33333333333333</v>
      </c>
      <c r="R28" s="1" t="s">
        <v>48</v>
      </c>
      <c r="S28" s="1" t="e">
        <f aca="false">COUNTIFS(#REF!,2,#REF!,1)</f>
        <v>#VALUE!</v>
      </c>
      <c r="V28" s="1" t="n">
        <v>18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1</v>
      </c>
      <c r="AH28" s="1" t="n">
        <v>0</v>
      </c>
      <c r="AK28" s="1" t="n">
        <f aca="false">V28</f>
        <v>18</v>
      </c>
      <c r="AN28" s="1" t="n">
        <f aca="false">MAX(AN27-W28/W$9*100,0)</f>
        <v>0</v>
      </c>
      <c r="AO28" s="1" t="n">
        <f aca="false">MAX(AO27-X28/X$9*100,0)</f>
        <v>0</v>
      </c>
      <c r="AP28" s="1" t="n">
        <f aca="false">MAX(AP27-Z28/Z$9*100,0)</f>
        <v>0</v>
      </c>
      <c r="AQ28" s="1" t="n">
        <f aca="false">MAX(AQ27-AA28/AA$9*100,0)</f>
        <v>0</v>
      </c>
      <c r="AR28" s="1" t="n">
        <f aca="false">MAX(AR27-AC28/AC$9*100,0)</f>
        <v>0</v>
      </c>
      <c r="AS28" s="1" t="n">
        <f aca="false">MAX(AS27-AD28/AD$9*100,0)</f>
        <v>0</v>
      </c>
      <c r="AT28" s="1" t="n">
        <f aca="false">MAX(AT27-AF28/AF$9*100,0)</f>
        <v>0</v>
      </c>
      <c r="AU28" s="1" t="n">
        <f aca="false">MAX(AU27-AG28/AG$9*100,0)</f>
        <v>0</v>
      </c>
      <c r="AY28" s="1" t="n">
        <f aca="false">$V28</f>
        <v>18</v>
      </c>
      <c r="AZ28" s="1" t="n">
        <f aca="false">AO28</f>
        <v>0</v>
      </c>
      <c r="BA28" s="1" t="n">
        <f aca="false">BA$7*EXP(-AY28/BA$8)</f>
        <v>1.42270462828995E-006</v>
      </c>
      <c r="BB28" s="1" t="n">
        <f aca="false">(AZ28-BA28)^2</f>
        <v>2.02408845935764E-012</v>
      </c>
      <c r="BD28" s="1" t="n">
        <f aca="false">$V28</f>
        <v>18</v>
      </c>
      <c r="BE28" s="1" t="n">
        <f aca="false">AT28</f>
        <v>0</v>
      </c>
      <c r="BF28" s="1" t="n">
        <f aca="false">BF$7*EXP(-BD28/BF$8)</f>
        <v>0.00641084290961549</v>
      </c>
      <c r="BG28" s="1" t="n">
        <f aca="false">(BE28-BF28)^2</f>
        <v>4.10989068117672E-005</v>
      </c>
      <c r="BI28" s="1" t="n">
        <f aca="false">$V28</f>
        <v>18</v>
      </c>
      <c r="BJ28" s="1" t="n">
        <f aca="false">AN28</f>
        <v>0</v>
      </c>
      <c r="BK28" s="1" t="n">
        <f aca="false">BK$7*EXP(-BI28/BK$8)</f>
        <v>9.0394241144611E-008</v>
      </c>
      <c r="BL28" s="1" t="n">
        <f aca="false">(BJ28-BK28)^2</f>
        <v>8.17111883211009E-015</v>
      </c>
      <c r="BN28" s="1" t="n">
        <f aca="false">$V28</f>
        <v>18</v>
      </c>
      <c r="BO28" s="1" t="n">
        <f aca="false">AR28</f>
        <v>0</v>
      </c>
      <c r="BP28" s="1" t="n">
        <f aca="false">BP$7*EXP(-BN28/BP$8)</f>
        <v>6.2910883306347E-007</v>
      </c>
      <c r="BQ28" s="1" t="n">
        <f aca="false">(BO28-BP28)^2</f>
        <v>3.95777923838481E-013</v>
      </c>
      <c r="BU28" s="1" t="n">
        <f aca="false">V28</f>
        <v>18</v>
      </c>
      <c r="BV28" s="1" t="n">
        <f aca="false">W28/W$9*100</f>
        <v>0</v>
      </c>
      <c r="BW28" s="1" t="n">
        <f aca="false">X28/X$9*100</f>
        <v>0</v>
      </c>
      <c r="BX28" s="1" t="n">
        <f aca="false">Z28/Z$9*100</f>
        <v>0</v>
      </c>
      <c r="BY28" s="1" t="n">
        <f aca="false">AA28/AA$9*100</f>
        <v>0</v>
      </c>
      <c r="BZ28" s="1" t="n">
        <f aca="false">AC28/AC$9*100</f>
        <v>0</v>
      </c>
      <c r="CA28" s="1" t="n">
        <f aca="false">AD28/AD$9*100</f>
        <v>0</v>
      </c>
      <c r="CB28" s="1" t="n">
        <f aca="false">AF28/AF$9*100</f>
        <v>0</v>
      </c>
      <c r="CC28" s="1" t="n">
        <f aca="false">AG28/AG$9*100</f>
        <v>1.85185185185185</v>
      </c>
      <c r="CE28" s="1" t="n">
        <f aca="false">$V28</f>
        <v>18</v>
      </c>
      <c r="CF28" s="1" t="n">
        <f aca="false">BV28</f>
        <v>0</v>
      </c>
      <c r="CG28" s="1" t="n">
        <f aca="false">CG$6*(1+CG$5*(-1)^$BU28)*EXP(-$BU28/CG$4)</f>
        <v>0.000245452745784797</v>
      </c>
      <c r="CH28" s="1" t="n">
        <f aca="false">(CF28-CG28)^2</f>
        <v>6.02470504132962E-008</v>
      </c>
      <c r="CI28" s="1" t="n">
        <f aca="false">EXP($BU28/CE28)*CF28</f>
        <v>0</v>
      </c>
      <c r="CJ28" s="1" t="n">
        <f aca="false">EXP($BU28/CE28)*(-1)^$BU28*CF28</f>
        <v>0</v>
      </c>
      <c r="CK28" s="1" t="n">
        <f aca="false">(-1)^CE28*CF28</f>
        <v>0</v>
      </c>
      <c r="CM28" s="1" t="n">
        <f aca="false">$V28</f>
        <v>18</v>
      </c>
      <c r="CN28" s="1" t="n">
        <f aca="false">BZ28</f>
        <v>0</v>
      </c>
      <c r="CO28" s="1" t="n">
        <f aca="false">CO$6*(1+CO$5*(-1)^$BU28)*EXP(-$BU28/CO$4)</f>
        <v>0.000245452745784797</v>
      </c>
      <c r="CP28" s="1" t="n">
        <f aca="false">(CN28-CO28)^2</f>
        <v>6.02470504132962E-008</v>
      </c>
      <c r="CQ28" s="1" t="n">
        <f aca="false">EXP($BU28/CM28)*CN28</f>
        <v>0</v>
      </c>
      <c r="CR28" s="1" t="n">
        <f aca="false">EXP($BU28/CM28)*(-1)^$BU28*CN28</f>
        <v>0</v>
      </c>
      <c r="CS28" s="1" t="n">
        <f aca="false">(-1)^CM28*CN28</f>
        <v>0</v>
      </c>
      <c r="CU28" s="1" t="n">
        <f aca="false">$V28</f>
        <v>18</v>
      </c>
      <c r="CV28" s="1" t="n">
        <f aca="false">CB28</f>
        <v>0</v>
      </c>
      <c r="CW28" s="1" t="n">
        <f aca="false">CW$6*(1+CW$5*(-1)^$BU28)*EXP(-$BU28/CW$4)</f>
        <v>0.136664549961484</v>
      </c>
      <c r="CX28" s="1" t="n">
        <f aca="false">(CV28-CW28)^2</f>
        <v>0.018677199216175</v>
      </c>
      <c r="CY28" s="1" t="n">
        <f aca="false">EXP($BU28/CU28)*CV28</f>
        <v>0</v>
      </c>
      <c r="CZ28" s="1" t="n">
        <f aca="false">EXP($BU28/CU28)*(-1)^$BU28*CV28</f>
        <v>0</v>
      </c>
      <c r="DA28" s="1" t="n">
        <f aca="false">(-1)^CU28*CV28</f>
        <v>0</v>
      </c>
      <c r="DB28" s="1" t="n">
        <v>0.001271</v>
      </c>
    </row>
    <row r="29" customFormat="false" ht="16" hidden="false" customHeight="false" outlineLevel="0" collapsed="false">
      <c r="C29" s="1" t="n">
        <f aca="false">B29-A29</f>
        <v>0</v>
      </c>
      <c r="D29" s="1" t="n">
        <v>4</v>
      </c>
      <c r="E29" s="1" t="n">
        <v>4</v>
      </c>
      <c r="F29" s="1" t="n">
        <f aca="false">E29-D29</f>
        <v>0</v>
      </c>
      <c r="G29" s="1" t="n">
        <v>2</v>
      </c>
      <c r="H29" s="1" t="n">
        <v>3</v>
      </c>
      <c r="I29" s="1" t="n">
        <f aca="false">H29-G29</f>
        <v>1</v>
      </c>
      <c r="M29" s="1" t="n">
        <v>4</v>
      </c>
      <c r="N29" s="1" t="n">
        <v>10</v>
      </c>
      <c r="O29" s="1" t="n">
        <f aca="false">N29-M29</f>
        <v>6</v>
      </c>
      <c r="P29" s="1" t="n">
        <f aca="false">O29/M29</f>
        <v>1.5</v>
      </c>
      <c r="R29" s="1" t="s">
        <v>52</v>
      </c>
      <c r="S29" s="1" t="e">
        <f aca="false">COUNTIFS(#REF!,2,#REF!,0)</f>
        <v>#VALUE!</v>
      </c>
      <c r="V29" s="1" t="n">
        <v>19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K29" s="1" t="n">
        <f aca="false">V29</f>
        <v>19</v>
      </c>
      <c r="AN29" s="1" t="n">
        <f aca="false">MAX(AN28-W29/W$9*100,0)</f>
        <v>0</v>
      </c>
      <c r="AO29" s="1" t="n">
        <f aca="false">MAX(AO28-X29/X$9*100,0)</f>
        <v>0</v>
      </c>
      <c r="AP29" s="1" t="n">
        <f aca="false">MAX(AP28-Z29/Z$9*100,0)</f>
        <v>0</v>
      </c>
      <c r="AQ29" s="1" t="n">
        <f aca="false">MAX(AQ28-AA29/AA$9*100,0)</f>
        <v>0</v>
      </c>
      <c r="AR29" s="1" t="n">
        <f aca="false">MAX(AR28-AC29/AC$9*100,0)</f>
        <v>0</v>
      </c>
      <c r="AS29" s="1" t="n">
        <f aca="false">MAX(AS28-AD29/AD$9*100,0)</f>
        <v>0</v>
      </c>
      <c r="AT29" s="1" t="n">
        <f aca="false">MAX(AT28-AF29/AF$9*100,0)</f>
        <v>0</v>
      </c>
      <c r="AU29" s="1" t="n">
        <f aca="false">MAX(AU28-AG29/AG$9*100,0)</f>
        <v>0</v>
      </c>
      <c r="AY29" s="1" t="n">
        <f aca="false">$V29</f>
        <v>19</v>
      </c>
      <c r="AZ29" s="1" t="n">
        <f aca="false">AO29</f>
        <v>0</v>
      </c>
      <c r="BA29" s="1" t="n">
        <f aca="false">BA$7*EXP(-AY29/BA$8)</f>
        <v>5.07444411929948E-007</v>
      </c>
      <c r="BB29" s="1" t="n">
        <f aca="false">(AZ29-BA29)^2</f>
        <v>2.57499831198931E-013</v>
      </c>
      <c r="BD29" s="1" t="n">
        <f aca="false">$V29</f>
        <v>19</v>
      </c>
      <c r="BE29" s="1" t="n">
        <f aca="false">AT29</f>
        <v>0</v>
      </c>
      <c r="BF29" s="1" t="n">
        <f aca="false">BF$7*EXP(-BD29/BF$8)</f>
        <v>0.00365535424308622</v>
      </c>
      <c r="BG29" s="1" t="n">
        <f aca="false">(BE29-BF29)^2</f>
        <v>1.33616146424484E-005</v>
      </c>
      <c r="BI29" s="1" t="n">
        <f aca="false">$V29</f>
        <v>19</v>
      </c>
      <c r="BJ29" s="1" t="n">
        <f aca="false">AN29</f>
        <v>0</v>
      </c>
      <c r="BK29" s="1" t="n">
        <f aca="false">BK$7*EXP(-BI29/BK$8)</f>
        <v>2.7486758255954E-008</v>
      </c>
      <c r="BL29" s="1" t="n">
        <f aca="false">(BJ29-BK29)^2</f>
        <v>7.55521879421255E-016</v>
      </c>
      <c r="BN29" s="1" t="n">
        <f aca="false">$V29</f>
        <v>19</v>
      </c>
      <c r="BO29" s="1" t="n">
        <f aca="false">AR29</f>
        <v>0</v>
      </c>
      <c r="BP29" s="1" t="n">
        <f aca="false">BP$7*EXP(-BN29/BP$8)</f>
        <v>2.09642388743234E-007</v>
      </c>
      <c r="BQ29" s="1" t="n">
        <f aca="false">(BO29-BP29)^2</f>
        <v>4.39499311579693E-014</v>
      </c>
      <c r="BU29" s="1" t="n">
        <f aca="false">V29</f>
        <v>19</v>
      </c>
      <c r="BV29" s="1" t="n">
        <f aca="false">W29/W$9*100</f>
        <v>0</v>
      </c>
      <c r="BW29" s="1" t="n">
        <f aca="false">X29/X$9*100</f>
        <v>0</v>
      </c>
      <c r="BX29" s="1" t="n">
        <f aca="false">Z29/Z$9*100</f>
        <v>0</v>
      </c>
      <c r="BY29" s="1" t="n">
        <f aca="false">AA29/AA$9*100</f>
        <v>0</v>
      </c>
      <c r="BZ29" s="1" t="n">
        <f aca="false">AC29/AC$9*100</f>
        <v>0</v>
      </c>
      <c r="CA29" s="1" t="n">
        <f aca="false">AD29/AD$9*100</f>
        <v>0</v>
      </c>
      <c r="CB29" s="1" t="n">
        <f aca="false">AF29/AF$9*100</f>
        <v>0</v>
      </c>
      <c r="CC29" s="1" t="n">
        <f aca="false">AG29/AG$9*100</f>
        <v>0</v>
      </c>
      <c r="CE29" s="1" t="n">
        <f aca="false">$V29</f>
        <v>19</v>
      </c>
      <c r="CF29" s="1" t="n">
        <f aca="false">BV29</f>
        <v>0</v>
      </c>
      <c r="CG29" s="1" t="n">
        <f aca="false">CG$6*(1+CG$5*(-1)^$BU29)*EXP(-$BU29/CG$4)</f>
        <v>3.93859052048027E-005</v>
      </c>
      <c r="CH29" s="1" t="n">
        <f aca="false">(CF29-CG29)^2</f>
        <v>1.5512495288017E-009</v>
      </c>
      <c r="CI29" s="1" t="n">
        <f aca="false">EXP($BU29/CE29)*CF29</f>
        <v>0</v>
      </c>
      <c r="CJ29" s="1" t="n">
        <f aca="false">EXP($BU29/CE29)*(-1)^$BU29*CF29</f>
        <v>-0</v>
      </c>
      <c r="CK29" s="1" t="n">
        <f aca="false">(-1)^CE29*CF29</f>
        <v>-0</v>
      </c>
      <c r="CM29" s="1" t="n">
        <f aca="false">$V29</f>
        <v>19</v>
      </c>
      <c r="CN29" s="1" t="n">
        <f aca="false">BZ29</f>
        <v>0</v>
      </c>
      <c r="CO29" s="1" t="n">
        <f aca="false">CO$6*(1+CO$5*(-1)^$BU29)*EXP(-$BU29/CO$4)</f>
        <v>3.93859052048027E-005</v>
      </c>
      <c r="CP29" s="1" t="n">
        <f aca="false">(CN29-CO29)^2</f>
        <v>1.5512495288017E-009</v>
      </c>
      <c r="CQ29" s="1" t="n">
        <f aca="false">EXP($BU29/CM29)*CN29</f>
        <v>0</v>
      </c>
      <c r="CR29" s="1" t="n">
        <f aca="false">EXP($BU29/CM29)*(-1)^$BU29*CN29</f>
        <v>-0</v>
      </c>
      <c r="CS29" s="1" t="n">
        <f aca="false">(-1)^CM29*CN29</f>
        <v>-0</v>
      </c>
      <c r="CU29" s="1" t="n">
        <f aca="false">$V29</f>
        <v>19</v>
      </c>
      <c r="CV29" s="1" t="n">
        <f aca="false">CB29</f>
        <v>0</v>
      </c>
      <c r="CW29" s="1" t="n">
        <f aca="false">CW$6*(1+CW$5*(-1)^$BU29)*EXP(-$BU29/CW$4)</f>
        <v>0.050445918017544</v>
      </c>
      <c r="CX29" s="1" t="n">
        <f aca="false">(CV29-CW29)^2</f>
        <v>0.00254479064463277</v>
      </c>
      <c r="CY29" s="1" t="n">
        <f aca="false">EXP($BU29/CU29)*CV29</f>
        <v>0</v>
      </c>
      <c r="CZ29" s="1" t="n">
        <f aca="false">EXP($BU29/CU29)*(-1)^$BU29*CV29</f>
        <v>-0</v>
      </c>
      <c r="DA29" s="1" t="n">
        <f aca="false">(-1)^CU29*CV29</f>
        <v>-0</v>
      </c>
      <c r="DB29" s="1" t="n">
        <v>0.001059</v>
      </c>
    </row>
    <row r="30" customFormat="false" ht="16" hidden="false" customHeight="false" outlineLevel="0" collapsed="false">
      <c r="C30" s="1" t="n">
        <f aca="false">B30-A30</f>
        <v>0</v>
      </c>
      <c r="D30" s="1" t="n">
        <v>1</v>
      </c>
      <c r="E30" s="1" t="n">
        <v>1</v>
      </c>
      <c r="F30" s="1" t="n">
        <f aca="false">E30-D30</f>
        <v>0</v>
      </c>
      <c r="G30" s="1" t="n">
        <v>1</v>
      </c>
      <c r="H30" s="1" t="n">
        <v>2</v>
      </c>
      <c r="I30" s="1" t="n">
        <f aca="false">H30-G30</f>
        <v>1</v>
      </c>
      <c r="M30" s="1" t="n">
        <v>2</v>
      </c>
      <c r="N30" s="1" t="n">
        <v>14</v>
      </c>
      <c r="O30" s="1" t="n">
        <f aca="false">N30-M30</f>
        <v>12</v>
      </c>
      <c r="P30" s="1" t="n">
        <f aca="false">O30/M30</f>
        <v>6</v>
      </c>
      <c r="V30" s="1" t="n">
        <v>20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K30" s="1" t="n">
        <f aca="false">V30</f>
        <v>20</v>
      </c>
      <c r="AN30" s="1" t="n">
        <f aca="false">MAX(AN29-W30/W$9*100,0)</f>
        <v>0</v>
      </c>
      <c r="AO30" s="1" t="n">
        <f aca="false">MAX(AO29-X30/X$9*100,0)</f>
        <v>0</v>
      </c>
      <c r="AP30" s="1" t="n">
        <f aca="false">MAX(AP29-Z30/Z$9*100,0)</f>
        <v>0</v>
      </c>
      <c r="AQ30" s="1" t="n">
        <f aca="false">MAX(AQ29-AA30/AA$9*100,0)</f>
        <v>0</v>
      </c>
      <c r="AR30" s="1" t="n">
        <f aca="false">MAX(AR29-AC30/AC$9*100,0)</f>
        <v>0</v>
      </c>
      <c r="AS30" s="1" t="n">
        <f aca="false">MAX(AS29-AD30/AD$9*100,0)</f>
        <v>0</v>
      </c>
      <c r="AT30" s="1" t="n">
        <f aca="false">MAX(AT29-AF30/AF$9*100,0)</f>
        <v>0</v>
      </c>
      <c r="AU30" s="1" t="n">
        <f aca="false">MAX(AU29-AG30/AG$9*100,0)</f>
        <v>0</v>
      </c>
      <c r="AY30" s="1" t="n">
        <f aca="false">$V30</f>
        <v>20</v>
      </c>
      <c r="AZ30" s="1" t="n">
        <f aca="false">AO30</f>
        <v>0</v>
      </c>
      <c r="BA30" s="1" t="n">
        <f aca="false">BA$7*EXP(-AY30/BA$8)</f>
        <v>1.809931774162E-007</v>
      </c>
      <c r="BB30" s="1" t="n">
        <f aca="false">(AZ30-BA30)^2</f>
        <v>3.27585302712121E-014</v>
      </c>
      <c r="BD30" s="1" t="n">
        <f aca="false">$V30</f>
        <v>20</v>
      </c>
      <c r="BE30" s="1" t="n">
        <f aca="false">AT30</f>
        <v>0</v>
      </c>
      <c r="BF30" s="1" t="n">
        <f aca="false">BF$7*EXP(-BD30/BF$8)</f>
        <v>0.00208422119069672</v>
      </c>
      <c r="BG30" s="1" t="n">
        <f aca="false">(BE30-BF30)^2</f>
        <v>4.34397797174925E-006</v>
      </c>
      <c r="BI30" s="1" t="n">
        <f aca="false">$V30</f>
        <v>20</v>
      </c>
      <c r="BJ30" s="1" t="n">
        <f aca="false">AN30</f>
        <v>0</v>
      </c>
      <c r="BK30" s="1" t="n">
        <f aca="false">BK$7*EXP(-BI30/BK$8)</f>
        <v>8.35807535805942E-009</v>
      </c>
      <c r="BL30" s="1" t="n">
        <f aca="false">(BJ30-BK30)^2</f>
        <v>6.98574236910001E-017</v>
      </c>
      <c r="BN30" s="1" t="n">
        <f aca="false">$V30</f>
        <v>20</v>
      </c>
      <c r="BO30" s="1" t="n">
        <f aca="false">AR30</f>
        <v>0</v>
      </c>
      <c r="BP30" s="1" t="n">
        <f aca="false">BP$7*EXP(-BN30/BP$8)</f>
        <v>6.9860616872844E-008</v>
      </c>
      <c r="BQ30" s="1" t="n">
        <f aca="false">(BO30-BP30)^2</f>
        <v>4.8805057898543E-015</v>
      </c>
      <c r="BU30" s="1" t="n">
        <f aca="false">V30</f>
        <v>20</v>
      </c>
      <c r="BV30" s="1" t="n">
        <f aca="false">W30/W$9*100</f>
        <v>0</v>
      </c>
      <c r="BW30" s="1" t="n">
        <f aca="false">X30/X$9*100</f>
        <v>0</v>
      </c>
      <c r="BX30" s="1" t="n">
        <f aca="false">Z30/Z$9*100</f>
        <v>0</v>
      </c>
      <c r="BY30" s="1" t="n">
        <f aca="false">AA30/AA$9*100</f>
        <v>0</v>
      </c>
      <c r="BZ30" s="1" t="n">
        <f aca="false">AC30/AC$9*100</f>
        <v>0</v>
      </c>
      <c r="CA30" s="1" t="n">
        <f aca="false">AD30/AD$9*100</f>
        <v>0</v>
      </c>
      <c r="CB30" s="1" t="n">
        <f aca="false">AF30/AF$9*100</f>
        <v>0</v>
      </c>
      <c r="CC30" s="1" t="n">
        <f aca="false">AG30/AG$9*100</f>
        <v>0</v>
      </c>
      <c r="CE30" s="1" t="n">
        <f aca="false">$V30</f>
        <v>20</v>
      </c>
      <c r="CF30" s="1" t="n">
        <f aca="false">BV30</f>
        <v>0</v>
      </c>
      <c r="CG30" s="1" t="n">
        <f aca="false">CG$6*(1+CG$5*(-1)^$BU30)*EXP(-$BU30/CG$4)</f>
        <v>5.39443485114901E-005</v>
      </c>
      <c r="CH30" s="1" t="n">
        <f aca="false">(CF30-CG30)^2</f>
        <v>2.9099927363291E-009</v>
      </c>
      <c r="CI30" s="1" t="n">
        <f aca="false">EXP($BU30/CE30)*CF30</f>
        <v>0</v>
      </c>
      <c r="CJ30" s="1" t="n">
        <f aca="false">EXP($BU30/CE30)*(-1)^$BU30*CF30</f>
        <v>0</v>
      </c>
      <c r="CK30" s="1" t="n">
        <f aca="false">(-1)^CE30*CF30</f>
        <v>0</v>
      </c>
      <c r="CM30" s="1" t="n">
        <f aca="false">$V30</f>
        <v>20</v>
      </c>
      <c r="CN30" s="1" t="n">
        <f aca="false">BZ30</f>
        <v>0</v>
      </c>
      <c r="CO30" s="1" t="n">
        <f aca="false">CO$6*(1+CO$5*(-1)^$BU30)*EXP(-$BU30/CO$4)</f>
        <v>5.39443485114901E-005</v>
      </c>
      <c r="CP30" s="1" t="n">
        <f aca="false">(CN30-CO30)^2</f>
        <v>2.9099927363291E-009</v>
      </c>
      <c r="CQ30" s="1" t="n">
        <f aca="false">EXP($BU30/CM30)*CN30</f>
        <v>0</v>
      </c>
      <c r="CR30" s="1" t="n">
        <f aca="false">EXP($BU30/CM30)*(-1)^$BU30*CN30</f>
        <v>0</v>
      </c>
      <c r="CS30" s="1" t="n">
        <f aca="false">(-1)^CM30*CN30</f>
        <v>0</v>
      </c>
      <c r="CU30" s="1" t="n">
        <f aca="false">$V30</f>
        <v>20</v>
      </c>
      <c r="CV30" s="1" t="n">
        <f aca="false">CB30</f>
        <v>0</v>
      </c>
      <c r="CW30" s="1" t="n">
        <f aca="false">CW$6*(1+CW$5*(-1)^$BU30)*EXP(-$BU30/CW$4)</f>
        <v>0.070165919515111</v>
      </c>
      <c r="CX30" s="1" t="n">
        <f aca="false">(CV30-CW30)^2</f>
        <v>0.00492325626140104</v>
      </c>
      <c r="CY30" s="1" t="n">
        <f aca="false">EXP($BU30/CU30)*CV30</f>
        <v>0</v>
      </c>
      <c r="CZ30" s="1" t="n">
        <f aca="false">EXP($BU30/CU30)*(-1)^$BU30*CV30</f>
        <v>0</v>
      </c>
      <c r="DA30" s="1" t="n">
        <f aca="false">(-1)^CU30*CV30</f>
        <v>0</v>
      </c>
      <c r="DB30" s="1" t="n">
        <v>0</v>
      </c>
    </row>
    <row r="31" customFormat="false" ht="16" hidden="false" customHeight="false" outlineLevel="0" collapsed="false">
      <c r="C31" s="1" t="n">
        <f aca="false">B31-A31</f>
        <v>0</v>
      </c>
      <c r="D31" s="1" t="n">
        <v>2</v>
      </c>
      <c r="E31" s="1" t="n">
        <v>2</v>
      </c>
      <c r="F31" s="1" t="n">
        <f aca="false">E31-D31</f>
        <v>0</v>
      </c>
      <c r="G31" s="1" t="n">
        <v>1</v>
      </c>
      <c r="H31" s="1" t="n">
        <v>3</v>
      </c>
      <c r="I31" s="1" t="n">
        <f aca="false">H31-G31</f>
        <v>2</v>
      </c>
      <c r="M31" s="1" t="n">
        <v>2</v>
      </c>
      <c r="N31" s="1" t="n">
        <v>4</v>
      </c>
      <c r="O31" s="1" t="n">
        <f aca="false">N31-M31</f>
        <v>2</v>
      </c>
      <c r="P31" s="1" t="n">
        <f aca="false">O31/M31</f>
        <v>1</v>
      </c>
      <c r="R31" s="1" t="s">
        <v>74</v>
      </c>
      <c r="V31" s="1" t="n">
        <v>21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K31" s="1" t="n">
        <f aca="false">V31</f>
        <v>21</v>
      </c>
      <c r="AN31" s="1" t="n">
        <f aca="false">MAX(AN30-W31/W$9*100,0)</f>
        <v>0</v>
      </c>
      <c r="AO31" s="1" t="n">
        <f aca="false">MAX(AO30-X31/X$9*100,0)</f>
        <v>0</v>
      </c>
      <c r="AP31" s="1" t="n">
        <f aca="false">MAX(AP30-Z31/Z$9*100,0)</f>
        <v>0</v>
      </c>
      <c r="AQ31" s="1" t="n">
        <f aca="false">MAX(AQ30-AA31/AA$9*100,0)</f>
        <v>0</v>
      </c>
      <c r="AR31" s="1" t="n">
        <f aca="false">MAX(AR30-AC31/AC$9*100,0)</f>
        <v>0</v>
      </c>
      <c r="AS31" s="1" t="n">
        <f aca="false">MAX(AS30-AD31/AD$9*100,0)</f>
        <v>0</v>
      </c>
      <c r="AT31" s="1" t="n">
        <f aca="false">MAX(AT30-AF31/AF$9*100,0)</f>
        <v>0</v>
      </c>
      <c r="AU31" s="1" t="n">
        <f aca="false">MAX(AU30-AG31/AG$9*100,0)</f>
        <v>0</v>
      </c>
      <c r="AY31" s="1" t="n">
        <f aca="false">$V31</f>
        <v>21</v>
      </c>
      <c r="AZ31" s="1" t="n">
        <f aca="false">AO31</f>
        <v>0</v>
      </c>
      <c r="BA31" s="1" t="n">
        <f aca="false">BA$7*EXP(-AY31/BA$8)</f>
        <v>6.4555899131143E-008</v>
      </c>
      <c r="BB31" s="1" t="n">
        <f aca="false">(AZ31-BA31)^2</f>
        <v>4.16746411263031E-015</v>
      </c>
      <c r="BD31" s="1" t="n">
        <f aca="false">$V31</f>
        <v>21</v>
      </c>
      <c r="BE31" s="1" t="n">
        <f aca="false">AT31</f>
        <v>0</v>
      </c>
      <c r="BF31" s="1" t="n">
        <f aca="false">BF$7*EXP(-BD31/BF$8)</f>
        <v>0.00118838768635502</v>
      </c>
      <c r="BG31" s="1" t="n">
        <f aca="false">(BE31-BF31)^2</f>
        <v>1.41226529308024E-006</v>
      </c>
      <c r="BI31" s="1" t="n">
        <f aca="false">$V31</f>
        <v>21</v>
      </c>
      <c r="BJ31" s="1" t="n">
        <f aca="false">AN31</f>
        <v>0</v>
      </c>
      <c r="BK31" s="1" t="n">
        <f aca="false">BK$7*EXP(-BI31/BK$8)</f>
        <v>2.54149372728842E-009</v>
      </c>
      <c r="BL31" s="1" t="n">
        <f aca="false">(BJ31-BK31)^2</f>
        <v>6.45919036584639E-018</v>
      </c>
      <c r="BN31" s="1" t="n">
        <f aca="false">$V31</f>
        <v>21</v>
      </c>
      <c r="BO31" s="1" t="n">
        <f aca="false">AR31</f>
        <v>0</v>
      </c>
      <c r="BP31" s="1" t="n">
        <f aca="false">BP$7*EXP(-BN31/BP$8)</f>
        <v>2.32801477750373E-008</v>
      </c>
      <c r="BQ31" s="1" t="n">
        <f aca="false">(BO31-BP31)^2</f>
        <v>5.41965280427574E-016</v>
      </c>
      <c r="BU31" s="1" t="n">
        <f aca="false">V31</f>
        <v>21</v>
      </c>
      <c r="BV31" s="1" t="n">
        <f aca="false">W31/W$9*100</f>
        <v>0</v>
      </c>
      <c r="BW31" s="1" t="n">
        <f aca="false">X31/X$9*100</f>
        <v>0</v>
      </c>
      <c r="BX31" s="1" t="n">
        <f aca="false">Z31/Z$9*100</f>
        <v>0</v>
      </c>
      <c r="BY31" s="1" t="n">
        <f aca="false">AA31/AA$9*100</f>
        <v>0</v>
      </c>
      <c r="BZ31" s="1" t="n">
        <f aca="false">AC31/AC$9*100</f>
        <v>0</v>
      </c>
      <c r="CA31" s="1" t="n">
        <f aca="false">AD31/AD$9*100</f>
        <v>0</v>
      </c>
      <c r="CB31" s="1" t="n">
        <f aca="false">AF31/AF$9*100</f>
        <v>0</v>
      </c>
      <c r="CC31" s="1" t="n">
        <f aca="false">AG31/AG$9*100</f>
        <v>0</v>
      </c>
      <c r="CE31" s="1" t="n">
        <f aca="false">$V31</f>
        <v>21</v>
      </c>
      <c r="CF31" s="1" t="n">
        <f aca="false">BV31</f>
        <v>0</v>
      </c>
      <c r="CG31" s="1" t="n">
        <f aca="false">CG$6*(1+CG$5*(-1)^$BU31)*EXP(-$BU31/CG$4)</f>
        <v>8.65603271218318E-006</v>
      </c>
      <c r="CH31" s="1" t="n">
        <f aca="false">(CF31-CG31)^2</f>
        <v>7.49269023143853E-011</v>
      </c>
      <c r="CI31" s="1" t="n">
        <f aca="false">EXP($BU31/CE31)*CF31</f>
        <v>0</v>
      </c>
      <c r="CJ31" s="1" t="n">
        <f aca="false">EXP($BU31/CE31)*(-1)^$BU31*CF31</f>
        <v>-0</v>
      </c>
      <c r="CK31" s="1" t="n">
        <f aca="false">(-1)^CE31*CF31</f>
        <v>-0</v>
      </c>
      <c r="CM31" s="1" t="n">
        <f aca="false">$V31</f>
        <v>21</v>
      </c>
      <c r="CN31" s="1" t="n">
        <f aca="false">BZ31</f>
        <v>0</v>
      </c>
      <c r="CO31" s="1" t="n">
        <f aca="false">CO$6*(1+CO$5*(-1)^$BU31)*EXP(-$BU31/CO$4)</f>
        <v>8.65603271218318E-006</v>
      </c>
      <c r="CP31" s="1" t="n">
        <f aca="false">(CN31-CO31)^2</f>
        <v>7.49269023143853E-011</v>
      </c>
      <c r="CQ31" s="1" t="n">
        <f aca="false">EXP($BU31/CM31)*CN31</f>
        <v>0</v>
      </c>
      <c r="CR31" s="1" t="n">
        <f aca="false">EXP($BU31/CM31)*(-1)^$BU31*CN31</f>
        <v>-0</v>
      </c>
      <c r="CS31" s="1" t="n">
        <f aca="false">(-1)^CM31*CN31</f>
        <v>-0</v>
      </c>
      <c r="CU31" s="1" t="n">
        <f aca="false">$V31</f>
        <v>21</v>
      </c>
      <c r="CV31" s="1" t="n">
        <f aca="false">CB31</f>
        <v>0</v>
      </c>
      <c r="CW31" s="1" t="n">
        <f aca="false">CW$6*(1+CW$5*(-1)^$BU31)*EXP(-$BU31/CW$4)</f>
        <v>0.0258997978955218</v>
      </c>
      <c r="CX31" s="1" t="n">
        <f aca="false">(CV31-CW31)^2</f>
        <v>0.000670799531028876</v>
      </c>
      <c r="CY31" s="1" t="n">
        <f aca="false">EXP($BU31/CU31)*CV31</f>
        <v>0</v>
      </c>
      <c r="CZ31" s="1" t="n">
        <f aca="false">EXP($BU31/CU31)*(-1)^$BU31*CV31</f>
        <v>-0</v>
      </c>
      <c r="DA31" s="1" t="n">
        <f aca="false">(-1)^CU31*CV31</f>
        <v>-0</v>
      </c>
      <c r="DB31" s="1" t="n">
        <v>0.000424</v>
      </c>
    </row>
    <row r="32" customFormat="false" ht="16" hidden="false" customHeight="false" outlineLevel="0" collapsed="false">
      <c r="C32" s="1" t="n">
        <f aca="false">B32-A32</f>
        <v>0</v>
      </c>
      <c r="D32" s="1" t="n">
        <v>2</v>
      </c>
      <c r="E32" s="1" t="n">
        <v>2</v>
      </c>
      <c r="F32" s="1" t="n">
        <f aca="false">E32-D32</f>
        <v>0</v>
      </c>
      <c r="G32" s="1" t="n">
        <v>1</v>
      </c>
      <c r="H32" s="1" t="n">
        <v>3</v>
      </c>
      <c r="I32" s="1" t="n">
        <f aca="false">H32-G32</f>
        <v>2</v>
      </c>
      <c r="M32" s="1" t="n">
        <v>2</v>
      </c>
      <c r="N32" s="1" t="n">
        <v>6</v>
      </c>
      <c r="O32" s="1" t="n">
        <f aca="false">N32-M32</f>
        <v>4</v>
      </c>
      <c r="P32" s="1" t="n">
        <f aca="false">O32/M32</f>
        <v>2</v>
      </c>
      <c r="R32" s="1" t="s">
        <v>41</v>
      </c>
      <c r="S32" s="1" t="e">
        <f aca="false">COUNTIFS(#REF!,2,#REF!,2)</f>
        <v>#VALUE!</v>
      </c>
      <c r="V32" s="1" t="n">
        <v>22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K32" s="1" t="n">
        <f aca="false">V32</f>
        <v>22</v>
      </c>
      <c r="AN32" s="1" t="n">
        <f aca="false">MAX(AN31-W32/W$9*100,0)</f>
        <v>0</v>
      </c>
      <c r="AO32" s="1" t="n">
        <f aca="false">MAX(AO31-X32/X$9*100,0)</f>
        <v>0</v>
      </c>
      <c r="AP32" s="1" t="n">
        <f aca="false">MAX(AP31-Z32/Z$9*100,0)</f>
        <v>0</v>
      </c>
      <c r="AQ32" s="1" t="n">
        <f aca="false">MAX(AQ31-AA32/AA$9*100,0)</f>
        <v>0</v>
      </c>
      <c r="AR32" s="1" t="n">
        <f aca="false">MAX(AR31-AC32/AC$9*100,0)</f>
        <v>0</v>
      </c>
      <c r="AS32" s="1" t="n">
        <f aca="false">MAX(AS31-AD32/AD$9*100,0)</f>
        <v>0</v>
      </c>
      <c r="AT32" s="1" t="n">
        <f aca="false">MAX(AT31-AF32/AF$9*100,0)</f>
        <v>0</v>
      </c>
      <c r="AU32" s="1" t="n">
        <f aca="false">MAX(AU31-AG32/AG$9*100,0)</f>
        <v>0</v>
      </c>
      <c r="AY32" s="1" t="n">
        <f aca="false">$V32</f>
        <v>22</v>
      </c>
      <c r="AZ32" s="1" t="n">
        <f aca="false">AO32</f>
        <v>0</v>
      </c>
      <c r="BA32" s="1" t="n">
        <f aca="false">BA$7*EXP(-AY32/BA$8)</f>
        <v>2.30255315262359E-008</v>
      </c>
      <c r="BB32" s="1" t="n">
        <f aca="false">(AZ32-BA32)^2</f>
        <v>5.30175102065683E-016</v>
      </c>
      <c r="BD32" s="1" t="n">
        <f aca="false">$V32</f>
        <v>22</v>
      </c>
      <c r="BE32" s="1" t="n">
        <f aca="false">AT32</f>
        <v>0</v>
      </c>
      <c r="BF32" s="1" t="n">
        <f aca="false">BF$7*EXP(-BD32/BF$8)</f>
        <v>0.000677598567457299</v>
      </c>
      <c r="BG32" s="1" t="n">
        <f aca="false">(BE32-BF32)^2</f>
        <v>4.59139818620184E-007</v>
      </c>
      <c r="BI32" s="1" t="n">
        <f aca="false">$V32</f>
        <v>22</v>
      </c>
      <c r="BJ32" s="1" t="n">
        <f aca="false">AN32</f>
        <v>0</v>
      </c>
      <c r="BK32" s="1" t="n">
        <f aca="false">BK$7*EXP(-BI32/BK$8)</f>
        <v>7.72808342726651E-010</v>
      </c>
      <c r="BL32" s="1" t="n">
        <f aca="false">(BJ32-BK32)^2</f>
        <v>5.97232734587913E-019</v>
      </c>
      <c r="BN32" s="1" t="n">
        <f aca="false">$V32</f>
        <v>22</v>
      </c>
      <c r="BO32" s="1" t="n">
        <f aca="false">AR32</f>
        <v>0</v>
      </c>
      <c r="BP32" s="1" t="n">
        <f aca="false">BP$7*EXP(-BN32/BP$8)</f>
        <v>7.75780840031841E-009</v>
      </c>
      <c r="BQ32" s="1" t="n">
        <f aca="false">(BO32-BP32)^2</f>
        <v>6.01835911760509E-017</v>
      </c>
      <c r="BU32" s="1" t="n">
        <f aca="false">V32</f>
        <v>22</v>
      </c>
      <c r="BV32" s="1" t="n">
        <f aca="false">W32/W$9*100</f>
        <v>0</v>
      </c>
      <c r="BW32" s="1" t="n">
        <f aca="false">X32/X$9*100</f>
        <v>0</v>
      </c>
      <c r="BX32" s="1" t="n">
        <f aca="false">Z32/Z$9*100</f>
        <v>0</v>
      </c>
      <c r="BY32" s="1" t="n">
        <f aca="false">AA32/AA$9*100</f>
        <v>0</v>
      </c>
      <c r="BZ32" s="1" t="n">
        <f aca="false">AC32/AC$9*100</f>
        <v>0</v>
      </c>
      <c r="CA32" s="1" t="n">
        <f aca="false">AD32/AD$9*100</f>
        <v>0</v>
      </c>
      <c r="CB32" s="1" t="n">
        <f aca="false">AF32/AF$9*100</f>
        <v>0</v>
      </c>
      <c r="CC32" s="1" t="n">
        <f aca="false">AG32/AG$9*100</f>
        <v>0</v>
      </c>
      <c r="CE32" s="1" t="n">
        <f aca="false">$V32</f>
        <v>22</v>
      </c>
      <c r="CF32" s="1" t="n">
        <f aca="false">BV32</f>
        <v>0</v>
      </c>
      <c r="CG32" s="1" t="n">
        <f aca="false">CG$6*(1+CG$5*(-1)^$BU32)*EXP(-$BU32/CG$4)</f>
        <v>1.18556128880321E-005</v>
      </c>
      <c r="CH32" s="1" t="n">
        <f aca="false">(CF32-CG32)^2</f>
        <v>1.40555556950873E-010</v>
      </c>
      <c r="CI32" s="1" t="n">
        <f aca="false">EXP($BU32/CE32)*CF32</f>
        <v>0</v>
      </c>
      <c r="CJ32" s="1" t="n">
        <f aca="false">EXP($BU32/CE32)*(-1)^$BU32*CF32</f>
        <v>0</v>
      </c>
      <c r="CK32" s="1" t="n">
        <f aca="false">(-1)^CE32*CF32</f>
        <v>0</v>
      </c>
      <c r="CM32" s="1" t="n">
        <f aca="false">$V32</f>
        <v>22</v>
      </c>
      <c r="CN32" s="1" t="n">
        <f aca="false">BZ32</f>
        <v>0</v>
      </c>
      <c r="CO32" s="1" t="n">
        <f aca="false">CO$6*(1+CO$5*(-1)^$BU32)*EXP(-$BU32/CO$4)</f>
        <v>1.18556128880321E-005</v>
      </c>
      <c r="CP32" s="1" t="n">
        <f aca="false">(CN32-CO32)^2</f>
        <v>1.40555556950873E-010</v>
      </c>
      <c r="CQ32" s="1" t="n">
        <f aca="false">EXP($BU32/CM32)*CN32</f>
        <v>0</v>
      </c>
      <c r="CR32" s="1" t="n">
        <f aca="false">EXP($BU32/CM32)*(-1)^$BU32*CN32</f>
        <v>0</v>
      </c>
      <c r="CS32" s="1" t="n">
        <f aca="false">(-1)^CM32*CN32</f>
        <v>0</v>
      </c>
      <c r="CU32" s="1" t="n">
        <f aca="false">$V32</f>
        <v>22</v>
      </c>
      <c r="CV32" s="1" t="n">
        <f aca="false">CB32</f>
        <v>0</v>
      </c>
      <c r="CW32" s="1" t="n">
        <f aca="false">CW$6*(1+CW$5*(-1)^$BU32)*EXP(-$BU32/CW$4)</f>
        <v>0.036024384251721</v>
      </c>
      <c r="CX32" s="1" t="n">
        <f aca="false">(CV32-CW32)^2</f>
        <v>0.00129775626071564</v>
      </c>
      <c r="CY32" s="1" t="n">
        <f aca="false">EXP($BU32/CU32)*CV32</f>
        <v>0</v>
      </c>
      <c r="CZ32" s="1" t="n">
        <f aca="false">EXP($BU32/CU32)*(-1)^$BU32*CV32</f>
        <v>0</v>
      </c>
      <c r="DA32" s="1" t="n">
        <f aca="false">(-1)^CU32*CV32</f>
        <v>0</v>
      </c>
      <c r="DB32" s="1" t="n">
        <v>0</v>
      </c>
    </row>
    <row r="33" customFormat="false" ht="16" hidden="false" customHeight="false" outlineLevel="0" collapsed="false">
      <c r="C33" s="1" t="n">
        <f aca="false">B33-A33</f>
        <v>0</v>
      </c>
      <c r="D33" s="1" t="n">
        <v>2</v>
      </c>
      <c r="E33" s="1" t="n">
        <v>2</v>
      </c>
      <c r="F33" s="1" t="n">
        <f aca="false">E33-D33</f>
        <v>0</v>
      </c>
      <c r="G33" s="1" t="n">
        <v>1</v>
      </c>
      <c r="H33" s="1" t="n">
        <v>3</v>
      </c>
      <c r="I33" s="1" t="n">
        <f aca="false">H33-G33</f>
        <v>2</v>
      </c>
      <c r="M33" s="1" t="n">
        <v>6</v>
      </c>
      <c r="N33" s="1" t="n">
        <v>10</v>
      </c>
      <c r="O33" s="1" t="n">
        <f aca="false">N33-M33</f>
        <v>4</v>
      </c>
      <c r="P33" s="1" t="n">
        <f aca="false">O33/M33</f>
        <v>0.666666666666667</v>
      </c>
      <c r="R33" s="1" t="s">
        <v>48</v>
      </c>
      <c r="S33" s="1" t="e">
        <f aca="false">COUNTIFS(#REF!,2,#REF!,1)</f>
        <v>#VALUE!</v>
      </c>
      <c r="V33" s="1" t="n">
        <v>23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K33" s="1" t="n">
        <f aca="false">V33</f>
        <v>23</v>
      </c>
      <c r="AN33" s="1" t="n">
        <f aca="false">MAX(AN32-W33/W$9*100,0)</f>
        <v>0</v>
      </c>
      <c r="AO33" s="1" t="n">
        <f aca="false">MAX(AO32-X33/X$9*100,0)</f>
        <v>0</v>
      </c>
      <c r="AP33" s="1" t="n">
        <f aca="false">MAX(AP32-Z33/Z$9*100,0)</f>
        <v>0</v>
      </c>
      <c r="AQ33" s="1" t="n">
        <f aca="false">MAX(AQ32-AA33/AA$9*100,0)</f>
        <v>0</v>
      </c>
      <c r="AR33" s="1" t="n">
        <f aca="false">MAX(AR32-AC33/AC$9*100,0)</f>
        <v>0</v>
      </c>
      <c r="AS33" s="1" t="n">
        <f aca="false">MAX(AS32-AD33/AD$9*100,0)</f>
        <v>0</v>
      </c>
      <c r="AT33" s="1" t="n">
        <f aca="false">MAX(AT32-AF33/AF$9*100,0)</f>
        <v>0</v>
      </c>
      <c r="AU33" s="1" t="n">
        <f aca="false">MAX(AU32-AG33/AG$9*100,0)</f>
        <v>0</v>
      </c>
      <c r="AY33" s="1" t="n">
        <f aca="false">$V33</f>
        <v>23</v>
      </c>
      <c r="AZ33" s="1" t="n">
        <f aca="false">AO33</f>
        <v>0</v>
      </c>
      <c r="BA33" s="1" t="n">
        <f aca="false">BA$7*EXP(-AY33/BA$8)</f>
        <v>8.21265150360079E-009</v>
      </c>
      <c r="BB33" s="1" t="n">
        <f aca="false">(AZ33-BA33)^2</f>
        <v>6.74476447195963E-017</v>
      </c>
      <c r="BD33" s="1" t="n">
        <f aca="false">$V33</f>
        <v>23</v>
      </c>
      <c r="BE33" s="1" t="n">
        <f aca="false">AT33</f>
        <v>0</v>
      </c>
      <c r="BF33" s="1" t="n">
        <f aca="false">BF$7*EXP(-BD33/BF$8)</f>
        <v>0.000386355247443231</v>
      </c>
      <c r="BG33" s="1" t="n">
        <f aca="false">(BE33-BF33)^2</f>
        <v>1.4927037722692E-007</v>
      </c>
      <c r="BI33" s="1" t="n">
        <f aca="false">$V33</f>
        <v>23</v>
      </c>
      <c r="BJ33" s="1" t="n">
        <f aca="false">AN33</f>
        <v>0</v>
      </c>
      <c r="BK33" s="1" t="n">
        <f aca="false">BK$7*EXP(-BI33/BK$8)</f>
        <v>2.34992802923466E-010</v>
      </c>
      <c r="BL33" s="1" t="n">
        <f aca="false">(BJ33-BK33)^2</f>
        <v>5.52216174258269E-020</v>
      </c>
      <c r="BN33" s="1" t="n">
        <f aca="false">$V33</f>
        <v>23</v>
      </c>
      <c r="BO33" s="1" t="n">
        <f aca="false">AR33</f>
        <v>0</v>
      </c>
      <c r="BP33" s="1" t="n">
        <f aca="false">BP$7*EXP(-BN33/BP$8)</f>
        <v>2.58518939646011E-009</v>
      </c>
      <c r="BQ33" s="1" t="n">
        <f aca="false">(BO33-BP33)^2</f>
        <v>6.68320421556979E-018</v>
      </c>
      <c r="BU33" s="1" t="n">
        <f aca="false">V33</f>
        <v>23</v>
      </c>
      <c r="BV33" s="1" t="n">
        <f aca="false">W33/W$9*100</f>
        <v>0</v>
      </c>
      <c r="BW33" s="1" t="n">
        <f aca="false">X33/X$9*100</f>
        <v>0</v>
      </c>
      <c r="BX33" s="1" t="n">
        <f aca="false">Z33/Z$9*100</f>
        <v>0</v>
      </c>
      <c r="BY33" s="1" t="n">
        <f aca="false">AA33/AA$9*100</f>
        <v>0</v>
      </c>
      <c r="BZ33" s="1" t="n">
        <f aca="false">AC33/AC$9*100</f>
        <v>0</v>
      </c>
      <c r="CA33" s="1" t="n">
        <f aca="false">AD33/AD$9*100</f>
        <v>0</v>
      </c>
      <c r="CB33" s="1" t="n">
        <f aca="false">AF33/AF$9*100</f>
        <v>0</v>
      </c>
      <c r="CC33" s="1" t="n">
        <f aca="false">AG33/AG$9*100</f>
        <v>0</v>
      </c>
      <c r="CE33" s="1" t="n">
        <f aca="false">$V33</f>
        <v>23</v>
      </c>
      <c r="CF33" s="1" t="n">
        <f aca="false">BV33</f>
        <v>0</v>
      </c>
      <c r="CG33" s="1" t="n">
        <f aca="false">CG$6*(1+CG$5*(-1)^$BU33)*EXP(-$BU33/CG$4)</f>
        <v>1.90237857743203E-006</v>
      </c>
      <c r="CH33" s="1" t="n">
        <f aca="false">(CF33-CG33)^2</f>
        <v>3.61904425187231E-012</v>
      </c>
      <c r="CI33" s="1" t="n">
        <f aca="false">EXP($BU33/CE33)*CF33</f>
        <v>0</v>
      </c>
      <c r="CJ33" s="1" t="n">
        <f aca="false">EXP($BU33/CE33)*(-1)^$BU33*CF33</f>
        <v>-0</v>
      </c>
      <c r="CK33" s="1" t="n">
        <f aca="false">(-1)^CE33*CF33</f>
        <v>-0</v>
      </c>
      <c r="CM33" s="1" t="n">
        <f aca="false">$V33</f>
        <v>23</v>
      </c>
      <c r="CN33" s="1" t="n">
        <f aca="false">BZ33</f>
        <v>0</v>
      </c>
      <c r="CO33" s="1" t="n">
        <f aca="false">CO$6*(1+CO$5*(-1)^$BU33)*EXP(-$BU33/CO$4)</f>
        <v>1.90237857743203E-006</v>
      </c>
      <c r="CP33" s="1" t="n">
        <f aca="false">(CN33-CO33)^2</f>
        <v>3.61904425187231E-012</v>
      </c>
      <c r="CQ33" s="1" t="n">
        <f aca="false">EXP($BU33/CM33)*CN33</f>
        <v>0</v>
      </c>
      <c r="CR33" s="1" t="n">
        <f aca="false">EXP($BU33/CM33)*(-1)^$BU33*CN33</f>
        <v>-0</v>
      </c>
      <c r="CS33" s="1" t="n">
        <f aca="false">(-1)^CM33*CN33</f>
        <v>-0</v>
      </c>
      <c r="CU33" s="1" t="n">
        <f aca="false">$V33</f>
        <v>23</v>
      </c>
      <c r="CV33" s="1" t="n">
        <f aca="false">CB33</f>
        <v>0</v>
      </c>
      <c r="CW33" s="1" t="n">
        <f aca="false">CW$6*(1+CW$5*(-1)^$BU33)*EXP(-$BU33/CW$4)</f>
        <v>0.0132973996190452</v>
      </c>
      <c r="CX33" s="1" t="n">
        <f aca="false">(CV33-CW33)^2</f>
        <v>0.000176820836628583</v>
      </c>
      <c r="CY33" s="1" t="n">
        <f aca="false">EXP($BU33/CU33)*CV33</f>
        <v>0</v>
      </c>
      <c r="CZ33" s="1" t="n">
        <f aca="false">EXP($BU33/CU33)*(-1)^$BU33*CV33</f>
        <v>-0</v>
      </c>
      <c r="DA33" s="1" t="n">
        <f aca="false">(-1)^CU33*CV33</f>
        <v>-0</v>
      </c>
      <c r="DB33" s="1" t="n">
        <v>0</v>
      </c>
    </row>
    <row r="34" customFormat="false" ht="16" hidden="false" customHeight="false" outlineLevel="0" collapsed="false">
      <c r="C34" s="1" t="n">
        <f aca="false">B34-A34</f>
        <v>0</v>
      </c>
      <c r="D34" s="1" t="n">
        <v>1</v>
      </c>
      <c r="E34" s="1" t="n">
        <v>1</v>
      </c>
      <c r="F34" s="1" t="n">
        <f aca="false">E34-D34</f>
        <v>0</v>
      </c>
      <c r="G34" s="1" t="n">
        <v>2</v>
      </c>
      <c r="H34" s="1" t="n">
        <v>2</v>
      </c>
      <c r="I34" s="1" t="n">
        <f aca="false">H34-G34</f>
        <v>0</v>
      </c>
      <c r="M34" s="1" t="n">
        <v>1</v>
      </c>
      <c r="N34" s="1" t="n">
        <v>5</v>
      </c>
      <c r="O34" s="1" t="n">
        <f aca="false">N34-M34</f>
        <v>4</v>
      </c>
      <c r="P34" s="1" t="n">
        <f aca="false">O34/M34</f>
        <v>4</v>
      </c>
      <c r="R34" s="1" t="s">
        <v>52</v>
      </c>
      <c r="S34" s="1" t="e">
        <f aca="false">COUNTIFS(#REF!,2,#REF!,0)</f>
        <v>#VALUE!</v>
      </c>
      <c r="V34" s="1" t="n">
        <v>24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K34" s="1" t="n">
        <f aca="false">V34</f>
        <v>24</v>
      </c>
      <c r="AN34" s="1" t="n">
        <f aca="false">MAX(AN33-W34/W$9*100,0)</f>
        <v>0</v>
      </c>
      <c r="AO34" s="1" t="n">
        <f aca="false">MAX(AO33-X34/X$9*100,0)</f>
        <v>0</v>
      </c>
      <c r="AP34" s="1" t="n">
        <f aca="false">MAX(AP33-Z34/Z$9*100,0)</f>
        <v>0</v>
      </c>
      <c r="AQ34" s="1" t="n">
        <f aca="false">MAX(AQ33-AA34/AA$9*100,0)</f>
        <v>0</v>
      </c>
      <c r="AR34" s="1" t="n">
        <f aca="false">MAX(AR33-AC34/AC$9*100,0)</f>
        <v>0</v>
      </c>
      <c r="AS34" s="1" t="n">
        <f aca="false">MAX(AS33-AD34/AD$9*100,0)</f>
        <v>0</v>
      </c>
      <c r="AT34" s="1" t="n">
        <f aca="false">MAX(AT33-AF34/AF$9*100,0)</f>
        <v>0</v>
      </c>
      <c r="AU34" s="1" t="n">
        <f aca="false">MAX(AU33-AG34/AG$9*100,0)</f>
        <v>0</v>
      </c>
      <c r="AY34" s="1" t="n">
        <f aca="false">$V34</f>
        <v>24</v>
      </c>
      <c r="AZ34" s="1" t="n">
        <f aca="false">AO34</f>
        <v>0</v>
      </c>
      <c r="BA34" s="1" t="n">
        <f aca="false">BA$7*EXP(-AY34/BA$8)</f>
        <v>2.92925462514274E-009</v>
      </c>
      <c r="BB34" s="1" t="n">
        <f aca="false">(AZ34-BA34)^2</f>
        <v>8.58053265892014E-018</v>
      </c>
      <c r="BD34" s="1" t="n">
        <f aca="false">$V34</f>
        <v>24</v>
      </c>
      <c r="BE34" s="1" t="n">
        <f aca="false">AT34</f>
        <v>0</v>
      </c>
      <c r="BF34" s="1" t="n">
        <f aca="false">BF$7*EXP(-BD34/BF$8)</f>
        <v>0.000220293230233736</v>
      </c>
      <c r="BG34" s="1" t="n">
        <f aca="false">(BE34-BF34)^2</f>
        <v>4.85291072868138E-008</v>
      </c>
      <c r="BI34" s="1" t="n">
        <f aca="false">$V34</f>
        <v>24</v>
      </c>
      <c r="BJ34" s="1" t="n">
        <f aca="false">AN34</f>
        <v>0</v>
      </c>
      <c r="BK34" s="1" t="n">
        <f aca="false">BK$7*EXP(-BI34/BK$8)</f>
        <v>7.14557728905877E-011</v>
      </c>
      <c r="BL34" s="1" t="n">
        <f aca="false">(BJ34-BK34)^2</f>
        <v>5.10592747939125E-021</v>
      </c>
      <c r="BN34" s="1" t="n">
        <f aca="false">$V34</f>
        <v>24</v>
      </c>
      <c r="BO34" s="1" t="n">
        <f aca="false">AR34</f>
        <v>0</v>
      </c>
      <c r="BP34" s="1" t="n">
        <f aca="false">BP$7*EXP(-BN34/BP$8)</f>
        <v>8.61480958371629E-010</v>
      </c>
      <c r="BQ34" s="1" t="n">
        <f aca="false">(BO34-BP34)^2</f>
        <v>7.421494416369E-019</v>
      </c>
      <c r="BU34" s="1" t="n">
        <f aca="false">V34</f>
        <v>24</v>
      </c>
      <c r="BV34" s="1" t="n">
        <f aca="false">W34/W$9*100</f>
        <v>0</v>
      </c>
      <c r="BW34" s="1" t="n">
        <f aca="false">X34/X$9*100</f>
        <v>0</v>
      </c>
      <c r="BX34" s="1" t="n">
        <f aca="false">Z34/Z$9*100</f>
        <v>0</v>
      </c>
      <c r="BY34" s="1" t="n">
        <f aca="false">AA34/AA$9*100</f>
        <v>0</v>
      </c>
      <c r="BZ34" s="1" t="n">
        <f aca="false">AC34/AC$9*100</f>
        <v>0</v>
      </c>
      <c r="CA34" s="1" t="n">
        <f aca="false">AD34/AD$9*100</f>
        <v>0</v>
      </c>
      <c r="CB34" s="1" t="n">
        <f aca="false">AF34/AF$9*100</f>
        <v>0</v>
      </c>
      <c r="CC34" s="1" t="n">
        <f aca="false">AG34/AG$9*100</f>
        <v>0</v>
      </c>
      <c r="CE34" s="1" t="n">
        <f aca="false">$V34</f>
        <v>24</v>
      </c>
      <c r="CF34" s="1" t="n">
        <f aca="false">BV34</f>
        <v>0</v>
      </c>
      <c r="CG34" s="1" t="n">
        <f aca="false">CG$6*(1+CG$5*(-1)^$BU34)*EXP(-$BU34/CG$4)</f>
        <v>2.60556593654911E-006</v>
      </c>
      <c r="CH34" s="1" t="n">
        <f aca="false">(CF34-CG34)^2</f>
        <v>6.78897384970504E-012</v>
      </c>
      <c r="CI34" s="1" t="n">
        <f aca="false">EXP($BU34/CE34)*CF34</f>
        <v>0</v>
      </c>
      <c r="CJ34" s="1" t="n">
        <f aca="false">EXP($BU34/CE34)*(-1)^$BU34*CF34</f>
        <v>0</v>
      </c>
      <c r="CK34" s="1" t="n">
        <f aca="false">(-1)^CE34*CF34</f>
        <v>0</v>
      </c>
      <c r="CM34" s="1" t="n">
        <f aca="false">$V34</f>
        <v>24</v>
      </c>
      <c r="CN34" s="1" t="n">
        <f aca="false">BZ34</f>
        <v>0</v>
      </c>
      <c r="CO34" s="1" t="n">
        <f aca="false">CO$6*(1+CO$5*(-1)^$BU34)*EXP(-$BU34/CO$4)</f>
        <v>2.60556593654911E-006</v>
      </c>
      <c r="CP34" s="1" t="n">
        <f aca="false">(CN34-CO34)^2</f>
        <v>6.78897384970504E-012</v>
      </c>
      <c r="CQ34" s="1" t="n">
        <f aca="false">EXP($BU34/CM34)*CN34</f>
        <v>0</v>
      </c>
      <c r="CR34" s="1" t="n">
        <f aca="false">EXP($BU34/CM34)*(-1)^$BU34*CN34</f>
        <v>0</v>
      </c>
      <c r="CS34" s="1" t="n">
        <f aca="false">(-1)^CM34*CN34</f>
        <v>0</v>
      </c>
      <c r="CU34" s="1" t="n">
        <f aca="false">$V34</f>
        <v>24</v>
      </c>
      <c r="CV34" s="1" t="n">
        <f aca="false">CB34</f>
        <v>0</v>
      </c>
      <c r="CW34" s="1" t="n">
        <f aca="false">CW$6*(1+CW$5*(-1)^$BU34)*EXP(-$BU34/CW$4)</f>
        <v>0.0184955355774417</v>
      </c>
      <c r="CX34" s="1" t="n">
        <f aca="false">(CV34-CW34)^2</f>
        <v>0.000342084836296412</v>
      </c>
      <c r="CY34" s="1" t="n">
        <f aca="false">EXP($BU34/CU34)*CV34</f>
        <v>0</v>
      </c>
      <c r="CZ34" s="1" t="n">
        <f aca="false">EXP($BU34/CU34)*(-1)^$BU34*CV34</f>
        <v>0</v>
      </c>
      <c r="DA34" s="1" t="n">
        <f aca="false">(-1)^CU34*CV34</f>
        <v>0</v>
      </c>
      <c r="DB34" s="1" t="n">
        <v>0</v>
      </c>
    </row>
    <row r="35" customFormat="false" ht="16" hidden="false" customHeight="false" outlineLevel="0" collapsed="false">
      <c r="C35" s="1" t="n">
        <f aca="false">B35-A35</f>
        <v>0</v>
      </c>
      <c r="D35" s="1" t="n">
        <v>2</v>
      </c>
      <c r="E35" s="1" t="n">
        <v>4</v>
      </c>
      <c r="F35" s="1" t="n">
        <f aca="false">E35-D35</f>
        <v>2</v>
      </c>
      <c r="G35" s="1" t="n">
        <v>1</v>
      </c>
      <c r="H35" s="1" t="n">
        <v>2</v>
      </c>
      <c r="I35" s="1" t="n">
        <f aca="false">H35-G35</f>
        <v>1</v>
      </c>
      <c r="M35" s="1" t="n">
        <v>2</v>
      </c>
      <c r="N35" s="1" t="n">
        <v>4</v>
      </c>
      <c r="O35" s="1" t="n">
        <f aca="false">N35-M35</f>
        <v>2</v>
      </c>
      <c r="P35" s="1" t="n">
        <f aca="false">O35/M35</f>
        <v>1</v>
      </c>
      <c r="V35" s="1" t="n">
        <v>25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K35" s="1" t="n">
        <f aca="false">V35</f>
        <v>25</v>
      </c>
      <c r="AN35" s="1" t="n">
        <f aca="false">MAX(AN34-W35/W$9*100,0)</f>
        <v>0</v>
      </c>
      <c r="AO35" s="1" t="n">
        <f aca="false">MAX(AO34-X35/X$9*100,0)</f>
        <v>0</v>
      </c>
      <c r="AP35" s="1" t="n">
        <f aca="false">MAX(AP34-Z35/Z$9*100,0)</f>
        <v>0</v>
      </c>
      <c r="AQ35" s="1" t="n">
        <f aca="false">MAX(AQ34-AA35/AA$9*100,0)</f>
        <v>0</v>
      </c>
      <c r="AR35" s="1" t="n">
        <f aca="false">MAX(AR34-AC35/AC$9*100,0)</f>
        <v>0</v>
      </c>
      <c r="AS35" s="1" t="n">
        <f aca="false">MAX(AS34-AD35/AD$9*100,0)</f>
        <v>0</v>
      </c>
      <c r="AT35" s="1" t="n">
        <f aca="false">MAX(AT34-AF35/AF$9*100,0)</f>
        <v>0</v>
      </c>
      <c r="AU35" s="1" t="n">
        <f aca="false">MAX(AU34-AG35/AG$9*100,0)</f>
        <v>0</v>
      </c>
      <c r="AY35" s="1" t="n">
        <f aca="false">$V35</f>
        <v>25</v>
      </c>
      <c r="AZ35" s="1" t="n">
        <f aca="false">AO35</f>
        <v>0</v>
      </c>
      <c r="BA35" s="1" t="n">
        <f aca="false">BA$7*EXP(-AY35/BA$8)</f>
        <v>1.04479444368947E-009</v>
      </c>
      <c r="BB35" s="1" t="n">
        <f aca="false">(AZ35-BA35)^2</f>
        <v>1.09159542956439E-018</v>
      </c>
      <c r="BD35" s="1" t="n">
        <f aca="false">$V35</f>
        <v>25</v>
      </c>
      <c r="BE35" s="1" t="n">
        <f aca="false">AT35</f>
        <v>0</v>
      </c>
      <c r="BF35" s="1" t="n">
        <f aca="false">BF$7*EXP(-BD35/BF$8)</f>
        <v>0.00012560747552405</v>
      </c>
      <c r="BG35" s="1" t="n">
        <f aca="false">(BE35-BF35)^2</f>
        <v>1.57772379075248E-008</v>
      </c>
      <c r="BI35" s="1" t="n">
        <f aca="false">$V35</f>
        <v>25</v>
      </c>
      <c r="BJ35" s="1" t="n">
        <f aca="false">AN35</f>
        <v>0</v>
      </c>
      <c r="BK35" s="1" t="n">
        <f aca="false">BK$7*EXP(-BI35/BK$8)</f>
        <v>2.17280164152695E-011</v>
      </c>
      <c r="BL35" s="1" t="n">
        <f aca="false">(BJ35-BK35)^2</f>
        <v>4.72106697342221E-022</v>
      </c>
      <c r="BN35" s="1" t="n">
        <f aca="false">$V35</f>
        <v>25</v>
      </c>
      <c r="BO35" s="1" t="n">
        <f aca="false">AR35</f>
        <v>0</v>
      </c>
      <c r="BP35" s="1" t="n">
        <f aca="false">BP$7*EXP(-BN35/BP$8)</f>
        <v>2.87077396593504E-010</v>
      </c>
      <c r="BQ35" s="1" t="n">
        <f aca="false">(BO35-BP35)^2</f>
        <v>8.2413431634904E-020</v>
      </c>
      <c r="BU35" s="1" t="n">
        <f aca="false">V35</f>
        <v>25</v>
      </c>
      <c r="BV35" s="1" t="n">
        <f aca="false">W35/W$9*100</f>
        <v>0</v>
      </c>
      <c r="BW35" s="1" t="n">
        <f aca="false">X35/X$9*100</f>
        <v>0</v>
      </c>
      <c r="BX35" s="1" t="n">
        <f aca="false">Z35/Z$9*100</f>
        <v>0</v>
      </c>
      <c r="BY35" s="1" t="n">
        <f aca="false">AA35/AA$9*100</f>
        <v>0</v>
      </c>
      <c r="BZ35" s="1" t="n">
        <f aca="false">AC35/AC$9*100</f>
        <v>0</v>
      </c>
      <c r="CA35" s="1" t="n">
        <f aca="false">AD35/AD$9*100</f>
        <v>0</v>
      </c>
      <c r="CB35" s="1" t="n">
        <f aca="false">AF35/AF$9*100</f>
        <v>0</v>
      </c>
      <c r="CC35" s="1" t="n">
        <f aca="false">AG35/AG$9*100</f>
        <v>0</v>
      </c>
      <c r="CE35" s="1" t="n">
        <f aca="false">$V35</f>
        <v>25</v>
      </c>
      <c r="CF35" s="1" t="n">
        <f aca="false">BV35</f>
        <v>0</v>
      </c>
      <c r="CG35" s="1" t="n">
        <f aca="false">CG$6*(1+CG$5*(-1)^$BU35)*EXP(-$BU35/CG$4)</f>
        <v>4.18095029467552E-007</v>
      </c>
      <c r="CH35" s="1" t="n">
        <f aca="false">(CF35-CG35)^2</f>
        <v>1.74803453665473E-013</v>
      </c>
      <c r="CI35" s="1" t="n">
        <f aca="false">EXP($BU35/CE35)*CF35</f>
        <v>0</v>
      </c>
      <c r="CJ35" s="1" t="n">
        <f aca="false">EXP($BU35/CE35)*(-1)^$BU35*CF35</f>
        <v>-0</v>
      </c>
      <c r="CK35" s="1" t="n">
        <f aca="false">(-1)^CE35*CF35</f>
        <v>-0</v>
      </c>
      <c r="CM35" s="1" t="n">
        <f aca="false">$V35</f>
        <v>25</v>
      </c>
      <c r="CN35" s="1" t="n">
        <f aca="false">BZ35</f>
        <v>0</v>
      </c>
      <c r="CO35" s="1" t="n">
        <f aca="false">CO$6*(1+CO$5*(-1)^$BU35)*EXP(-$BU35/CO$4)</f>
        <v>4.18095029467552E-007</v>
      </c>
      <c r="CP35" s="1" t="n">
        <f aca="false">(CN35-CO35)^2</f>
        <v>1.74803453665473E-013</v>
      </c>
      <c r="CQ35" s="1" t="n">
        <f aca="false">EXP($BU35/CM35)*CN35</f>
        <v>0</v>
      </c>
      <c r="CR35" s="1" t="n">
        <f aca="false">EXP($BU35/CM35)*(-1)^$BU35*CN35</f>
        <v>-0</v>
      </c>
      <c r="CS35" s="1" t="n">
        <f aca="false">(-1)^CM35*CN35</f>
        <v>-0</v>
      </c>
      <c r="CU35" s="1" t="n">
        <f aca="false">$V35</f>
        <v>25</v>
      </c>
      <c r="CV35" s="1" t="n">
        <f aca="false">CB35</f>
        <v>0</v>
      </c>
      <c r="CW35" s="1" t="n">
        <f aca="false">CW$6*(1+CW$5*(-1)^$BU35)*EXP(-$BU35/CW$4)</f>
        <v>0.00682711260303525</v>
      </c>
      <c r="CX35" s="1" t="n">
        <f aca="false">(CV35-CW35)^2</f>
        <v>4.66094664945227E-005</v>
      </c>
      <c r="CY35" s="1" t="n">
        <f aca="false">EXP($BU35/CU35)*CV35</f>
        <v>0</v>
      </c>
      <c r="CZ35" s="1" t="n">
        <f aca="false">EXP($BU35/CU35)*(-1)^$BU35*CV35</f>
        <v>-0</v>
      </c>
      <c r="DA35" s="1" t="n">
        <f aca="false">(-1)^CU35*CV35</f>
        <v>-0</v>
      </c>
      <c r="DB35" s="1" t="n">
        <v>0</v>
      </c>
    </row>
    <row r="36" customFormat="false" ht="16" hidden="false" customHeight="false" outlineLevel="0" collapsed="false">
      <c r="C36" s="1" t="n">
        <f aca="false">B36-A36</f>
        <v>0</v>
      </c>
      <c r="D36" s="1" t="n">
        <v>2</v>
      </c>
      <c r="E36" s="1" t="n">
        <v>2</v>
      </c>
      <c r="F36" s="1" t="n">
        <f aca="false">E36-D36</f>
        <v>0</v>
      </c>
      <c r="G36" s="1" t="n">
        <v>1</v>
      </c>
      <c r="H36" s="1" t="n">
        <v>3</v>
      </c>
      <c r="I36" s="1" t="n">
        <f aca="false">H36-G36</f>
        <v>2</v>
      </c>
      <c r="M36" s="1" t="n">
        <v>2</v>
      </c>
      <c r="N36" s="1" t="n">
        <v>3</v>
      </c>
      <c r="O36" s="1" t="n">
        <f aca="false">N36-M36</f>
        <v>1</v>
      </c>
      <c r="P36" s="1" t="n">
        <f aca="false">O36/M36</f>
        <v>0.5</v>
      </c>
      <c r="R36" s="1" t="s">
        <v>75</v>
      </c>
      <c r="V36" s="1" t="n">
        <v>26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K36" s="1" t="n">
        <f aca="false">V36</f>
        <v>26</v>
      </c>
      <c r="AN36" s="1" t="n">
        <f aca="false">MAX(AN35-W36/W$9*100,0)</f>
        <v>0</v>
      </c>
      <c r="AO36" s="1" t="n">
        <f aca="false">MAX(AO35-X36/X$9*100,0)</f>
        <v>0</v>
      </c>
      <c r="AP36" s="1" t="n">
        <f aca="false">MAX(AP35-Z36/Z$9*100,0)</f>
        <v>0</v>
      </c>
      <c r="AQ36" s="1" t="n">
        <f aca="false">MAX(AQ35-AA36/AA$9*100,0)</f>
        <v>0</v>
      </c>
      <c r="AR36" s="1" t="n">
        <f aca="false">MAX(AR35-AC36/AC$9*100,0)</f>
        <v>0</v>
      </c>
      <c r="AS36" s="1" t="n">
        <f aca="false">MAX(AS35-AD36/AD$9*100,0)</f>
        <v>0</v>
      </c>
      <c r="AT36" s="1" t="n">
        <f aca="false">MAX(AT35-AF36/AF$9*100,0)</f>
        <v>0</v>
      </c>
      <c r="AU36" s="1" t="n">
        <f aca="false">MAX(AU35-AG36/AG$9*100,0)</f>
        <v>0</v>
      </c>
      <c r="AY36" s="1" t="n">
        <f aca="false">$V36</f>
        <v>26</v>
      </c>
      <c r="AZ36" s="1" t="n">
        <f aca="false">AO36</f>
        <v>0</v>
      </c>
      <c r="BA36" s="1" t="n">
        <f aca="false">BA$7*EXP(-AY36/BA$8)</f>
        <v>3.72652967821535E-010</v>
      </c>
      <c r="BB36" s="1" t="n">
        <f aca="false">(AZ36-BA36)^2</f>
        <v>1.38870234426198E-019</v>
      </c>
      <c r="BD36" s="1" t="n">
        <f aca="false">$V36</f>
        <v>26</v>
      </c>
      <c r="BE36" s="1" t="n">
        <f aca="false">AT36</f>
        <v>0</v>
      </c>
      <c r="BF36" s="1" t="n">
        <f aca="false">BF$7*EXP(-BD36/BF$8)</f>
        <v>7.16192589794282E-005</v>
      </c>
      <c r="BG36" s="1" t="n">
        <f aca="false">(BE36-BF36)^2</f>
        <v>5.12931825676241E-009</v>
      </c>
      <c r="BI36" s="1" t="n">
        <f aca="false">$V36</f>
        <v>26</v>
      </c>
      <c r="BJ36" s="1" t="n">
        <f aca="false">AN36</f>
        <v>0</v>
      </c>
      <c r="BK36" s="1" t="n">
        <f aca="false">BK$7*EXP(-BI36/BK$8)</f>
        <v>6.60697769045343E-012</v>
      </c>
      <c r="BL36" s="1" t="n">
        <f aca="false">(BJ36-BK36)^2</f>
        <v>4.36521542021493E-023</v>
      </c>
      <c r="BN36" s="1" t="n">
        <f aca="false">$V36</f>
        <v>26</v>
      </c>
      <c r="BO36" s="1" t="n">
        <f aca="false">AR36</f>
        <v>0</v>
      </c>
      <c r="BP36" s="1" t="n">
        <f aca="false">BP$7*EXP(-BN36/BP$8)</f>
        <v>9.56648325584374E-011</v>
      </c>
      <c r="BQ36" s="1" t="n">
        <f aca="false">(BO36-BP36)^2</f>
        <v>9.15176018843387E-021</v>
      </c>
      <c r="BU36" s="1" t="n">
        <f aca="false">V36</f>
        <v>26</v>
      </c>
      <c r="BV36" s="1" t="n">
        <f aca="false">W36/W$9*100</f>
        <v>0</v>
      </c>
      <c r="BW36" s="1" t="n">
        <f aca="false">X36/X$9*100</f>
        <v>0</v>
      </c>
      <c r="BX36" s="1" t="n">
        <f aca="false">Z36/Z$9*100</f>
        <v>0</v>
      </c>
      <c r="BY36" s="1" t="n">
        <f aca="false">AA36/AA$9*100</f>
        <v>0</v>
      </c>
      <c r="BZ36" s="1" t="n">
        <f aca="false">AC36/AC$9*100</f>
        <v>0</v>
      </c>
      <c r="CA36" s="1" t="n">
        <f aca="false">AD36/AD$9*100</f>
        <v>0</v>
      </c>
      <c r="CB36" s="1" t="n">
        <f aca="false">AF36/AF$9*100</f>
        <v>0</v>
      </c>
      <c r="CC36" s="1" t="n">
        <f aca="false">AG36/AG$9*100</f>
        <v>0</v>
      </c>
      <c r="CE36" s="1" t="n">
        <f aca="false">$V36</f>
        <v>26</v>
      </c>
      <c r="CF36" s="1" t="n">
        <f aca="false">BV36</f>
        <v>0</v>
      </c>
      <c r="CG36" s="1" t="n">
        <f aca="false">CG$6*(1+CG$5*(-1)^$BU36)*EXP(-$BU36/CG$4)</f>
        <v>5.72637949115083E-007</v>
      </c>
      <c r="CH36" s="1" t="n">
        <f aca="false">(CF36-CG36)^2</f>
        <v>3.27914220766728E-013</v>
      </c>
      <c r="CI36" s="1" t="n">
        <f aca="false">EXP($BU36/CE36)*CF36</f>
        <v>0</v>
      </c>
      <c r="CJ36" s="1" t="n">
        <f aca="false">EXP($BU36/CE36)*(-1)^$BU36*CF36</f>
        <v>0</v>
      </c>
      <c r="CK36" s="1" t="n">
        <f aca="false">(-1)^CE36*CF36</f>
        <v>0</v>
      </c>
      <c r="CM36" s="1" t="n">
        <f aca="false">$V36</f>
        <v>26</v>
      </c>
      <c r="CN36" s="1" t="n">
        <f aca="false">BZ36</f>
        <v>0</v>
      </c>
      <c r="CO36" s="1" t="n">
        <f aca="false">CO$6*(1+CO$5*(-1)^$BU36)*EXP(-$BU36/CO$4)</f>
        <v>5.72637949115083E-007</v>
      </c>
      <c r="CP36" s="1" t="n">
        <f aca="false">(CN36-CO36)^2</f>
        <v>3.27914220766728E-013</v>
      </c>
      <c r="CQ36" s="1" t="n">
        <f aca="false">EXP($BU36/CM36)*CN36</f>
        <v>0</v>
      </c>
      <c r="CR36" s="1" t="n">
        <f aca="false">EXP($BU36/CM36)*(-1)^$BU36*CN36</f>
        <v>0</v>
      </c>
      <c r="CS36" s="1" t="n">
        <f aca="false">(-1)^CM36*CN36</f>
        <v>0</v>
      </c>
      <c r="CU36" s="1" t="n">
        <f aca="false">$V36</f>
        <v>26</v>
      </c>
      <c r="CV36" s="1" t="n">
        <f aca="false">CB36</f>
        <v>0</v>
      </c>
      <c r="CW36" s="1" t="n">
        <f aca="false">CW$6*(1+CW$5*(-1)^$BU36)*EXP(-$BU36/CW$4)</f>
        <v>0.00949592459113493</v>
      </c>
      <c r="CX36" s="1" t="n">
        <f aca="false">(CV36-CW36)^2</f>
        <v>9.01725838405211E-005</v>
      </c>
      <c r="CY36" s="1" t="n">
        <f aca="false">EXP($BU36/CU36)*CV36</f>
        <v>0</v>
      </c>
      <c r="CZ36" s="1" t="n">
        <f aca="false">EXP($BU36/CU36)*(-1)^$BU36*CV36</f>
        <v>0</v>
      </c>
      <c r="DA36" s="1" t="n">
        <f aca="false">(-1)^CU36*CV36</f>
        <v>0</v>
      </c>
      <c r="DB36" s="1" t="n">
        <v>0</v>
      </c>
    </row>
    <row r="37" customFormat="false" ht="16" hidden="false" customHeight="false" outlineLevel="0" collapsed="false">
      <c r="C37" s="1" t="n">
        <f aca="false">B37-A37</f>
        <v>0</v>
      </c>
      <c r="D37" s="1" t="n">
        <v>2</v>
      </c>
      <c r="E37" s="1" t="n">
        <v>2</v>
      </c>
      <c r="F37" s="1" t="n">
        <f aca="false">E37-D37</f>
        <v>0</v>
      </c>
      <c r="G37" s="1" t="n">
        <v>3</v>
      </c>
      <c r="H37" s="1" t="n">
        <v>6</v>
      </c>
      <c r="I37" s="1" t="n">
        <f aca="false">H37-G37</f>
        <v>3</v>
      </c>
      <c r="M37" s="1" t="n">
        <v>1</v>
      </c>
      <c r="N37" s="1" t="n">
        <v>2</v>
      </c>
      <c r="O37" s="1" t="n">
        <f aca="false">N37-M37</f>
        <v>1</v>
      </c>
      <c r="P37" s="1" t="n">
        <f aca="false">O37/M37</f>
        <v>1</v>
      </c>
      <c r="R37" s="1" t="s">
        <v>41</v>
      </c>
      <c r="S37" s="1" t="e">
        <f aca="false">COUNTIFS(#REF!,2,#REF!,2)</f>
        <v>#VALUE!</v>
      </c>
      <c r="V37" s="1" t="n">
        <v>27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K37" s="1" t="n">
        <f aca="false">V37</f>
        <v>27</v>
      </c>
      <c r="AN37" s="1" t="n">
        <f aca="false">MAX(AN36-W37/W$9*100,0)</f>
        <v>0</v>
      </c>
      <c r="AO37" s="1" t="n">
        <f aca="false">MAX(AO36-X37/X$9*100,0)</f>
        <v>0</v>
      </c>
      <c r="AP37" s="1" t="n">
        <f aca="false">MAX(AP36-Z37/Z$9*100,0)</f>
        <v>0</v>
      </c>
      <c r="AQ37" s="1" t="n">
        <f aca="false">MAX(AQ36-AA37/AA$9*100,0)</f>
        <v>0</v>
      </c>
      <c r="AR37" s="1" t="n">
        <f aca="false">MAX(AR36-AC37/AC$9*100,0)</f>
        <v>0</v>
      </c>
      <c r="AS37" s="1" t="n">
        <f aca="false">MAX(AS36-AD37/AD$9*100,0)</f>
        <v>0</v>
      </c>
      <c r="AT37" s="1" t="n">
        <f aca="false">MAX(AT36-AF37/AF$9*100,0)</f>
        <v>0</v>
      </c>
      <c r="AU37" s="1" t="n">
        <f aca="false">MAX(AU36-AG37/AG$9*100,0)</f>
        <v>0</v>
      </c>
      <c r="AY37" s="1" t="n">
        <f aca="false">$V37</f>
        <v>27</v>
      </c>
      <c r="AZ37" s="1" t="n">
        <f aca="false">AO37</f>
        <v>0</v>
      </c>
      <c r="BA37" s="1" t="n">
        <f aca="false">BA$7*EXP(-AY37/BA$8)</f>
        <v>1.32916321736749E-010</v>
      </c>
      <c r="BB37" s="1" t="n">
        <f aca="false">(AZ37-BA37)^2</f>
        <v>1.7666748584027E-020</v>
      </c>
      <c r="BD37" s="1" t="n">
        <f aca="false">$V37</f>
        <v>27</v>
      </c>
      <c r="BE37" s="1" t="n">
        <f aca="false">AT37</f>
        <v>0</v>
      </c>
      <c r="BF37" s="1" t="n">
        <f aca="false">BF$7*EXP(-BD37/BF$8)</f>
        <v>4.08360906495594E-005</v>
      </c>
      <c r="BG37" s="1" t="n">
        <f aca="false">(BE37-BF37)^2</f>
        <v>1.66758629953903E-009</v>
      </c>
      <c r="BI37" s="1" t="n">
        <f aca="false">$V37</f>
        <v>27</v>
      </c>
      <c r="BJ37" s="1" t="n">
        <f aca="false">AN37</f>
        <v>0</v>
      </c>
      <c r="BK37" s="1" t="n">
        <f aca="false">BK$7*EXP(-BI37/BK$8)</f>
        <v>2.00902619769158E-012</v>
      </c>
      <c r="BL37" s="1" t="n">
        <f aca="false">(BJ37-BK37)^2</f>
        <v>4.03618626301109E-024</v>
      </c>
      <c r="BN37" s="1" t="n">
        <f aca="false">$V37</f>
        <v>27</v>
      </c>
      <c r="BO37" s="1" t="n">
        <f aca="false">AR37</f>
        <v>0</v>
      </c>
      <c r="BP37" s="1" t="n">
        <f aca="false">BP$7*EXP(-BN37/BP$8)</f>
        <v>3.18790691884133E-011</v>
      </c>
      <c r="BQ37" s="1" t="n">
        <f aca="false">(BO37-BP37)^2</f>
        <v>1.01627505231964E-021</v>
      </c>
      <c r="BU37" s="1" t="n">
        <f aca="false">V37</f>
        <v>27</v>
      </c>
      <c r="BV37" s="1" t="n">
        <f aca="false">W37/W$9*100</f>
        <v>0</v>
      </c>
      <c r="BW37" s="1" t="n">
        <f aca="false">X37/X$9*100</f>
        <v>0</v>
      </c>
      <c r="BX37" s="1" t="n">
        <f aca="false">Z37/Z$9*100</f>
        <v>0</v>
      </c>
      <c r="BY37" s="1" t="n">
        <f aca="false">AA37/AA$9*100</f>
        <v>0</v>
      </c>
      <c r="BZ37" s="1" t="n">
        <f aca="false">AC37/AC$9*100</f>
        <v>0</v>
      </c>
      <c r="CA37" s="1" t="n">
        <f aca="false">AD37/AD$9*100</f>
        <v>0</v>
      </c>
      <c r="CB37" s="1" t="n">
        <f aca="false">AF37/AF$9*100</f>
        <v>0</v>
      </c>
      <c r="CC37" s="1" t="n">
        <f aca="false">AG37/AG$9*100</f>
        <v>0</v>
      </c>
      <c r="CE37" s="1" t="n">
        <f aca="false">$V37</f>
        <v>27</v>
      </c>
      <c r="CF37" s="1" t="n">
        <f aca="false">BV37</f>
        <v>0</v>
      </c>
      <c r="CG37" s="1" t="n">
        <f aca="false">CG$6*(1+CG$5*(-1)^$BU37)*EXP(-$BU37/CG$4)</f>
        <v>9.18867862260282E-008</v>
      </c>
      <c r="CH37" s="1" t="n">
        <f aca="false">(CF37-CG37)^2</f>
        <v>8.44318148294781E-015</v>
      </c>
      <c r="CI37" s="1" t="n">
        <f aca="false">EXP($BU37/CE37)*CF37</f>
        <v>0</v>
      </c>
      <c r="CJ37" s="1" t="n">
        <f aca="false">EXP($BU37/CE37)*(-1)^$BU37*CF37</f>
        <v>-0</v>
      </c>
      <c r="CK37" s="1" t="n">
        <f aca="false">(-1)^CE37*CF37</f>
        <v>-0</v>
      </c>
      <c r="CM37" s="1" t="n">
        <f aca="false">$V37</f>
        <v>27</v>
      </c>
      <c r="CN37" s="1" t="n">
        <f aca="false">BZ37</f>
        <v>0</v>
      </c>
      <c r="CO37" s="1" t="n">
        <f aca="false">CO$6*(1+CO$5*(-1)^$BU37)*EXP(-$BU37/CO$4)</f>
        <v>9.18867862260282E-008</v>
      </c>
      <c r="CP37" s="1" t="n">
        <f aca="false">(CN37-CO37)^2</f>
        <v>8.44318148294781E-015</v>
      </c>
      <c r="CQ37" s="1" t="n">
        <f aca="false">EXP($BU37/CM37)*CN37</f>
        <v>0</v>
      </c>
      <c r="CR37" s="1" t="n">
        <f aca="false">EXP($BU37/CM37)*(-1)^$BU37*CN37</f>
        <v>-0</v>
      </c>
      <c r="CS37" s="1" t="n">
        <f aca="false">(-1)^CM37*CN37</f>
        <v>-0</v>
      </c>
      <c r="CU37" s="1" t="n">
        <f aca="false">$V37</f>
        <v>27</v>
      </c>
      <c r="CV37" s="1" t="n">
        <f aca="false">CB37</f>
        <v>0</v>
      </c>
      <c r="CW37" s="1" t="n">
        <f aca="false">CW$6*(1+CW$5*(-1)^$BU37)*EXP(-$BU37/CW$4)</f>
        <v>0.00350515648396146</v>
      </c>
      <c r="CX37" s="1" t="n">
        <f aca="false">(CV37-CW37)^2</f>
        <v>1.22861219770571E-005</v>
      </c>
      <c r="CY37" s="1" t="n">
        <f aca="false">EXP($BU37/CU37)*CV37</f>
        <v>0</v>
      </c>
      <c r="CZ37" s="1" t="n">
        <f aca="false">EXP($BU37/CU37)*(-1)^$BU37*CV37</f>
        <v>-0</v>
      </c>
      <c r="DA37" s="1" t="n">
        <f aca="false">(-1)^CU37*CV37</f>
        <v>-0</v>
      </c>
      <c r="DB37" s="1" t="n">
        <v>0</v>
      </c>
    </row>
    <row r="38" customFormat="false" ht="16" hidden="false" customHeight="false" outlineLevel="0" collapsed="false">
      <c r="C38" s="1" t="n">
        <f aca="false">B38-A38</f>
        <v>0</v>
      </c>
      <c r="D38" s="1" t="n">
        <v>4</v>
      </c>
      <c r="E38" s="1" t="n">
        <v>4</v>
      </c>
      <c r="F38" s="1" t="n">
        <f aca="false">E38-D38</f>
        <v>0</v>
      </c>
      <c r="G38" s="1" t="n">
        <v>1</v>
      </c>
      <c r="H38" s="1" t="n">
        <v>1</v>
      </c>
      <c r="I38" s="1" t="n">
        <f aca="false">H38-G38</f>
        <v>0</v>
      </c>
      <c r="M38" s="1" t="n">
        <v>2</v>
      </c>
      <c r="N38" s="1" t="n">
        <v>6</v>
      </c>
      <c r="O38" s="1" t="n">
        <f aca="false">N38-M38</f>
        <v>4</v>
      </c>
      <c r="P38" s="1" t="n">
        <f aca="false">O38/M38</f>
        <v>2</v>
      </c>
      <c r="R38" s="1" t="s">
        <v>48</v>
      </c>
      <c r="S38" s="1" t="e">
        <f aca="false">COUNTIFS(#REF!,2,#REF!,1)</f>
        <v>#VALUE!</v>
      </c>
      <c r="V38" s="1" t="n">
        <v>28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K38" s="1" t="n">
        <f aca="false">V38</f>
        <v>28</v>
      </c>
      <c r="AN38" s="1" t="n">
        <f aca="false">MAX(AN37-W38/W$9*100,0)</f>
        <v>0</v>
      </c>
      <c r="AO38" s="1" t="n">
        <f aca="false">MAX(AO37-X38/X$9*100,0)</f>
        <v>0</v>
      </c>
      <c r="AP38" s="1" t="n">
        <f aca="false">MAX(AP37-Z38/Z$9*100,0)</f>
        <v>0</v>
      </c>
      <c r="AQ38" s="1" t="n">
        <f aca="false">MAX(AQ37-AA38/AA$9*100,0)</f>
        <v>0</v>
      </c>
      <c r="AR38" s="1" t="n">
        <f aca="false">MAX(AR37-AC38/AC$9*100,0)</f>
        <v>0</v>
      </c>
      <c r="AS38" s="1" t="n">
        <f aca="false">MAX(AS37-AD38/AD$9*100,0)</f>
        <v>0</v>
      </c>
      <c r="AT38" s="1" t="n">
        <f aca="false">MAX(AT37-AF38/AF$9*100,0)</f>
        <v>0</v>
      </c>
      <c r="AU38" s="1" t="n">
        <f aca="false">MAX(AU37-AG38/AG$9*100,0)</f>
        <v>0</v>
      </c>
      <c r="AY38" s="1" t="n">
        <f aca="false">$V38</f>
        <v>28</v>
      </c>
      <c r="AZ38" s="1" t="n">
        <f aca="false">AO38</f>
        <v>0</v>
      </c>
      <c r="BA38" s="1" t="n">
        <f aca="false">BA$7*EXP(-AY38/BA$8)</f>
        <v>4.74080447750188E-011</v>
      </c>
      <c r="BB38" s="1" t="n">
        <f aca="false">(AZ38-BA38)^2</f>
        <v>2.24752270939019E-021</v>
      </c>
      <c r="BD38" s="1" t="n">
        <f aca="false">$V38</f>
        <v>28</v>
      </c>
      <c r="BE38" s="1" t="n">
        <f aca="false">AT38</f>
        <v>0</v>
      </c>
      <c r="BF38" s="1" t="n">
        <f aca="false">BF$7*EXP(-BD38/BF$8)</f>
        <v>2.32840484989942E-005</v>
      </c>
      <c r="BG38" s="1" t="n">
        <f aca="false">(BE38-BF38)^2</f>
        <v>5.42146914503514E-010</v>
      </c>
      <c r="BI38" s="1" t="n">
        <f aca="false">$V38</f>
        <v>28</v>
      </c>
      <c r="BJ38" s="1" t="n">
        <f aca="false">AN38</f>
        <v>0</v>
      </c>
      <c r="BK38" s="1" t="n">
        <f aca="false">BK$7*EXP(-BI38/BK$8)</f>
        <v>6.10897516551795E-013</v>
      </c>
      <c r="BL38" s="1" t="n">
        <f aca="false">(BJ38-BK38)^2</f>
        <v>3.73195775729151E-025</v>
      </c>
      <c r="BN38" s="1" t="n">
        <f aca="false">$V38</f>
        <v>28</v>
      </c>
      <c r="BO38" s="1" t="n">
        <f aca="false">AR38</f>
        <v>0</v>
      </c>
      <c r="BP38" s="1" t="n">
        <f aca="false">BP$7*EXP(-BN38/BP$8)</f>
        <v>1.06232878388079E-011</v>
      </c>
      <c r="BQ38" s="1" t="n">
        <f aca="false">(BO38-BP38)^2</f>
        <v>1.12854244506164E-022</v>
      </c>
      <c r="BU38" s="1" t="n">
        <f aca="false">V38</f>
        <v>28</v>
      </c>
      <c r="BV38" s="1" t="n">
        <f aca="false">W38/W$9*100</f>
        <v>0</v>
      </c>
      <c r="BW38" s="1" t="n">
        <f aca="false">X38/X$9*100</f>
        <v>0</v>
      </c>
      <c r="BX38" s="1" t="n">
        <f aca="false">Z38/Z$9*100</f>
        <v>0</v>
      </c>
      <c r="BY38" s="1" t="n">
        <f aca="false">AA38/AA$9*100</f>
        <v>0</v>
      </c>
      <c r="BZ38" s="1" t="n">
        <f aca="false">AC38/AC$9*100</f>
        <v>0</v>
      </c>
      <c r="CA38" s="1" t="n">
        <f aca="false">AD38/AD$9*100</f>
        <v>0</v>
      </c>
      <c r="CB38" s="1" t="n">
        <f aca="false">AF38/AF$9*100</f>
        <v>0</v>
      </c>
      <c r="CC38" s="1" t="n">
        <f aca="false">AG38/AG$9*100</f>
        <v>0</v>
      </c>
      <c r="CE38" s="1" t="n">
        <f aca="false">$V38</f>
        <v>28</v>
      </c>
      <c r="CF38" s="1" t="n">
        <f aca="false">BV38</f>
        <v>0</v>
      </c>
      <c r="CG38" s="1" t="n">
        <f aca="false">CG$6*(1+CG$5*(-1)^$BU38)*EXP(-$BU38/CG$4)</f>
        <v>1.25851438325536E-007</v>
      </c>
      <c r="CH38" s="1" t="n">
        <f aca="false">(CF38-CG38)^2</f>
        <v>1.58385845286062E-014</v>
      </c>
      <c r="CI38" s="1" t="n">
        <f aca="false">EXP($BU38/CE38)*CF38</f>
        <v>0</v>
      </c>
      <c r="CJ38" s="1" t="n">
        <f aca="false">EXP($BU38/CE38)*(-1)^$BU38*CF38</f>
        <v>0</v>
      </c>
      <c r="CK38" s="1" t="n">
        <f aca="false">(-1)^CE38*CF38</f>
        <v>0</v>
      </c>
      <c r="CM38" s="1" t="n">
        <f aca="false">$V38</f>
        <v>28</v>
      </c>
      <c r="CN38" s="1" t="n">
        <f aca="false">BZ38</f>
        <v>0</v>
      </c>
      <c r="CO38" s="1" t="n">
        <f aca="false">CO$6*(1+CO$5*(-1)^$BU38)*EXP(-$BU38/CO$4)</f>
        <v>1.25851438325536E-007</v>
      </c>
      <c r="CP38" s="1" t="n">
        <f aca="false">(CN38-CO38)^2</f>
        <v>1.58385845286062E-014</v>
      </c>
      <c r="CQ38" s="1" t="n">
        <f aca="false">EXP($BU38/CM38)*CN38</f>
        <v>0</v>
      </c>
      <c r="CR38" s="1" t="n">
        <f aca="false">EXP($BU38/CM38)*(-1)^$BU38*CN38</f>
        <v>0</v>
      </c>
      <c r="CS38" s="1" t="n">
        <f aca="false">(-1)^CM38*CN38</f>
        <v>0</v>
      </c>
      <c r="CU38" s="1" t="n">
        <f aca="false">$V38</f>
        <v>28</v>
      </c>
      <c r="CV38" s="1" t="n">
        <f aca="false">CB38</f>
        <v>0</v>
      </c>
      <c r="CW38" s="1" t="n">
        <f aca="false">CW$6*(1+CW$5*(-1)^$BU38)*EXP(-$BU38/CW$4)</f>
        <v>0.00487537024613123</v>
      </c>
      <c r="CX38" s="1" t="n">
        <f aca="false">(CV38-CW38)^2</f>
        <v>2.37692350368617E-005</v>
      </c>
      <c r="CY38" s="1" t="n">
        <f aca="false">EXP($BU38/CU38)*CV38</f>
        <v>0</v>
      </c>
      <c r="CZ38" s="1" t="n">
        <f aca="false">EXP($BU38/CU38)*(-1)^$BU38*CV38</f>
        <v>0</v>
      </c>
      <c r="DA38" s="1" t="n">
        <f aca="false">(-1)^CU38*CV38</f>
        <v>0</v>
      </c>
      <c r="DB38" s="1" t="n">
        <v>0</v>
      </c>
    </row>
    <row r="39" customFormat="false" ht="16" hidden="false" customHeight="false" outlineLevel="0" collapsed="false">
      <c r="C39" s="1" t="n">
        <f aca="false">B39-A39</f>
        <v>0</v>
      </c>
      <c r="D39" s="1" t="n">
        <v>2</v>
      </c>
      <c r="E39" s="1" t="n">
        <v>3</v>
      </c>
      <c r="F39" s="1" t="n">
        <f aca="false">E39-D39</f>
        <v>1</v>
      </c>
      <c r="G39" s="1" t="n">
        <v>2</v>
      </c>
      <c r="H39" s="1" t="n">
        <v>4</v>
      </c>
      <c r="I39" s="1" t="n">
        <f aca="false">H39-G39</f>
        <v>2</v>
      </c>
      <c r="M39" s="1" t="n">
        <v>2</v>
      </c>
      <c r="N39" s="1" t="n">
        <v>6</v>
      </c>
      <c r="O39" s="1" t="n">
        <f aca="false">N39-M39</f>
        <v>4</v>
      </c>
      <c r="P39" s="1" t="n">
        <f aca="false">O39/M39</f>
        <v>2</v>
      </c>
      <c r="R39" s="1" t="s">
        <v>52</v>
      </c>
      <c r="S39" s="1" t="e">
        <f aca="false">COUNTIFS(#REF!,2,#REF!,0)</f>
        <v>#VALUE!</v>
      </c>
      <c r="V39" s="1" t="n">
        <v>29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K39" s="1" t="n">
        <f aca="false">V39</f>
        <v>29</v>
      </c>
      <c r="AN39" s="1" t="n">
        <f aca="false">MAX(AN38-W39/W$9*100,0)</f>
        <v>0</v>
      </c>
      <c r="AO39" s="1" t="n">
        <f aca="false">MAX(AO38-X39/X$9*100,0)</f>
        <v>0</v>
      </c>
      <c r="AP39" s="1" t="n">
        <f aca="false">MAX(AP38-Z39/Z$9*100,0)</f>
        <v>0</v>
      </c>
      <c r="AQ39" s="1" t="n">
        <f aca="false">MAX(AQ38-AA39/AA$9*100,0)</f>
        <v>0</v>
      </c>
      <c r="AR39" s="1" t="n">
        <f aca="false">MAX(AR38-AC39/AC$9*100,0)</f>
        <v>0</v>
      </c>
      <c r="AS39" s="1" t="n">
        <f aca="false">MAX(AS38-AD39/AD$9*100,0)</f>
        <v>0</v>
      </c>
      <c r="AT39" s="1" t="n">
        <f aca="false">MAX(AT38-AF39/AF$9*100,0)</f>
        <v>0</v>
      </c>
      <c r="AU39" s="1" t="n">
        <f aca="false">MAX(AU38-AG39/AG$9*100,0)</f>
        <v>0</v>
      </c>
      <c r="AY39" s="1" t="n">
        <f aca="false">$V39</f>
        <v>29</v>
      </c>
      <c r="AZ39" s="1" t="n">
        <f aca="false">AO39</f>
        <v>0</v>
      </c>
      <c r="BA39" s="1" t="n">
        <f aca="false">BA$7*EXP(-AY39/BA$8)</f>
        <v>1.6909305644506E-011</v>
      </c>
      <c r="BB39" s="1" t="n">
        <f aca="false">(AZ39-BA39)^2</f>
        <v>2.85924617379323E-022</v>
      </c>
      <c r="BD39" s="1" t="n">
        <f aca="false">$V39</f>
        <v>29</v>
      </c>
      <c r="BE39" s="1" t="n">
        <f aca="false">AT39</f>
        <v>0</v>
      </c>
      <c r="BF39" s="1" t="n">
        <f aca="false">BF$7*EXP(-BD39/BF$8)</f>
        <v>1.32761708057714E-005</v>
      </c>
      <c r="BG39" s="1" t="n">
        <f aca="false">(BE39-BF39)^2</f>
        <v>1.76256711264017E-010</v>
      </c>
      <c r="BI39" s="1" t="n">
        <f aca="false">$V39</f>
        <v>29</v>
      </c>
      <c r="BJ39" s="1" t="n">
        <f aca="false">AN39</f>
        <v>0</v>
      </c>
      <c r="BK39" s="1" t="n">
        <f aca="false">BK$7*EXP(-BI39/BK$8)</f>
        <v>1.85759536713837E-013</v>
      </c>
      <c r="BL39" s="1" t="n">
        <f aca="false">(BJ39-BK39)^2</f>
        <v>3.45066054801394E-026</v>
      </c>
      <c r="BN39" s="1" t="n">
        <f aca="false">$V39</f>
        <v>29</v>
      </c>
      <c r="BO39" s="1" t="n">
        <f aca="false">AR39</f>
        <v>0</v>
      </c>
      <c r="BP39" s="1" t="n">
        <f aca="false">BP$7*EXP(-BN39/BP$8)</f>
        <v>3.54007338919358E-012</v>
      </c>
      <c r="BQ39" s="1" t="n">
        <f aca="false">(BO39-BP39)^2</f>
        <v>1.25321196008765E-023</v>
      </c>
      <c r="BU39" s="1" t="n">
        <f aca="false">V39</f>
        <v>29</v>
      </c>
      <c r="BV39" s="1" t="n">
        <f aca="false">W39/W$9*100</f>
        <v>0</v>
      </c>
      <c r="BW39" s="1" t="n">
        <f aca="false">X39/X$9*100</f>
        <v>0</v>
      </c>
      <c r="BX39" s="1" t="n">
        <f aca="false">Z39/Z$9*100</f>
        <v>0</v>
      </c>
      <c r="BY39" s="1" t="n">
        <f aca="false">AA39/AA$9*100</f>
        <v>0</v>
      </c>
      <c r="BZ39" s="1" t="n">
        <f aca="false">AC39/AC$9*100</f>
        <v>0</v>
      </c>
      <c r="CA39" s="1" t="n">
        <f aca="false">AD39/AD$9*100</f>
        <v>0</v>
      </c>
      <c r="CB39" s="1" t="n">
        <f aca="false">AF39/AF$9*100</f>
        <v>0</v>
      </c>
      <c r="CC39" s="1" t="n">
        <f aca="false">AG39/AG$9*100</f>
        <v>0</v>
      </c>
      <c r="CE39" s="1" t="n">
        <f aca="false">$V39</f>
        <v>29</v>
      </c>
      <c r="CF39" s="1" t="n">
        <f aca="false">BV39</f>
        <v>0</v>
      </c>
      <c r="CG39" s="1" t="n">
        <f aca="false">CG$6*(1+CG$5*(-1)^$BU39)*EXP(-$BU39/CG$4)</f>
        <v>2.01944077012833E-008</v>
      </c>
      <c r="CH39" s="1" t="n">
        <f aca="false">(CF39-CG39)^2</f>
        <v>4.0781410240565E-016</v>
      </c>
      <c r="CI39" s="1" t="n">
        <f aca="false">EXP($BU39/CE39)*CF39</f>
        <v>0</v>
      </c>
      <c r="CJ39" s="1" t="n">
        <f aca="false">EXP($BU39/CE39)*(-1)^$BU39*CF39</f>
        <v>-0</v>
      </c>
      <c r="CK39" s="1" t="n">
        <f aca="false">(-1)^CE39*CF39</f>
        <v>-0</v>
      </c>
      <c r="CM39" s="1" t="n">
        <f aca="false">$V39</f>
        <v>29</v>
      </c>
      <c r="CN39" s="1" t="n">
        <f aca="false">BZ39</f>
        <v>0</v>
      </c>
      <c r="CO39" s="1" t="n">
        <f aca="false">CO$6*(1+CO$5*(-1)^$BU39)*EXP(-$BU39/CO$4)</f>
        <v>2.01944077012833E-008</v>
      </c>
      <c r="CP39" s="1" t="n">
        <f aca="false">(CN39-CO39)^2</f>
        <v>4.0781410240565E-016</v>
      </c>
      <c r="CQ39" s="1" t="n">
        <f aca="false">EXP($BU39/CM39)*CN39</f>
        <v>0</v>
      </c>
      <c r="CR39" s="1" t="n">
        <f aca="false">EXP($BU39/CM39)*(-1)^$BU39*CN39</f>
        <v>-0</v>
      </c>
      <c r="CS39" s="1" t="n">
        <f aca="false">(-1)^CM39*CN39</f>
        <v>-0</v>
      </c>
      <c r="CU39" s="1" t="n">
        <f aca="false">$V39</f>
        <v>29</v>
      </c>
      <c r="CV39" s="1" t="n">
        <f aca="false">CB39</f>
        <v>0</v>
      </c>
      <c r="CW39" s="1" t="n">
        <f aca="false">CW$6*(1+CW$5*(-1)^$BU39)*EXP(-$BU39/CW$4)</f>
        <v>0.0017996073437539</v>
      </c>
      <c r="CX39" s="1" t="n">
        <f aca="false">(CV39-CW39)^2</f>
        <v>3.23858659169297E-006</v>
      </c>
      <c r="CY39" s="1" t="n">
        <f aca="false">EXP($BU39/CU39)*CV39</f>
        <v>0</v>
      </c>
      <c r="CZ39" s="1" t="n">
        <f aca="false">EXP($BU39/CU39)*(-1)^$BU39*CV39</f>
        <v>-0</v>
      </c>
      <c r="DA39" s="1" t="n">
        <f aca="false">(-1)^CU39*CV39</f>
        <v>-0</v>
      </c>
      <c r="DB39" s="1" t="n">
        <v>0</v>
      </c>
    </row>
    <row r="40" customFormat="false" ht="16" hidden="false" customHeight="false" outlineLevel="0" collapsed="false">
      <c r="C40" s="1" t="n">
        <f aca="false">B40-A40</f>
        <v>0</v>
      </c>
      <c r="D40" s="1" t="n">
        <v>2</v>
      </c>
      <c r="E40" s="1" t="n">
        <v>2</v>
      </c>
      <c r="F40" s="1" t="n">
        <f aca="false">E40-D40</f>
        <v>0</v>
      </c>
      <c r="G40" s="1" t="n">
        <v>1</v>
      </c>
      <c r="H40" s="1" t="n">
        <v>3</v>
      </c>
      <c r="I40" s="1" t="n">
        <f aca="false">H40-G40</f>
        <v>2</v>
      </c>
      <c r="M40" s="1" t="n">
        <v>2</v>
      </c>
      <c r="N40" s="1" t="n">
        <v>4</v>
      </c>
      <c r="O40" s="1" t="n">
        <f aca="false">N40-M40</f>
        <v>2</v>
      </c>
      <c r="P40" s="1" t="n">
        <f aca="false">O40/M40</f>
        <v>1</v>
      </c>
      <c r="V40" s="1" t="n">
        <v>30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K40" s="1" t="n">
        <f aca="false">V40</f>
        <v>30</v>
      </c>
      <c r="AN40" s="1" t="n">
        <f aca="false">MAX(AN39-W40/W$9*100,0)</f>
        <v>0</v>
      </c>
      <c r="AO40" s="1" t="n">
        <f aca="false">MAX(AO39-X40/X$9*100,0)</f>
        <v>0</v>
      </c>
      <c r="AP40" s="1" t="n">
        <f aca="false">MAX(AP39-Z40/Z$9*100,0)</f>
        <v>0</v>
      </c>
      <c r="AQ40" s="1" t="n">
        <f aca="false">MAX(AQ39-AA40/AA$9*100,0)</f>
        <v>0</v>
      </c>
      <c r="AR40" s="1" t="n">
        <f aca="false">MAX(AR39-AC40/AC$9*100,0)</f>
        <v>0</v>
      </c>
      <c r="AS40" s="1" t="n">
        <f aca="false">MAX(AS39-AD40/AD$9*100,0)</f>
        <v>0</v>
      </c>
      <c r="AT40" s="1" t="n">
        <f aca="false">MAX(AT39-AF40/AF$9*100,0)</f>
        <v>0</v>
      </c>
      <c r="AU40" s="1" t="n">
        <f aca="false">MAX(AU39-AG40/AG$9*100,0)</f>
        <v>0</v>
      </c>
      <c r="AY40" s="1" t="n">
        <f aca="false">$V40</f>
        <v>30</v>
      </c>
      <c r="AZ40" s="1" t="n">
        <f aca="false">AO40</f>
        <v>0</v>
      </c>
      <c r="BA40" s="1" t="n">
        <f aca="false">BA$7*EXP(-AY40/BA$8)</f>
        <v>6.03114131232825E-012</v>
      </c>
      <c r="BB40" s="1" t="n">
        <f aca="false">(AZ40-BA40)^2</f>
        <v>3.63746655292725E-023</v>
      </c>
      <c r="BD40" s="1" t="n">
        <f aca="false">$V40</f>
        <v>30</v>
      </c>
      <c r="BE40" s="1" t="n">
        <f aca="false">AT40</f>
        <v>0</v>
      </c>
      <c r="BF40" s="1" t="n">
        <f aca="false">BF$7*EXP(-BD40/BF$8)</f>
        <v>7.5698481418139E-006</v>
      </c>
      <c r="BG40" s="1" t="n">
        <f aca="false">(BE40-BF40)^2</f>
        <v>5.73026008901234E-011</v>
      </c>
      <c r="BI40" s="1" t="n">
        <f aca="false">$V40</f>
        <v>30</v>
      </c>
      <c r="BJ40" s="1" t="n">
        <f aca="false">AN40</f>
        <v>0</v>
      </c>
      <c r="BK40" s="1" t="n">
        <f aca="false">BK$7*EXP(-BI40/BK$8)</f>
        <v>5.64850970010677E-014</v>
      </c>
      <c r="BL40" s="1" t="n">
        <f aca="false">(BJ40-BK40)^2</f>
        <v>3.19056618322003E-027</v>
      </c>
      <c r="BN40" s="1" t="n">
        <f aca="false">$V40</f>
        <v>30</v>
      </c>
      <c r="BO40" s="1" t="n">
        <f aca="false">AR40</f>
        <v>0</v>
      </c>
      <c r="BP40" s="1" t="n">
        <f aca="false">BP$7*EXP(-BN40/BP$8)</f>
        <v>1.1796837091334E-012</v>
      </c>
      <c r="BQ40" s="1" t="n">
        <f aca="false">(BO40-BP40)^2</f>
        <v>1.39165365359474E-024</v>
      </c>
      <c r="BU40" s="1" t="n">
        <f aca="false">V40</f>
        <v>30</v>
      </c>
      <c r="BV40" s="1" t="n">
        <f aca="false">W40/W$9*100</f>
        <v>0</v>
      </c>
      <c r="BW40" s="1" t="n">
        <f aca="false">X40/X$9*100</f>
        <v>0</v>
      </c>
      <c r="BX40" s="1" t="n">
        <f aca="false">Z40/Z$9*100</f>
        <v>0</v>
      </c>
      <c r="BY40" s="1" t="n">
        <f aca="false">AA40/AA$9*100</f>
        <v>0</v>
      </c>
      <c r="BZ40" s="1" t="n">
        <f aca="false">AC40/AC$9*100</f>
        <v>0</v>
      </c>
      <c r="CA40" s="1" t="n">
        <f aca="false">AD40/AD$9*100</f>
        <v>0</v>
      </c>
      <c r="CB40" s="1" t="n">
        <f aca="false">AF40/AF$9*100</f>
        <v>0</v>
      </c>
      <c r="CC40" s="1" t="n">
        <f aca="false">AG40/AG$9*100</f>
        <v>0</v>
      </c>
      <c r="CE40" s="1" t="n">
        <f aca="false">$V40</f>
        <v>30</v>
      </c>
      <c r="CF40" s="1" t="n">
        <f aca="false">BV40</f>
        <v>0</v>
      </c>
      <c r="CG40" s="1" t="n">
        <f aca="false">CG$6*(1+CG$5*(-1)^$BU40)*EXP(-$BU40/CG$4)</f>
        <v>2.76589851459935E-008</v>
      </c>
      <c r="CH40" s="1" t="n">
        <f aca="false">(CF40-CG40)^2</f>
        <v>7.65019459306289E-016</v>
      </c>
      <c r="CI40" s="1" t="n">
        <f aca="false">EXP($BU40/CE40)*CF40</f>
        <v>0</v>
      </c>
      <c r="CJ40" s="1" t="n">
        <f aca="false">EXP($BU40/CE40)*(-1)^$BU40*CF40</f>
        <v>0</v>
      </c>
      <c r="CK40" s="1" t="n">
        <f aca="false">(-1)^CE40*CF40</f>
        <v>0</v>
      </c>
      <c r="CM40" s="1" t="n">
        <f aca="false">$V40</f>
        <v>30</v>
      </c>
      <c r="CN40" s="1" t="n">
        <f aca="false">BZ40</f>
        <v>0</v>
      </c>
      <c r="CO40" s="1" t="n">
        <f aca="false">CO$6*(1+CO$5*(-1)^$BU40)*EXP(-$BU40/CO$4)</f>
        <v>2.76589851459935E-008</v>
      </c>
      <c r="CP40" s="1" t="n">
        <f aca="false">(CN40-CO40)^2</f>
        <v>7.65019459306289E-016</v>
      </c>
      <c r="CQ40" s="1" t="n">
        <f aca="false">EXP($BU40/CM40)*CN40</f>
        <v>0</v>
      </c>
      <c r="CR40" s="1" t="n">
        <f aca="false">EXP($BU40/CM40)*(-1)^$BU40*CN40</f>
        <v>0</v>
      </c>
      <c r="CS40" s="1" t="n">
        <f aca="false">(-1)^CM40*CN40</f>
        <v>0</v>
      </c>
      <c r="CU40" s="1" t="n">
        <f aca="false">$V40</f>
        <v>30</v>
      </c>
      <c r="CV40" s="1" t="n">
        <f aca="false">CB40</f>
        <v>0</v>
      </c>
      <c r="CW40" s="1" t="n">
        <f aca="false">CW$6*(1+CW$5*(-1)^$BU40)*EXP(-$BU40/CW$4)</f>
        <v>0.00250309854598592</v>
      </c>
      <c r="CX40" s="1" t="n">
        <f aca="false">(CV40-CW40)^2</f>
        <v>6.26550233091683E-006</v>
      </c>
      <c r="CY40" s="1" t="n">
        <f aca="false">EXP($BU40/CU40)*CV40</f>
        <v>0</v>
      </c>
      <c r="CZ40" s="1" t="n">
        <f aca="false">EXP($BU40/CU40)*(-1)^$BU40*CV40</f>
        <v>0</v>
      </c>
      <c r="DA40" s="1" t="n">
        <f aca="false">(-1)^CU40*CV40</f>
        <v>0</v>
      </c>
      <c r="DB40" s="1" t="n">
        <v>0</v>
      </c>
    </row>
    <row r="41" customFormat="false" ht="16" hidden="false" customHeight="false" outlineLevel="0" collapsed="false">
      <c r="C41" s="1" t="n">
        <f aca="false">B41-A41</f>
        <v>0</v>
      </c>
      <c r="D41" s="1" t="n">
        <v>2</v>
      </c>
      <c r="E41" s="1" t="n">
        <v>2</v>
      </c>
      <c r="F41" s="1" t="n">
        <f aca="false">E41-D41</f>
        <v>0</v>
      </c>
      <c r="G41" s="1" t="n">
        <v>1</v>
      </c>
      <c r="H41" s="1" t="n">
        <v>2</v>
      </c>
      <c r="I41" s="1" t="n">
        <f aca="false">H41-G41</f>
        <v>1</v>
      </c>
      <c r="M41" s="1" t="n">
        <v>4</v>
      </c>
      <c r="N41" s="1" t="n">
        <v>8</v>
      </c>
      <c r="O41" s="1" t="n">
        <f aca="false">N41-M41</f>
        <v>4</v>
      </c>
      <c r="P41" s="1" t="n">
        <f aca="false">O41/M41</f>
        <v>1</v>
      </c>
      <c r="R41" s="1" t="s">
        <v>76</v>
      </c>
      <c r="V41" s="1" t="n">
        <v>31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K41" s="1" t="n">
        <f aca="false">V41</f>
        <v>31</v>
      </c>
      <c r="AN41" s="1" t="n">
        <f aca="false">MAX(AN40-W41/W$9*100,0)</f>
        <v>0</v>
      </c>
      <c r="AO41" s="1" t="n">
        <f aca="false">MAX(AO40-X41/X$9*100,0)</f>
        <v>0</v>
      </c>
      <c r="AP41" s="1" t="n">
        <f aca="false">MAX(AP40-Z41/Z$9*100,0)</f>
        <v>0</v>
      </c>
      <c r="AQ41" s="1" t="n">
        <f aca="false">MAX(AQ40-AA41/AA$9*100,0)</f>
        <v>0</v>
      </c>
      <c r="AR41" s="1" t="n">
        <f aca="false">MAX(AR40-AC41/AC$9*100,0)</f>
        <v>0</v>
      </c>
      <c r="AS41" s="1" t="n">
        <f aca="false">MAX(AS40-AD41/AD$9*100,0)</f>
        <v>0</v>
      </c>
      <c r="AT41" s="1" t="n">
        <f aca="false">MAX(AT40-AF41/AF$9*100,0)</f>
        <v>0</v>
      </c>
      <c r="AU41" s="1" t="n">
        <f aca="false">MAX(AU40-AG41/AG$9*100,0)</f>
        <v>0</v>
      </c>
      <c r="AY41" s="1" t="n">
        <f aca="false">$V41</f>
        <v>31</v>
      </c>
      <c r="AZ41" s="1" t="n">
        <f aca="false">AO41</f>
        <v>0</v>
      </c>
      <c r="BA41" s="1" t="n">
        <f aca="false">BA$7*EXP(-AY41/BA$8)</f>
        <v>2.15116257840493E-012</v>
      </c>
      <c r="BB41" s="1" t="n">
        <f aca="false">(AZ41-BA41)^2</f>
        <v>4.62750043872975E-024</v>
      </c>
      <c r="BD41" s="1" t="n">
        <f aca="false">$V41</f>
        <v>31</v>
      </c>
      <c r="BE41" s="1" t="n">
        <f aca="false">AT41</f>
        <v>0</v>
      </c>
      <c r="BF41" s="1" t="n">
        <f aca="false">BF$7*EXP(-BD41/BF$8)</f>
        <v>4.31619943193357E-006</v>
      </c>
      <c r="BG41" s="1" t="n">
        <f aca="false">(BE41-BF41)^2</f>
        <v>1.86295775362237E-011</v>
      </c>
      <c r="BI41" s="1" t="n">
        <f aca="false">$V41</f>
        <v>31</v>
      </c>
      <c r="BJ41" s="1" t="n">
        <f aca="false">AN41</f>
        <v>0</v>
      </c>
      <c r="BK41" s="1" t="n">
        <f aca="false">BK$7*EXP(-BI41/BK$8)</f>
        <v>1.71757867168623E-014</v>
      </c>
      <c r="BL41" s="1" t="n">
        <f aca="false">(BJ41-BK41)^2</f>
        <v>2.95007649343143E-028</v>
      </c>
      <c r="BN41" s="1" t="n">
        <f aca="false">$V41</f>
        <v>31</v>
      </c>
      <c r="BO41" s="1" t="n">
        <f aca="false">AR41</f>
        <v>0</v>
      </c>
      <c r="BP41" s="1" t="n">
        <f aca="false">BP$7*EXP(-BN41/BP$8)</f>
        <v>3.93114351200426E-013</v>
      </c>
      <c r="BQ41" s="1" t="n">
        <f aca="false">(BO41-BP41)^2</f>
        <v>1.54538893119732E-025</v>
      </c>
      <c r="BU41" s="1" t="n">
        <f aca="false">V41</f>
        <v>31</v>
      </c>
      <c r="BV41" s="1" t="n">
        <f aca="false">W41/W$9*100</f>
        <v>0</v>
      </c>
      <c r="BW41" s="1" t="n">
        <f aca="false">X41/X$9*100</f>
        <v>0</v>
      </c>
      <c r="BX41" s="1" t="n">
        <f aca="false">Z41/Z$9*100</f>
        <v>0</v>
      </c>
      <c r="BY41" s="1" t="n">
        <f aca="false">AA41/AA$9*100</f>
        <v>0</v>
      </c>
      <c r="BZ41" s="1" t="n">
        <f aca="false">AC41/AC$9*100</f>
        <v>0</v>
      </c>
      <c r="CA41" s="1" t="n">
        <f aca="false">AD41/AD$9*100</f>
        <v>0</v>
      </c>
      <c r="CB41" s="1" t="n">
        <f aca="false">AF41/AF$9*100</f>
        <v>0</v>
      </c>
      <c r="CC41" s="1" t="n">
        <f aca="false">AG41/AG$9*100</f>
        <v>0</v>
      </c>
      <c r="CE41" s="1" t="n">
        <f aca="false">$V41</f>
        <v>31</v>
      </c>
      <c r="CF41" s="1" t="n">
        <f aca="false">BV41</f>
        <v>0</v>
      </c>
      <c r="CG41" s="1" t="n">
        <f aca="false">CG$6*(1+CG$5*(-1)^$BU41)*EXP(-$BU41/CG$4)</f>
        <v>4.4382235918284E-009</v>
      </c>
      <c r="CH41" s="1" t="n">
        <f aca="false">(CF41-CG41)^2</f>
        <v>1.96978286510622E-017</v>
      </c>
      <c r="CI41" s="1" t="n">
        <f aca="false">EXP($BU41/CE41)*CF41</f>
        <v>0</v>
      </c>
      <c r="CJ41" s="1" t="n">
        <f aca="false">EXP($BU41/CE41)*(-1)^$BU41*CF41</f>
        <v>-0</v>
      </c>
      <c r="CK41" s="1" t="n">
        <f aca="false">(-1)^CE41*CF41</f>
        <v>-0</v>
      </c>
      <c r="CM41" s="1" t="n">
        <f aca="false">$V41</f>
        <v>31</v>
      </c>
      <c r="CN41" s="1" t="n">
        <f aca="false">BZ41</f>
        <v>0</v>
      </c>
      <c r="CO41" s="1" t="n">
        <f aca="false">CO$6*(1+CO$5*(-1)^$BU41)*EXP(-$BU41/CO$4)</f>
        <v>4.4382235918284E-009</v>
      </c>
      <c r="CP41" s="1" t="n">
        <f aca="false">(CN41-CO41)^2</f>
        <v>1.96978286510622E-017</v>
      </c>
      <c r="CQ41" s="1" t="n">
        <f aca="false">EXP($BU41/CM41)*CN41</f>
        <v>0</v>
      </c>
      <c r="CR41" s="1" t="n">
        <f aca="false">EXP($BU41/CM41)*(-1)^$BU41*CN41</f>
        <v>-0</v>
      </c>
      <c r="CS41" s="1" t="n">
        <f aca="false">(-1)^CM41*CN41</f>
        <v>-0</v>
      </c>
      <c r="CU41" s="1" t="n">
        <f aca="false">$V41</f>
        <v>31</v>
      </c>
      <c r="CV41" s="1" t="n">
        <f aca="false">CB41</f>
        <v>0</v>
      </c>
      <c r="CW41" s="1" t="n">
        <f aca="false">CW$6*(1+CW$5*(-1)^$BU41)*EXP(-$BU41/CW$4)</f>
        <v>0.000923949217820024</v>
      </c>
      <c r="CX41" s="1" t="n">
        <f aca="false">(CV41-CW41)^2</f>
        <v>8.53682157110234E-007</v>
      </c>
      <c r="CY41" s="1" t="n">
        <f aca="false">EXP($BU41/CU41)*CV41</f>
        <v>0</v>
      </c>
      <c r="CZ41" s="1" t="n">
        <f aca="false">EXP($BU41/CU41)*(-1)^$BU41*CV41</f>
        <v>-0</v>
      </c>
      <c r="DA41" s="1" t="n">
        <f aca="false">(-1)^CU41*CV41</f>
        <v>-0</v>
      </c>
      <c r="DB41" s="1" t="n">
        <v>0</v>
      </c>
    </row>
    <row r="42" customFormat="false" ht="16" hidden="false" customHeight="false" outlineLevel="0" collapsed="false">
      <c r="C42" s="1" t="n">
        <f aca="false">B42-A42</f>
        <v>0</v>
      </c>
      <c r="D42" s="1" t="n">
        <v>2</v>
      </c>
      <c r="E42" s="1" t="n">
        <v>2</v>
      </c>
      <c r="F42" s="1" t="n">
        <f aca="false">E42-D42</f>
        <v>0</v>
      </c>
      <c r="G42" s="1" t="n">
        <v>1</v>
      </c>
      <c r="H42" s="1" t="n">
        <v>1</v>
      </c>
      <c r="I42" s="1" t="n">
        <f aca="false">H42-G42</f>
        <v>0</v>
      </c>
      <c r="M42" s="1" t="n">
        <v>4</v>
      </c>
      <c r="N42" s="1" t="n">
        <v>10</v>
      </c>
      <c r="O42" s="1" t="n">
        <f aca="false">N42-M42</f>
        <v>6</v>
      </c>
      <c r="P42" s="1" t="n">
        <f aca="false">O42/M42</f>
        <v>1.5</v>
      </c>
      <c r="R42" s="1" t="s">
        <v>41</v>
      </c>
      <c r="S42" s="1" t="e">
        <f aca="false">COUNTIFS(#REF!,2,#REF!,2)</f>
        <v>#VALUE!</v>
      </c>
      <c r="V42" s="1" t="n">
        <v>32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K42" s="1" t="n">
        <f aca="false">V42</f>
        <v>32</v>
      </c>
      <c r="AN42" s="1" t="n">
        <f aca="false">MAX(AN41-W42/W$9*100,0)</f>
        <v>0</v>
      </c>
      <c r="AO42" s="1" t="n">
        <f aca="false">MAX(AO41-X42/X$9*100,0)</f>
        <v>0</v>
      </c>
      <c r="AP42" s="1" t="n">
        <f aca="false">MAX(AP41-Z42/Z$9*100,0)</f>
        <v>0</v>
      </c>
      <c r="AQ42" s="1" t="n">
        <f aca="false">MAX(AQ41-AA42/AA$9*100,0)</f>
        <v>0</v>
      </c>
      <c r="AR42" s="1" t="n">
        <f aca="false">MAX(AR41-AC42/AC$9*100,0)</f>
        <v>0</v>
      </c>
      <c r="AS42" s="1" t="n">
        <f aca="false">MAX(AS41-AD42/AD$9*100,0)</f>
        <v>0</v>
      </c>
      <c r="AT42" s="1" t="n">
        <f aca="false">MAX(AT41-AF42/AF$9*100,0)</f>
        <v>0</v>
      </c>
      <c r="AU42" s="1" t="n">
        <f aca="false">MAX(AU41-AG42/AG$9*100,0)</f>
        <v>0</v>
      </c>
      <c r="AY42" s="1" t="n">
        <f aca="false">$V42</f>
        <v>32</v>
      </c>
      <c r="AZ42" s="1" t="n">
        <f aca="false">AO42</f>
        <v>0</v>
      </c>
      <c r="BA42" s="1" t="n">
        <f aca="false">BA$7*EXP(-AY42/BA$8)</f>
        <v>7.67267785497023E-013</v>
      </c>
      <c r="BB42" s="1" t="n">
        <f aca="false">(AZ42-BA42)^2</f>
        <v>5.88699854661506E-025</v>
      </c>
      <c r="BD42" s="1" t="n">
        <f aca="false">$V42</f>
        <v>32</v>
      </c>
      <c r="BE42" s="1" t="n">
        <f aca="false">AT42</f>
        <v>0</v>
      </c>
      <c r="BF42" s="1" t="n">
        <f aca="false">BF$7*EXP(-BD42/BF$8)</f>
        <v>2.4610239448951E-006</v>
      </c>
      <c r="BG42" s="1" t="n">
        <f aca="false">(BE42-BF42)^2</f>
        <v>6.05663885734704E-012</v>
      </c>
      <c r="BI42" s="1" t="n">
        <f aca="false">$V42</f>
        <v>32</v>
      </c>
      <c r="BJ42" s="1" t="n">
        <f aca="false">AN42</f>
        <v>0</v>
      </c>
      <c r="BK42" s="1" t="n">
        <f aca="false">BK$7*EXP(-BI42/BK$8)</f>
        <v>5.22275192937294E-015</v>
      </c>
      <c r="BL42" s="1" t="n">
        <f aca="false">(BJ42-BK42)^2</f>
        <v>2.72771377157688E-029</v>
      </c>
      <c r="BN42" s="1" t="n">
        <f aca="false">$V42</f>
        <v>32</v>
      </c>
      <c r="BO42" s="1" t="n">
        <f aca="false">AR42</f>
        <v>0</v>
      </c>
      <c r="BP42" s="1" t="n">
        <f aca="false">BP$7*EXP(-BN42/BP$8)</f>
        <v>1.31000277382196E-013</v>
      </c>
      <c r="BQ42" s="1" t="n">
        <f aca="false">(BO42-BP42)^2</f>
        <v>1.71610726742123E-026</v>
      </c>
      <c r="BU42" s="1" t="n">
        <f aca="false">V42</f>
        <v>32</v>
      </c>
      <c r="BV42" s="1" t="n">
        <f aca="false">W42/W$9*100</f>
        <v>0</v>
      </c>
      <c r="BW42" s="1" t="n">
        <f aca="false">X42/X$9*100</f>
        <v>0</v>
      </c>
      <c r="BX42" s="1" t="n">
        <f aca="false">Z42/Z$9*100</f>
        <v>0</v>
      </c>
      <c r="BY42" s="1" t="n">
        <f aca="false">AA42/AA$9*100</f>
        <v>0</v>
      </c>
      <c r="BZ42" s="1" t="n">
        <f aca="false">AC42/AC$9*100</f>
        <v>0</v>
      </c>
      <c r="CA42" s="1" t="n">
        <f aca="false">AD42/AD$9*100</f>
        <v>0</v>
      </c>
      <c r="CB42" s="1" t="n">
        <f aca="false">AF42/AF$9*100</f>
        <v>0</v>
      </c>
      <c r="CC42" s="1" t="n">
        <f aca="false">AG42/AG$9*100</f>
        <v>0</v>
      </c>
      <c r="CE42" s="1" t="n">
        <f aca="false">$V42</f>
        <v>32</v>
      </c>
      <c r="CF42" s="1" t="n">
        <f aca="false">BV42</f>
        <v>0</v>
      </c>
      <c r="CG42" s="1" t="n">
        <f aca="false">CG$6*(1+CG$5*(-1)^$BU42)*EXP(-$BU42/CG$4)</f>
        <v>6.07875022713237E-009</v>
      </c>
      <c r="CH42" s="1" t="n">
        <f aca="false">(CF42-CG42)^2</f>
        <v>3.69512043238618E-017</v>
      </c>
      <c r="CI42" s="1" t="n">
        <f aca="false">EXP($BU42/CE42)*CF42</f>
        <v>0</v>
      </c>
      <c r="CJ42" s="1" t="n">
        <f aca="false">EXP($BU42/CE42)*(-1)^$BU42*CF42</f>
        <v>0</v>
      </c>
      <c r="CK42" s="1" t="n">
        <f aca="false">(-1)^CE42*CF42</f>
        <v>0</v>
      </c>
      <c r="CM42" s="1" t="n">
        <f aca="false">$V42</f>
        <v>32</v>
      </c>
      <c r="CN42" s="1" t="n">
        <f aca="false">BZ42</f>
        <v>0</v>
      </c>
      <c r="CO42" s="1" t="n">
        <f aca="false">CO$6*(1+CO$5*(-1)^$BU42)*EXP(-$BU42/CO$4)</f>
        <v>6.07875022713237E-009</v>
      </c>
      <c r="CP42" s="1" t="n">
        <f aca="false">(CN42-CO42)^2</f>
        <v>3.69512043238618E-017</v>
      </c>
      <c r="CQ42" s="1" t="n">
        <f aca="false">EXP($BU42/CM42)*CN42</f>
        <v>0</v>
      </c>
      <c r="CR42" s="1" t="n">
        <f aca="false">EXP($BU42/CM42)*(-1)^$BU42*CN42</f>
        <v>0</v>
      </c>
      <c r="CS42" s="1" t="n">
        <f aca="false">(-1)^CM42*CN42</f>
        <v>0</v>
      </c>
      <c r="CU42" s="1" t="n">
        <f aca="false">$V42</f>
        <v>32</v>
      </c>
      <c r="CV42" s="1" t="n">
        <f aca="false">CB42</f>
        <v>0</v>
      </c>
      <c r="CW42" s="1" t="n">
        <f aca="false">CW$6*(1+CW$5*(-1)^$BU42)*EXP(-$BU42/CW$4)</f>
        <v>0.00128513364413476</v>
      </c>
      <c r="CX42" s="1" t="n">
        <f aca="false">(CV42-CW42)^2</f>
        <v>1.65156848328709E-006</v>
      </c>
      <c r="CY42" s="1" t="n">
        <f aca="false">EXP($BU42/CU42)*CV42</f>
        <v>0</v>
      </c>
      <c r="CZ42" s="1" t="n">
        <f aca="false">EXP($BU42/CU42)*(-1)^$BU42*CV42</f>
        <v>0</v>
      </c>
      <c r="DA42" s="1" t="n">
        <f aca="false">(-1)^CU42*CV42</f>
        <v>0</v>
      </c>
      <c r="DB42" s="1" t="n">
        <v>0</v>
      </c>
    </row>
    <row r="43" customFormat="false" ht="16" hidden="false" customHeight="false" outlineLevel="0" collapsed="false">
      <c r="C43" s="1" t="n">
        <f aca="false">B43-A43</f>
        <v>0</v>
      </c>
      <c r="D43" s="1" t="n">
        <v>2</v>
      </c>
      <c r="E43" s="1" t="n">
        <v>2</v>
      </c>
      <c r="F43" s="1" t="n">
        <f aca="false">E43-D43</f>
        <v>0</v>
      </c>
      <c r="G43" s="1" t="n">
        <v>2</v>
      </c>
      <c r="H43" s="1" t="n">
        <v>6</v>
      </c>
      <c r="I43" s="1" t="n">
        <f aca="false">H43-G43</f>
        <v>4</v>
      </c>
      <c r="M43" s="1" t="n">
        <v>2</v>
      </c>
      <c r="N43" s="1" t="n">
        <v>6</v>
      </c>
      <c r="O43" s="1" t="n">
        <f aca="false">N43-M43</f>
        <v>4</v>
      </c>
      <c r="P43" s="1" t="n">
        <f aca="false">O43/M43</f>
        <v>2</v>
      </c>
      <c r="R43" s="1" t="s">
        <v>48</v>
      </c>
      <c r="S43" s="1" t="e">
        <f aca="false">COUNTIFS(#REF!,2,#REF!,1)</f>
        <v>#VALUE!</v>
      </c>
      <c r="V43" s="1" t="n">
        <v>33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K43" s="1" t="n">
        <f aca="false">V43</f>
        <v>33</v>
      </c>
      <c r="AN43" s="1" t="n">
        <f aca="false">MAX(AN42-W43/W$9*100,0)</f>
        <v>0</v>
      </c>
      <c r="AO43" s="1" t="n">
        <f aca="false">MAX(AO42-X43/X$9*100,0)</f>
        <v>0</v>
      </c>
      <c r="AP43" s="1" t="n">
        <f aca="false">MAX(AP42-Z43/Z$9*100,0)</f>
        <v>0</v>
      </c>
      <c r="AQ43" s="1" t="n">
        <f aca="false">MAX(AQ42-AA43/AA$9*100,0)</f>
        <v>0</v>
      </c>
      <c r="AR43" s="1" t="n">
        <f aca="false">MAX(AR42-AC43/AC$9*100,0)</f>
        <v>0</v>
      </c>
      <c r="AS43" s="1" t="n">
        <f aca="false">MAX(AS42-AD43/AD$9*100,0)</f>
        <v>0</v>
      </c>
      <c r="AT43" s="1" t="n">
        <f aca="false">MAX(AT42-AF43/AF$9*100,0)</f>
        <v>0</v>
      </c>
      <c r="AU43" s="1" t="n">
        <f aca="false">MAX(AU42-AG43/AG$9*100,0)</f>
        <v>0</v>
      </c>
      <c r="AY43" s="1" t="n">
        <f aca="false">$V43</f>
        <v>33</v>
      </c>
      <c r="AZ43" s="1" t="n">
        <f aca="false">AO43</f>
        <v>0</v>
      </c>
      <c r="BA43" s="1" t="n">
        <f aca="false">BA$7*EXP(-AY43/BA$8)</f>
        <v>2.73665905390576E-013</v>
      </c>
      <c r="BB43" s="1" t="n">
        <f aca="false">(AZ43-BA43)^2</f>
        <v>7.48930277732437E-026</v>
      </c>
      <c r="BD43" s="1" t="n">
        <f aca="false">$V43</f>
        <v>33</v>
      </c>
      <c r="BE43" s="1" t="n">
        <f aca="false">AT43</f>
        <v>0</v>
      </c>
      <c r="BF43" s="1" t="n">
        <f aca="false">BF$7*EXP(-BD43/BF$8)</f>
        <v>1.40323424643837E-006</v>
      </c>
      <c r="BG43" s="1" t="n">
        <f aca="false">(BE43-BF43)^2</f>
        <v>1.96906635037746E-012</v>
      </c>
      <c r="BI43" s="1" t="n">
        <f aca="false">$V43</f>
        <v>33</v>
      </c>
      <c r="BJ43" s="1" t="n">
        <f aca="false">AN43</f>
        <v>0</v>
      </c>
      <c r="BK43" s="1" t="n">
        <f aca="false">BK$7*EXP(-BI43/BK$8)</f>
        <v>1.5881157681697E-015</v>
      </c>
      <c r="BL43" s="1" t="n">
        <f aca="false">(BJ43-BK43)^2</f>
        <v>2.52211169310924E-030</v>
      </c>
      <c r="BN43" s="1" t="n">
        <f aca="false">$V43</f>
        <v>33</v>
      </c>
      <c r="BO43" s="1" t="n">
        <f aca="false">AR43</f>
        <v>0</v>
      </c>
      <c r="BP43" s="1" t="n">
        <f aca="false">BP$7*EXP(-BN43/BP$8)</f>
        <v>4.36541495414974E-014</v>
      </c>
      <c r="BQ43" s="1" t="n">
        <f aca="false">(BO43-BP43)^2</f>
        <v>1.90568477219142E-027</v>
      </c>
      <c r="BU43" s="1" t="n">
        <f aca="false">V43</f>
        <v>33</v>
      </c>
      <c r="BV43" s="1" t="n">
        <f aca="false">W43/W$9*100</f>
        <v>0</v>
      </c>
      <c r="BW43" s="1" t="n">
        <f aca="false">X43/X$9*100</f>
        <v>0</v>
      </c>
      <c r="BX43" s="1" t="n">
        <f aca="false">Z43/Z$9*100</f>
        <v>0</v>
      </c>
      <c r="BY43" s="1" t="n">
        <f aca="false">AA43/AA$9*100</f>
        <v>0</v>
      </c>
      <c r="BZ43" s="1" t="n">
        <f aca="false">AC43/AC$9*100</f>
        <v>0</v>
      </c>
      <c r="CA43" s="1" t="n">
        <f aca="false">AD43/AD$9*100</f>
        <v>0</v>
      </c>
      <c r="CB43" s="1" t="n">
        <f aca="false">AF43/AF$9*100</f>
        <v>0</v>
      </c>
      <c r="CC43" s="1" t="n">
        <f aca="false">AG43/AG$9*100</f>
        <v>0</v>
      </c>
      <c r="CE43" s="1" t="n">
        <f aca="false">$V43</f>
        <v>33</v>
      </c>
      <c r="CF43" s="1" t="n">
        <f aca="false">BV43</f>
        <v>0</v>
      </c>
      <c r="CG43" s="1" t="n">
        <f aca="false">CG$6*(1+CG$5*(-1)^$BU43)*EXP(-$BU43/CG$4)</f>
        <v>9.75410071066874E-010</v>
      </c>
      <c r="CH43" s="1" t="n">
        <f aca="false">(CF43-CG43)^2</f>
        <v>9.51424806738684E-019</v>
      </c>
      <c r="CI43" s="1" t="n">
        <f aca="false">EXP($BU43/CE43)*CF43</f>
        <v>0</v>
      </c>
      <c r="CJ43" s="1" t="n">
        <f aca="false">EXP($BU43/CE43)*(-1)^$BU43*CF43</f>
        <v>-0</v>
      </c>
      <c r="CK43" s="1" t="n">
        <f aca="false">(-1)^CE43*CF43</f>
        <v>-0</v>
      </c>
      <c r="CM43" s="1" t="n">
        <f aca="false">$V43</f>
        <v>33</v>
      </c>
      <c r="CN43" s="1" t="n">
        <f aca="false">BZ43</f>
        <v>0</v>
      </c>
      <c r="CO43" s="1" t="n">
        <f aca="false">CO$6*(1+CO$5*(-1)^$BU43)*EXP(-$BU43/CO$4)</f>
        <v>9.75410071066874E-010</v>
      </c>
      <c r="CP43" s="1" t="n">
        <f aca="false">(CN43-CO43)^2</f>
        <v>9.51424806738684E-019</v>
      </c>
      <c r="CQ43" s="1" t="n">
        <f aca="false">EXP($BU43/CM43)*CN43</f>
        <v>0</v>
      </c>
      <c r="CR43" s="1" t="n">
        <f aca="false">EXP($BU43/CM43)*(-1)^$BU43*CN43</f>
        <v>-0</v>
      </c>
      <c r="CS43" s="1" t="n">
        <f aca="false">(-1)^CM43*CN43</f>
        <v>-0</v>
      </c>
      <c r="CU43" s="1" t="n">
        <f aca="false">$V43</f>
        <v>33</v>
      </c>
      <c r="CV43" s="1" t="n">
        <f aca="false">CB43</f>
        <v>0</v>
      </c>
      <c r="CW43" s="1" t="n">
        <f aca="false">CW$6*(1+CW$5*(-1)^$BU43)*EXP(-$BU43/CW$4)</f>
        <v>0.000474371345545574</v>
      </c>
      <c r="CX43" s="1" t="n">
        <f aca="false">(CV43-CW43)^2</f>
        <v>2.25028173474718E-007</v>
      </c>
      <c r="CY43" s="1" t="n">
        <f aca="false">EXP($BU43/CU43)*CV43</f>
        <v>0</v>
      </c>
      <c r="CZ43" s="1" t="n">
        <f aca="false">EXP($BU43/CU43)*(-1)^$BU43*CV43</f>
        <v>-0</v>
      </c>
      <c r="DA43" s="1" t="n">
        <f aca="false">(-1)^CU43*CV43</f>
        <v>-0</v>
      </c>
      <c r="DB43" s="1" t="n">
        <v>0</v>
      </c>
    </row>
    <row r="44" customFormat="false" ht="16" hidden="false" customHeight="false" outlineLevel="0" collapsed="false">
      <c r="C44" s="1" t="n">
        <f aca="false">B44-A44</f>
        <v>0</v>
      </c>
      <c r="D44" s="1" t="n">
        <v>2</v>
      </c>
      <c r="E44" s="1" t="n">
        <v>2</v>
      </c>
      <c r="F44" s="1" t="n">
        <f aca="false">E44-D44</f>
        <v>0</v>
      </c>
      <c r="G44" s="1" t="n">
        <v>2</v>
      </c>
      <c r="H44" s="1" t="n">
        <v>6</v>
      </c>
      <c r="I44" s="1" t="n">
        <f aca="false">H44-G44</f>
        <v>4</v>
      </c>
      <c r="M44" s="1" t="n">
        <v>8</v>
      </c>
      <c r="N44" s="1" t="n">
        <v>16</v>
      </c>
      <c r="O44" s="1" t="n">
        <f aca="false">N44-M44</f>
        <v>8</v>
      </c>
      <c r="P44" s="1" t="n">
        <f aca="false">O44/M44</f>
        <v>1</v>
      </c>
      <c r="R44" s="1" t="s">
        <v>52</v>
      </c>
      <c r="S44" s="1" t="e">
        <f aca="false">COUNTIFS(#REF!,2,#REF!,0)</f>
        <v>#VALUE!</v>
      </c>
      <c r="V44" s="1" t="n">
        <v>34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K44" s="1" t="n">
        <f aca="false">V44</f>
        <v>34</v>
      </c>
      <c r="AN44" s="1" t="n">
        <f aca="false">MAX(AN43-W44/W$9*100,0)</f>
        <v>0</v>
      </c>
      <c r="AO44" s="1" t="n">
        <f aca="false">MAX(AO43-X44/X$9*100,0)</f>
        <v>0</v>
      </c>
      <c r="AP44" s="1" t="n">
        <f aca="false">MAX(AP43-Z44/Z$9*100,0)</f>
        <v>0</v>
      </c>
      <c r="AQ44" s="1" t="n">
        <f aca="false">MAX(AQ43-AA44/AA$9*100,0)</f>
        <v>0</v>
      </c>
      <c r="AR44" s="1" t="n">
        <f aca="false">MAX(AR43-AC44/AC$9*100,0)</f>
        <v>0</v>
      </c>
      <c r="AS44" s="1" t="n">
        <f aca="false">MAX(AS43-AD44/AD$9*100,0)</f>
        <v>0</v>
      </c>
      <c r="AT44" s="1" t="n">
        <f aca="false">MAX(AT43-AF44/AF$9*100,0)</f>
        <v>0</v>
      </c>
      <c r="AU44" s="1" t="n">
        <f aca="false">MAX(AU43-AG44/AG$9*100,0)</f>
        <v>0</v>
      </c>
      <c r="AY44" s="1" t="n">
        <f aca="false">$V44</f>
        <v>34</v>
      </c>
      <c r="AZ44" s="1" t="n">
        <f aca="false">AO44</f>
        <v>0</v>
      </c>
      <c r="BA44" s="1" t="n">
        <f aca="false">BA$7*EXP(-AY44/BA$8)</f>
        <v>9.76100250641031E-014</v>
      </c>
      <c r="BB44" s="1" t="n">
        <f aca="false">(AZ44-BA44)^2</f>
        <v>9.52771699301484E-027</v>
      </c>
      <c r="BD44" s="1" t="n">
        <f aca="false">$V44</f>
        <v>34</v>
      </c>
      <c r="BE44" s="1" t="n">
        <f aca="false">AT44</f>
        <v>0</v>
      </c>
      <c r="BF44" s="1" t="n">
        <f aca="false">BF$7*EXP(-BD44/BF$8)</f>
        <v>8.00100443744928E-007</v>
      </c>
      <c r="BG44" s="1" t="n">
        <f aca="false">(BE44-BF44)^2</f>
        <v>6.40160720080831E-013</v>
      </c>
      <c r="BI44" s="1" t="n">
        <f aca="false">$V44</f>
        <v>34</v>
      </c>
      <c r="BJ44" s="1" t="n">
        <f aca="false">AN44</f>
        <v>0</v>
      </c>
      <c r="BK44" s="1" t="n">
        <f aca="false">BK$7*EXP(-BI44/BK$8)</f>
        <v>4.82908575252215E-016</v>
      </c>
      <c r="BL44" s="1" t="n">
        <f aca="false">(BJ44-BK44)^2</f>
        <v>2.33200692052124E-031</v>
      </c>
      <c r="BN44" s="1" t="n">
        <f aca="false">$V44</f>
        <v>34</v>
      </c>
      <c r="BO44" s="1" t="n">
        <f aca="false">AR44</f>
        <v>0</v>
      </c>
      <c r="BP44" s="1" t="n">
        <f aca="false">BP$7*EXP(-BN44/BP$8)</f>
        <v>1.45471811989492E-014</v>
      </c>
      <c r="BQ44" s="1" t="n">
        <f aca="false">(BO44-BP44)^2</f>
        <v>2.11620480835061E-028</v>
      </c>
      <c r="BU44" s="1" t="n">
        <f aca="false">V44</f>
        <v>34</v>
      </c>
      <c r="BV44" s="1" t="n">
        <f aca="false">W44/W$9*100</f>
        <v>0</v>
      </c>
      <c r="BW44" s="1" t="n">
        <f aca="false">X44/X$9*100</f>
        <v>0</v>
      </c>
      <c r="BX44" s="1" t="n">
        <f aca="false">Z44/Z$9*100</f>
        <v>0</v>
      </c>
      <c r="BY44" s="1" t="n">
        <f aca="false">AA44/AA$9*100</f>
        <v>0</v>
      </c>
      <c r="BZ44" s="1" t="n">
        <f aca="false">AC44/AC$9*100</f>
        <v>0</v>
      </c>
      <c r="CA44" s="1" t="n">
        <f aca="false">AD44/AD$9*100</f>
        <v>0</v>
      </c>
      <c r="CB44" s="1" t="n">
        <f aca="false">AF44/AF$9*100</f>
        <v>0</v>
      </c>
      <c r="CC44" s="1" t="n">
        <f aca="false">AG44/AG$9*100</f>
        <v>0</v>
      </c>
      <c r="CE44" s="1" t="n">
        <f aca="false">$V44</f>
        <v>34</v>
      </c>
      <c r="CF44" s="1" t="n">
        <f aca="false">BV44</f>
        <v>0</v>
      </c>
      <c r="CG44" s="1" t="n">
        <f aca="false">CG$6*(1+CG$5*(-1)^$BU44)*EXP(-$BU44/CG$4)</f>
        <v>1.33595662056366E-009</v>
      </c>
      <c r="CH44" s="1" t="n">
        <f aca="false">(CF44-CG44)^2</f>
        <v>1.78478009202788E-018</v>
      </c>
      <c r="CI44" s="1" t="n">
        <f aca="false">EXP($BU44/CE44)*CF44</f>
        <v>0</v>
      </c>
      <c r="CJ44" s="1" t="n">
        <f aca="false">EXP($BU44/CE44)*(-1)^$BU44*CF44</f>
        <v>0</v>
      </c>
      <c r="CK44" s="1" t="n">
        <f aca="false">(-1)^CE44*CF44</f>
        <v>0</v>
      </c>
      <c r="CM44" s="1" t="n">
        <f aca="false">$V44</f>
        <v>34</v>
      </c>
      <c r="CN44" s="1" t="n">
        <f aca="false">BZ44</f>
        <v>0</v>
      </c>
      <c r="CO44" s="1" t="n">
        <f aca="false">CO$6*(1+CO$5*(-1)^$BU44)*EXP(-$BU44/CO$4)</f>
        <v>1.33595662056366E-009</v>
      </c>
      <c r="CP44" s="1" t="n">
        <f aca="false">(CN44-CO44)^2</f>
        <v>1.78478009202788E-018</v>
      </c>
      <c r="CQ44" s="1" t="n">
        <f aca="false">EXP($BU44/CM44)*CN44</f>
        <v>0</v>
      </c>
      <c r="CR44" s="1" t="n">
        <f aca="false">EXP($BU44/CM44)*(-1)^$BU44*CN44</f>
        <v>0</v>
      </c>
      <c r="CS44" s="1" t="n">
        <f aca="false">(-1)^CM44*CN44</f>
        <v>0</v>
      </c>
      <c r="CU44" s="1" t="n">
        <f aca="false">$V44</f>
        <v>34</v>
      </c>
      <c r="CV44" s="1" t="n">
        <f aca="false">CB44</f>
        <v>0</v>
      </c>
      <c r="CW44" s="1" t="n">
        <f aca="false">CW$6*(1+CW$5*(-1)^$BU44)*EXP(-$BU44/CW$4)</f>
        <v>0.000659809613143525</v>
      </c>
      <c r="CX44" s="1" t="n">
        <f aca="false">(CV44-CW44)^2</f>
        <v>4.35348725596608E-007</v>
      </c>
      <c r="CY44" s="1" t="n">
        <f aca="false">EXP($BU44/CU44)*CV44</f>
        <v>0</v>
      </c>
      <c r="CZ44" s="1" t="n">
        <f aca="false">EXP($BU44/CU44)*(-1)^$BU44*CV44</f>
        <v>0</v>
      </c>
      <c r="DA44" s="1" t="n">
        <f aca="false">(-1)^CU44*CV44</f>
        <v>0</v>
      </c>
      <c r="DB44" s="1" t="n">
        <v>0</v>
      </c>
    </row>
    <row r="45" customFormat="false" ht="16" hidden="false" customHeight="false" outlineLevel="0" collapsed="false">
      <c r="C45" s="1" t="n">
        <f aca="false">B45-A45</f>
        <v>0</v>
      </c>
      <c r="D45" s="1" t="n">
        <v>1</v>
      </c>
      <c r="E45" s="1" t="n">
        <v>1</v>
      </c>
      <c r="F45" s="1" t="n">
        <f aca="false">E45-D45</f>
        <v>0</v>
      </c>
      <c r="G45" s="1" t="n">
        <v>1</v>
      </c>
      <c r="H45" s="1" t="n">
        <v>1</v>
      </c>
      <c r="I45" s="1" t="n">
        <f aca="false">H45-G45</f>
        <v>0</v>
      </c>
      <c r="M45" s="1" t="n">
        <v>6</v>
      </c>
      <c r="N45" s="1" t="n">
        <v>14</v>
      </c>
      <c r="O45" s="1" t="n">
        <f aca="false">N45-M45</f>
        <v>8</v>
      </c>
      <c r="P45" s="1" t="n">
        <f aca="false">O45/M45</f>
        <v>1.33333333333333</v>
      </c>
      <c r="V45" s="1" t="n">
        <v>35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K45" s="1" t="n">
        <f aca="false">V45</f>
        <v>35</v>
      </c>
      <c r="AN45" s="1" t="n">
        <f aca="false">MAX(AN44-W45/W$9*100,0)</f>
        <v>0</v>
      </c>
      <c r="AO45" s="1" t="n">
        <f aca="false">MAX(AO44-X45/X$9*100,0)</f>
        <v>0</v>
      </c>
      <c r="AP45" s="1" t="n">
        <f aca="false">MAX(AP44-Z45/Z$9*100,0)</f>
        <v>0</v>
      </c>
      <c r="AQ45" s="1" t="n">
        <f aca="false">MAX(AQ44-AA45/AA$9*100,0)</f>
        <v>0</v>
      </c>
      <c r="AR45" s="1" t="n">
        <f aca="false">MAX(AR44-AC45/AC$9*100,0)</f>
        <v>0</v>
      </c>
      <c r="AS45" s="1" t="n">
        <f aca="false">MAX(AS44-AD45/AD$9*100,0)</f>
        <v>0</v>
      </c>
      <c r="AT45" s="1" t="n">
        <f aca="false">MAX(AT44-AF45/AF$9*100,0)</f>
        <v>0</v>
      </c>
      <c r="AU45" s="1" t="n">
        <f aca="false">MAX(AU44-AG45/AG$9*100,0)</f>
        <v>0</v>
      </c>
      <c r="AY45" s="1" t="n">
        <f aca="false">$V45</f>
        <v>35</v>
      </c>
      <c r="AZ45" s="1" t="n">
        <f aca="false">AO45</f>
        <v>0</v>
      </c>
      <c r="BA45" s="1" t="n">
        <f aca="false">BA$7*EXP(-AY45/BA$8)</f>
        <v>3.48151406709467E-014</v>
      </c>
      <c r="BB45" s="1" t="n">
        <f aca="false">(AZ45-BA45)^2</f>
        <v>1.21209401993781E-027</v>
      </c>
      <c r="BD45" s="1" t="n">
        <f aca="false">$V45</f>
        <v>35</v>
      </c>
      <c r="BE45" s="1" t="n">
        <f aca="false">AT45</f>
        <v>0</v>
      </c>
      <c r="BF45" s="1" t="n">
        <f aca="false">BF$7*EXP(-BD45/BF$8)</f>
        <v>4.56203746242411E-007</v>
      </c>
      <c r="BG45" s="1" t="n">
        <f aca="false">(BE45-BF45)^2</f>
        <v>2.0812185808561E-013</v>
      </c>
      <c r="BI45" s="1" t="n">
        <f aca="false">$V45</f>
        <v>35</v>
      </c>
      <c r="BJ45" s="1" t="n">
        <f aca="false">AN45</f>
        <v>0</v>
      </c>
      <c r="BK45" s="1" t="n">
        <f aca="false">BK$7*EXP(-BI45/BK$8)</f>
        <v>1.46841116199536E-016</v>
      </c>
      <c r="BL45" s="1" t="n">
        <f aca="false">(BJ45-BK45)^2</f>
        <v>2.15623134067256E-032</v>
      </c>
      <c r="BN45" s="1" t="n">
        <f aca="false">$V45</f>
        <v>35</v>
      </c>
      <c r="BO45" s="1" t="n">
        <f aca="false">AR45</f>
        <v>0</v>
      </c>
      <c r="BP45" s="1" t="n">
        <f aca="false">BP$7*EXP(-BN45/BP$8)</f>
        <v>4.84766014359983E-015</v>
      </c>
      <c r="BQ45" s="1" t="n">
        <f aca="false">(BO45-BP45)^2</f>
        <v>2.34998088678463E-029</v>
      </c>
      <c r="BU45" s="1" t="n">
        <f aca="false">V45</f>
        <v>35</v>
      </c>
      <c r="BV45" s="1" t="n">
        <f aca="false">W45/W$9*100</f>
        <v>0</v>
      </c>
      <c r="BW45" s="1" t="n">
        <f aca="false">X45/X$9*100</f>
        <v>0</v>
      </c>
      <c r="BX45" s="1" t="n">
        <f aca="false">Z45/Z$9*100</f>
        <v>0</v>
      </c>
      <c r="BY45" s="1" t="n">
        <f aca="false">AA45/AA$9*100</f>
        <v>0</v>
      </c>
      <c r="BZ45" s="1" t="n">
        <f aca="false">AC45/AC$9*100</f>
        <v>0</v>
      </c>
      <c r="CA45" s="1" t="n">
        <f aca="false">AD45/AD$9*100</f>
        <v>0</v>
      </c>
      <c r="CB45" s="1" t="n">
        <f aca="false">AF45/AF$9*100</f>
        <v>0</v>
      </c>
      <c r="CC45" s="1" t="n">
        <f aca="false">AG45/AG$9*100</f>
        <v>0</v>
      </c>
      <c r="CE45" s="1" t="n">
        <f aca="false">$V45</f>
        <v>35</v>
      </c>
      <c r="CF45" s="1" t="n">
        <f aca="false">BV45</f>
        <v>0</v>
      </c>
      <c r="CG45" s="1" t="n">
        <f aca="false">CG$6*(1+CG$5*(-1)^$BU45)*EXP(-$BU45/CG$4)</f>
        <v>2.14370634343532E-010</v>
      </c>
      <c r="CH45" s="1" t="n">
        <f aca="false">(CF45-CG45)^2</f>
        <v>4.59547688688483E-020</v>
      </c>
      <c r="CI45" s="1" t="n">
        <f aca="false">EXP($BU45/CE45)*CF45</f>
        <v>0</v>
      </c>
      <c r="CJ45" s="1" t="n">
        <f aca="false">EXP($BU45/CE45)*(-1)^$BU45*CF45</f>
        <v>-0</v>
      </c>
      <c r="CK45" s="1" t="n">
        <f aca="false">(-1)^CE45*CF45</f>
        <v>-0</v>
      </c>
      <c r="CM45" s="1" t="n">
        <f aca="false">$V45</f>
        <v>35</v>
      </c>
      <c r="CN45" s="1" t="n">
        <f aca="false">BZ45</f>
        <v>0</v>
      </c>
      <c r="CO45" s="1" t="n">
        <f aca="false">CO$6*(1+CO$5*(-1)^$BU45)*EXP(-$BU45/CO$4)</f>
        <v>2.14370634343532E-010</v>
      </c>
      <c r="CP45" s="1" t="n">
        <f aca="false">(CN45-CO45)^2</f>
        <v>4.59547688688483E-020</v>
      </c>
      <c r="CQ45" s="1" t="n">
        <f aca="false">EXP($BU45/CM45)*CN45</f>
        <v>0</v>
      </c>
      <c r="CR45" s="1" t="n">
        <f aca="false">EXP($BU45/CM45)*(-1)^$BU45*CN45</f>
        <v>-0</v>
      </c>
      <c r="CS45" s="1" t="n">
        <f aca="false">(-1)^CM45*CN45</f>
        <v>-0</v>
      </c>
      <c r="CU45" s="1" t="n">
        <f aca="false">$V45</f>
        <v>35</v>
      </c>
      <c r="CV45" s="1" t="n">
        <f aca="false">CB45</f>
        <v>0</v>
      </c>
      <c r="CW45" s="1" t="n">
        <f aca="false">CW$6*(1+CW$5*(-1)^$BU45)*EXP(-$BU45/CW$4)</f>
        <v>0.000243550369581623</v>
      </c>
      <c r="CX45" s="1" t="n">
        <f aca="false">(CV45-CW45)^2</f>
        <v>5.93167825233452E-008</v>
      </c>
      <c r="CY45" s="1" t="n">
        <f aca="false">EXP($BU45/CU45)*CV45</f>
        <v>0</v>
      </c>
      <c r="CZ45" s="1" t="n">
        <f aca="false">EXP($BU45/CU45)*(-1)^$BU45*CV45</f>
        <v>-0</v>
      </c>
      <c r="DA45" s="1" t="n">
        <f aca="false">(-1)^CU45*CV45</f>
        <v>-0</v>
      </c>
      <c r="DB45" s="1" t="n">
        <v>0</v>
      </c>
    </row>
    <row r="46" customFormat="false" ht="16" hidden="false" customHeight="false" outlineLevel="0" collapsed="false">
      <c r="C46" s="1" t="n">
        <f aca="false">B46-A46</f>
        <v>0</v>
      </c>
      <c r="D46" s="1" t="n">
        <v>1</v>
      </c>
      <c r="E46" s="1" t="n">
        <v>2</v>
      </c>
      <c r="F46" s="1" t="n">
        <f aca="false">E46-D46</f>
        <v>1</v>
      </c>
      <c r="G46" s="1" t="n">
        <v>4</v>
      </c>
      <c r="H46" s="1" t="n">
        <v>6</v>
      </c>
      <c r="I46" s="1" t="n">
        <f aca="false">H46-G46</f>
        <v>2</v>
      </c>
      <c r="M46" s="1" t="n">
        <v>4</v>
      </c>
      <c r="N46" s="1" t="n">
        <v>8</v>
      </c>
      <c r="O46" s="1" t="n">
        <f aca="false">N46-M46</f>
        <v>4</v>
      </c>
      <c r="P46" s="1" t="n">
        <f aca="false">O46/M46</f>
        <v>1</v>
      </c>
      <c r="R46" s="1" t="s">
        <v>77</v>
      </c>
      <c r="V46" s="1" t="n">
        <v>36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K46" s="1" t="n">
        <f aca="false">V46</f>
        <v>36</v>
      </c>
      <c r="AN46" s="1" t="n">
        <f aca="false">MAX(AN45-W46/W$9*100,0)</f>
        <v>0</v>
      </c>
      <c r="AO46" s="1" t="n">
        <f aca="false">MAX(AO45-X46/X$9*100,0)</f>
        <v>0</v>
      </c>
      <c r="AP46" s="1" t="n">
        <f aca="false">MAX(AP45-Z46/Z$9*100,0)</f>
        <v>0</v>
      </c>
      <c r="AQ46" s="1" t="n">
        <f aca="false">MAX(AQ45-AA46/AA$9*100,0)</f>
        <v>0</v>
      </c>
      <c r="AR46" s="1" t="n">
        <f aca="false">MAX(AR45-AC46/AC$9*100,0)</f>
        <v>0</v>
      </c>
      <c r="AS46" s="1" t="n">
        <f aca="false">MAX(AS45-AD46/AD$9*100,0)</f>
        <v>0</v>
      </c>
      <c r="AT46" s="1" t="n">
        <f aca="false">MAX(AT45-AF46/AF$9*100,0)</f>
        <v>0</v>
      </c>
      <c r="AU46" s="1" t="n">
        <f aca="false">MAX(AU45-AG46/AG$9*100,0)</f>
        <v>0</v>
      </c>
      <c r="AY46" s="1" t="n">
        <f aca="false">$V46</f>
        <v>36</v>
      </c>
      <c r="AZ46" s="1" t="n">
        <f aca="false">AO46</f>
        <v>0</v>
      </c>
      <c r="BA46" s="1" t="n">
        <f aca="false">BA$7*EXP(-AY46/BA$8)</f>
        <v>1.24177206095561E-014</v>
      </c>
      <c r="BB46" s="1" t="n">
        <f aca="false">(AZ46-BA46)^2</f>
        <v>1.54199785136994E-028</v>
      </c>
      <c r="BD46" s="1" t="n">
        <f aca="false">$V46</f>
        <v>36</v>
      </c>
      <c r="BE46" s="1" t="n">
        <f aca="false">AT46</f>
        <v>0</v>
      </c>
      <c r="BF46" s="1" t="n">
        <f aca="false">BF$7*EXP(-BD46/BF$8)</f>
        <v>2.60119663365615E-007</v>
      </c>
      <c r="BG46" s="1" t="n">
        <f aca="false">(BE46-BF46)^2</f>
        <v>6.76622392694409E-014</v>
      </c>
      <c r="BI46" s="1" t="n">
        <f aca="false">$V46</f>
        <v>36</v>
      </c>
      <c r="BJ46" s="1" t="n">
        <f aca="false">AN46</f>
        <v>0</v>
      </c>
      <c r="BK46" s="1" t="n">
        <f aca="false">BK$7*EXP(-BI46/BK$8)</f>
        <v>4.46509225798365E-017</v>
      </c>
      <c r="BL46" s="1" t="n">
        <f aca="false">(BJ46-BK46)^2</f>
        <v>1.99370488723055E-033</v>
      </c>
      <c r="BN46" s="1" t="n">
        <f aca="false">$V46</f>
        <v>36</v>
      </c>
      <c r="BO46" s="1" t="n">
        <f aca="false">AR46</f>
        <v>0</v>
      </c>
      <c r="BP46" s="1" t="n">
        <f aca="false">BP$7*EXP(-BN46/BP$8)</f>
        <v>1.61542009729992E-015</v>
      </c>
      <c r="BQ46" s="1" t="n">
        <f aca="false">(BO46-BP46)^2</f>
        <v>2.60958209076048E-030</v>
      </c>
      <c r="BU46" s="1" t="n">
        <f aca="false">V46</f>
        <v>36</v>
      </c>
      <c r="BV46" s="1" t="n">
        <f aca="false">W46/W$9*100</f>
        <v>0</v>
      </c>
      <c r="BW46" s="1" t="n">
        <f aca="false">X46/X$9*100</f>
        <v>0</v>
      </c>
      <c r="BX46" s="1" t="n">
        <f aca="false">Z46/Z$9*100</f>
        <v>0</v>
      </c>
      <c r="BY46" s="1" t="n">
        <f aca="false">AA46/AA$9*100</f>
        <v>0</v>
      </c>
      <c r="BZ46" s="1" t="n">
        <f aca="false">AC46/AC$9*100</f>
        <v>0</v>
      </c>
      <c r="CA46" s="1" t="n">
        <f aca="false">AD46/AD$9*100</f>
        <v>0</v>
      </c>
      <c r="CB46" s="1" t="n">
        <f aca="false">AF46/AF$9*100</f>
        <v>0</v>
      </c>
      <c r="CC46" s="1" t="n">
        <f aca="false">AG46/AG$9*100</f>
        <v>0</v>
      </c>
      <c r="CE46" s="1" t="n">
        <f aca="false">$V46</f>
        <v>36</v>
      </c>
      <c r="CF46" s="1" t="n">
        <f aca="false">BV46</f>
        <v>0</v>
      </c>
      <c r="CG46" s="1" t="n">
        <f aca="false">CG$6*(1+CG$5*(-1)^$BU46)*EXP(-$BU46/CG$4)</f>
        <v>2.93609710111388E-010</v>
      </c>
      <c r="CH46" s="1" t="n">
        <f aca="false">(CF46-CG46)^2</f>
        <v>8.62066618716933E-020</v>
      </c>
      <c r="CI46" s="1" t="n">
        <f aca="false">EXP($BU46/CE46)*CF46</f>
        <v>0</v>
      </c>
      <c r="CJ46" s="1" t="n">
        <f aca="false">EXP($BU46/CE46)*(-1)^$BU46*CF46</f>
        <v>0</v>
      </c>
      <c r="CK46" s="1" t="n">
        <f aca="false">(-1)^CE46*CF46</f>
        <v>0</v>
      </c>
      <c r="CM46" s="1" t="n">
        <f aca="false">$V46</f>
        <v>36</v>
      </c>
      <c r="CN46" s="1" t="n">
        <f aca="false">BZ46</f>
        <v>0</v>
      </c>
      <c r="CO46" s="1" t="n">
        <f aca="false">CO$6*(1+CO$5*(-1)^$BU46)*EXP(-$BU46/CO$4)</f>
        <v>2.93609710111388E-010</v>
      </c>
      <c r="CP46" s="1" t="n">
        <f aca="false">(CN46-CO46)^2</f>
        <v>8.62066618716933E-020</v>
      </c>
      <c r="CQ46" s="1" t="n">
        <f aca="false">EXP($BU46/CM46)*CN46</f>
        <v>0</v>
      </c>
      <c r="CR46" s="1" t="n">
        <f aca="false">EXP($BU46/CM46)*(-1)^$BU46*CN46</f>
        <v>0</v>
      </c>
      <c r="CS46" s="1" t="n">
        <f aca="false">(-1)^CM46*CN46</f>
        <v>0</v>
      </c>
      <c r="CU46" s="1" t="n">
        <f aca="false">$V46</f>
        <v>36</v>
      </c>
      <c r="CV46" s="1" t="n">
        <f aca="false">CB46</f>
        <v>0</v>
      </c>
      <c r="CW46" s="1" t="n">
        <f aca="false">CW$6*(1+CW$5*(-1)^$BU46)*EXP(-$BU46/CW$4)</f>
        <v>0.000338757550690158</v>
      </c>
      <c r="CX46" s="1" t="n">
        <f aca="false">(CV46-CW46)^2</f>
        <v>1.14756678149595E-007</v>
      </c>
      <c r="CY46" s="1" t="n">
        <f aca="false">EXP($BU46/CU46)*CV46</f>
        <v>0</v>
      </c>
      <c r="CZ46" s="1" t="n">
        <f aca="false">EXP($BU46/CU46)*(-1)^$BU46*CV46</f>
        <v>0</v>
      </c>
      <c r="DA46" s="1" t="n">
        <f aca="false">(-1)^CU46*CV46</f>
        <v>0</v>
      </c>
      <c r="DB46" s="1" t="n">
        <v>0</v>
      </c>
    </row>
    <row r="47" customFormat="false" ht="16" hidden="false" customHeight="false" outlineLevel="0" collapsed="false">
      <c r="C47" s="1" t="n">
        <f aca="false">B47-A47</f>
        <v>0</v>
      </c>
      <c r="D47" s="1" t="n">
        <v>4</v>
      </c>
      <c r="E47" s="1" t="n">
        <v>4</v>
      </c>
      <c r="F47" s="1" t="n">
        <f aca="false">E47-D47</f>
        <v>0</v>
      </c>
      <c r="G47" s="1" t="n">
        <v>4</v>
      </c>
      <c r="H47" s="1" t="n">
        <v>6</v>
      </c>
      <c r="I47" s="1" t="n">
        <f aca="false">H47-G47</f>
        <v>2</v>
      </c>
      <c r="M47" s="1" t="n">
        <v>2</v>
      </c>
      <c r="N47" s="1" t="n">
        <v>6</v>
      </c>
      <c r="O47" s="1" t="n">
        <f aca="false">N47-M47</f>
        <v>4</v>
      </c>
      <c r="P47" s="1" t="n">
        <f aca="false">O47/M47</f>
        <v>2</v>
      </c>
      <c r="R47" s="1" t="s">
        <v>41</v>
      </c>
      <c r="S47" s="1" t="e">
        <f aca="false">COUNTIFS(#REF!,2,#REF!,2)</f>
        <v>#VALUE!</v>
      </c>
      <c r="V47" s="1" t="n">
        <v>37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K47" s="1" t="n">
        <f aca="false">V47</f>
        <v>37</v>
      </c>
      <c r="AN47" s="1" t="n">
        <f aca="false">MAX(AN46-W47/W$9*100,0)</f>
        <v>0</v>
      </c>
      <c r="AO47" s="1" t="n">
        <f aca="false">MAX(AO46-X47/X$9*100,0)</f>
        <v>0</v>
      </c>
      <c r="AP47" s="1" t="n">
        <f aca="false">MAX(AP46-Z47/Z$9*100,0)</f>
        <v>0</v>
      </c>
      <c r="AQ47" s="1" t="n">
        <f aca="false">MAX(AQ46-AA47/AA$9*100,0)</f>
        <v>0</v>
      </c>
      <c r="AR47" s="1" t="n">
        <f aca="false">MAX(AR46-AC47/AC$9*100,0)</f>
        <v>0</v>
      </c>
      <c r="AS47" s="1" t="n">
        <f aca="false">MAX(AS46-AD47/AD$9*100,0)</f>
        <v>0</v>
      </c>
      <c r="AT47" s="1" t="n">
        <f aca="false">MAX(AT46-AF47/AF$9*100,0)</f>
        <v>0</v>
      </c>
      <c r="AU47" s="1" t="n">
        <f aca="false">MAX(AU46-AG47/AG$9*100,0)</f>
        <v>0</v>
      </c>
      <c r="AY47" s="1" t="n">
        <f aca="false">$V47</f>
        <v>37</v>
      </c>
      <c r="AZ47" s="1" t="n">
        <f aca="false">AO47</f>
        <v>0</v>
      </c>
      <c r="BA47" s="1" t="n">
        <f aca="false">BA$7*EXP(-AY47/BA$8)</f>
        <v>4.42910130952522E-015</v>
      </c>
      <c r="BB47" s="1" t="n">
        <f aca="false">(AZ47-BA47)^2</f>
        <v>1.9616938410038E-029</v>
      </c>
      <c r="BD47" s="1" t="n">
        <f aca="false">$V47</f>
        <v>37</v>
      </c>
      <c r="BE47" s="1" t="n">
        <f aca="false">AT47</f>
        <v>0</v>
      </c>
      <c r="BF47" s="1" t="n">
        <f aca="false">BF$7*EXP(-BD47/BF$8)</f>
        <v>1.4831583437609E-007</v>
      </c>
      <c r="BG47" s="1" t="n">
        <f aca="false">(BE47-BF47)^2</f>
        <v>2.19975867266758E-014</v>
      </c>
      <c r="BI47" s="1" t="n">
        <f aca="false">$V47</f>
        <v>37</v>
      </c>
      <c r="BJ47" s="1" t="n">
        <f aca="false">AN47</f>
        <v>0</v>
      </c>
      <c r="BK47" s="1" t="n">
        <f aca="false">BK$7*EXP(-BI47/BK$8)</f>
        <v>1.35772931916521E-017</v>
      </c>
      <c r="BL47" s="1" t="n">
        <f aca="false">(BJ47-BK47)^2</f>
        <v>1.84342890412082E-034</v>
      </c>
      <c r="BN47" s="1" t="n">
        <f aca="false">$V47</f>
        <v>37</v>
      </c>
      <c r="BO47" s="1" t="n">
        <f aca="false">AR47</f>
        <v>0</v>
      </c>
      <c r="BP47" s="1" t="n">
        <f aca="false">BP$7*EXP(-BN47/BP$8)</f>
        <v>5.38317871603651E-016</v>
      </c>
      <c r="BQ47" s="1" t="n">
        <f aca="false">(BO47-BP47)^2</f>
        <v>2.89786130887885E-031</v>
      </c>
      <c r="BU47" s="1" t="n">
        <f aca="false">V47</f>
        <v>37</v>
      </c>
      <c r="BV47" s="1" t="n">
        <f aca="false">W47/W$9*100</f>
        <v>0</v>
      </c>
      <c r="BW47" s="1" t="n">
        <f aca="false">X47/X$9*100</f>
        <v>0</v>
      </c>
      <c r="BX47" s="1" t="n">
        <f aca="false">Z47/Z$9*100</f>
        <v>0</v>
      </c>
      <c r="BY47" s="1" t="n">
        <f aca="false">AA47/AA$9*100</f>
        <v>0</v>
      </c>
      <c r="BZ47" s="1" t="n">
        <f aca="false">AC47/AC$9*100</f>
        <v>0</v>
      </c>
      <c r="CA47" s="1" t="n">
        <f aca="false">AD47/AD$9*100</f>
        <v>0</v>
      </c>
      <c r="CB47" s="1" t="n">
        <f aca="false">AF47/AF$9*100</f>
        <v>0</v>
      </c>
      <c r="CC47" s="1" t="n">
        <f aca="false">AG47/AG$9*100</f>
        <v>0</v>
      </c>
      <c r="CE47" s="1" t="n">
        <f aca="false">$V47</f>
        <v>37</v>
      </c>
      <c r="CF47" s="1" t="n">
        <f aca="false">BV47</f>
        <v>0</v>
      </c>
      <c r="CG47" s="1" t="n">
        <f aca="false">CG$6*(1+CG$5*(-1)^$BU47)*EXP(-$BU47/CG$4)</f>
        <v>4.71132811029772E-011</v>
      </c>
      <c r="CH47" s="1" t="n">
        <f aca="false">(CF47-CG47)^2</f>
        <v>2.21966125628815E-021</v>
      </c>
      <c r="CI47" s="1" t="n">
        <f aca="false">EXP($BU47/CE47)*CF47</f>
        <v>0</v>
      </c>
      <c r="CJ47" s="1" t="n">
        <f aca="false">EXP($BU47/CE47)*(-1)^$BU47*CF47</f>
        <v>-0</v>
      </c>
      <c r="CK47" s="1" t="n">
        <f aca="false">(-1)^CE47*CF47</f>
        <v>-0</v>
      </c>
      <c r="CM47" s="1" t="n">
        <f aca="false">$V47</f>
        <v>37</v>
      </c>
      <c r="CN47" s="1" t="n">
        <f aca="false">BZ47</f>
        <v>0</v>
      </c>
      <c r="CO47" s="1" t="n">
        <f aca="false">CO$6*(1+CO$5*(-1)^$BU47)*EXP(-$BU47/CO$4)</f>
        <v>4.71132811029772E-011</v>
      </c>
      <c r="CP47" s="1" t="n">
        <f aca="false">(CN47-CO47)^2</f>
        <v>2.21966125628815E-021</v>
      </c>
      <c r="CQ47" s="1" t="n">
        <f aca="false">EXP($BU47/CM47)*CN47</f>
        <v>0</v>
      </c>
      <c r="CR47" s="1" t="n">
        <f aca="false">EXP($BU47/CM47)*(-1)^$BU47*CN47</f>
        <v>-0</v>
      </c>
      <c r="CS47" s="1" t="n">
        <f aca="false">(-1)^CM47*CN47</f>
        <v>-0</v>
      </c>
      <c r="CU47" s="1" t="n">
        <f aca="false">$V47</f>
        <v>37</v>
      </c>
      <c r="CV47" s="1" t="n">
        <f aca="false">CB47</f>
        <v>0</v>
      </c>
      <c r="CW47" s="1" t="n">
        <f aca="false">CW$6*(1+CW$5*(-1)^$BU47)*EXP(-$BU47/CW$4)</f>
        <v>0.00012504292908992</v>
      </c>
      <c r="CX47" s="1" t="n">
        <f aca="false">(CV47-CW47)^2</f>
        <v>1.56357341153868E-008</v>
      </c>
      <c r="CY47" s="1" t="n">
        <f aca="false">EXP($BU47/CU47)*CV47</f>
        <v>0</v>
      </c>
      <c r="CZ47" s="1" t="n">
        <f aca="false">EXP($BU47/CU47)*(-1)^$BU47*CV47</f>
        <v>-0</v>
      </c>
      <c r="DA47" s="1" t="n">
        <f aca="false">(-1)^CU47*CV47</f>
        <v>-0</v>
      </c>
      <c r="DB47" s="1" t="n">
        <v>0</v>
      </c>
    </row>
    <row r="48" customFormat="false" ht="16" hidden="false" customHeight="false" outlineLevel="0" collapsed="false">
      <c r="C48" s="1" t="n">
        <f aca="false">B48-A48</f>
        <v>0</v>
      </c>
      <c r="D48" s="1" t="n">
        <v>2</v>
      </c>
      <c r="E48" s="1" t="n">
        <v>2</v>
      </c>
      <c r="F48" s="1" t="n">
        <f aca="false">E48-D48</f>
        <v>0</v>
      </c>
      <c r="G48" s="1" t="n">
        <v>2</v>
      </c>
      <c r="H48" s="1" t="n">
        <v>2</v>
      </c>
      <c r="I48" s="1" t="n">
        <f aca="false">H48-G48</f>
        <v>0</v>
      </c>
      <c r="M48" s="1" t="n">
        <v>8</v>
      </c>
      <c r="N48" s="1" t="n">
        <v>16</v>
      </c>
      <c r="O48" s="1" t="n">
        <f aca="false">N48-M48</f>
        <v>8</v>
      </c>
      <c r="P48" s="1" t="n">
        <f aca="false">O48/M48</f>
        <v>1</v>
      </c>
      <c r="R48" s="1" t="s">
        <v>48</v>
      </c>
      <c r="S48" s="1" t="e">
        <f aca="false">COUNTIFS(#REF!,2,#REF!,1)</f>
        <v>#VALUE!</v>
      </c>
      <c r="V48" s="1" t="n">
        <v>38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K48" s="1" t="n">
        <f aca="false">V48</f>
        <v>38</v>
      </c>
      <c r="AN48" s="1" t="n">
        <f aca="false">MAX(AN47-W48/W$9*100,0)</f>
        <v>0</v>
      </c>
      <c r="AO48" s="1" t="n">
        <f aca="false">MAX(AO47-X48/X$9*100,0)</f>
        <v>0</v>
      </c>
      <c r="AP48" s="1" t="n">
        <f aca="false">MAX(AP47-Z48/Z$9*100,0)</f>
        <v>0</v>
      </c>
      <c r="AQ48" s="1" t="n">
        <f aca="false">MAX(AQ47-AA48/AA$9*100,0)</f>
        <v>0</v>
      </c>
      <c r="AR48" s="1" t="n">
        <f aca="false">MAX(AR47-AC48/AC$9*100,0)</f>
        <v>0</v>
      </c>
      <c r="AS48" s="1" t="n">
        <f aca="false">MAX(AS47-AD48/AD$9*100,0)</f>
        <v>0</v>
      </c>
      <c r="AT48" s="1" t="n">
        <f aca="false">MAX(AT47-AF48/AF$9*100,0)</f>
        <v>0</v>
      </c>
      <c r="AU48" s="1" t="n">
        <f aca="false">MAX(AU47-AG48/AG$9*100,0)</f>
        <v>0</v>
      </c>
      <c r="AY48" s="1" t="n">
        <f aca="false">$V48</f>
        <v>38</v>
      </c>
      <c r="AZ48" s="1" t="n">
        <f aca="false">AO48</f>
        <v>0</v>
      </c>
      <c r="BA48" s="1" t="n">
        <f aca="false">BA$7*EXP(-AY48/BA$8)</f>
        <v>1.57975356563761E-015</v>
      </c>
      <c r="BB48" s="1" t="n">
        <f aca="false">(AZ48-BA48)^2</f>
        <v>2.49562132814474E-030</v>
      </c>
      <c r="BD48" s="1" t="n">
        <f aca="false">$V48</f>
        <v>38</v>
      </c>
      <c r="BE48" s="1" t="n">
        <f aca="false">AT48</f>
        <v>0</v>
      </c>
      <c r="BF48" s="1" t="n">
        <f aca="false">BF$7*EXP(-BD48/BF$8)</f>
        <v>8.45671812813193E-008</v>
      </c>
      <c r="BG48" s="1" t="n">
        <f aca="false">(BE48-BF48)^2</f>
        <v>7.15160814986752E-015</v>
      </c>
      <c r="BI48" s="1" t="n">
        <f aca="false">$V48</f>
        <v>38</v>
      </c>
      <c r="BJ48" s="1" t="n">
        <f aca="false">AN48</f>
        <v>0</v>
      </c>
      <c r="BK48" s="1" t="n">
        <f aca="false">BK$7*EXP(-BI48/BK$8)</f>
        <v>4.12853486022543E-018</v>
      </c>
      <c r="BL48" s="1" t="n">
        <f aca="false">(BJ48-BK48)^2</f>
        <v>1.70448000920966E-035</v>
      </c>
      <c r="BN48" s="1" t="n">
        <f aca="false">$V48</f>
        <v>38</v>
      </c>
      <c r="BO48" s="1" t="n">
        <f aca="false">AR48</f>
        <v>0</v>
      </c>
      <c r="BP48" s="1" t="n">
        <f aca="false">BP$7*EXP(-BN48/BP$8)</f>
        <v>1.7938747411416E-016</v>
      </c>
      <c r="BQ48" s="1" t="n">
        <f aca="false">(BO48-BP48)^2</f>
        <v>3.21798658690584E-032</v>
      </c>
      <c r="BU48" s="1" t="n">
        <f aca="false">V48</f>
        <v>38</v>
      </c>
      <c r="BV48" s="1" t="n">
        <f aca="false">W48/W$9*100</f>
        <v>0</v>
      </c>
      <c r="BW48" s="1" t="n">
        <f aca="false">X48/X$9*100</f>
        <v>0</v>
      </c>
      <c r="BX48" s="1" t="n">
        <f aca="false">Z48/Z$9*100</f>
        <v>0</v>
      </c>
      <c r="BY48" s="1" t="n">
        <f aca="false">AA48/AA$9*100</f>
        <v>0</v>
      </c>
      <c r="BZ48" s="1" t="n">
        <f aca="false">AC48/AC$9*100</f>
        <v>0</v>
      </c>
      <c r="CA48" s="1" t="n">
        <f aca="false">AD48/AD$9*100</f>
        <v>0</v>
      </c>
      <c r="CB48" s="1" t="n">
        <f aca="false">AF48/AF$9*100</f>
        <v>0</v>
      </c>
      <c r="CC48" s="1" t="n">
        <f aca="false">AG48/AG$9*100</f>
        <v>0</v>
      </c>
      <c r="CE48" s="1" t="n">
        <f aca="false">$V48</f>
        <v>38</v>
      </c>
      <c r="CF48" s="1" t="n">
        <f aca="false">BV48</f>
        <v>0</v>
      </c>
      <c r="CG48" s="1" t="n">
        <f aca="false">CG$6*(1+CG$5*(-1)^$BU48)*EXP(-$BU48/CG$4)</f>
        <v>6.45280397168297E-011</v>
      </c>
      <c r="CH48" s="1" t="n">
        <f aca="false">(CF48-CG48)^2</f>
        <v>4.16386790969675E-021</v>
      </c>
      <c r="CI48" s="1" t="n">
        <f aca="false">EXP($BU48/CE48)*CF48</f>
        <v>0</v>
      </c>
      <c r="CJ48" s="1" t="n">
        <f aca="false">EXP($BU48/CE48)*(-1)^$BU48*CF48</f>
        <v>0</v>
      </c>
      <c r="CK48" s="1" t="n">
        <f aca="false">(-1)^CE48*CF48</f>
        <v>0</v>
      </c>
      <c r="CM48" s="1" t="n">
        <f aca="false">$V48</f>
        <v>38</v>
      </c>
      <c r="CN48" s="1" t="n">
        <f aca="false">BZ48</f>
        <v>0</v>
      </c>
      <c r="CO48" s="1" t="n">
        <f aca="false">CO$6*(1+CO$5*(-1)^$BU48)*EXP(-$BU48/CO$4)</f>
        <v>6.45280397168297E-011</v>
      </c>
      <c r="CP48" s="1" t="n">
        <f aca="false">(CN48-CO48)^2</f>
        <v>4.16386790969675E-021</v>
      </c>
      <c r="CQ48" s="1" t="n">
        <f aca="false">EXP($BU48/CM48)*CN48</f>
        <v>0</v>
      </c>
      <c r="CR48" s="1" t="n">
        <f aca="false">EXP($BU48/CM48)*(-1)^$BU48*CN48</f>
        <v>0</v>
      </c>
      <c r="CS48" s="1" t="n">
        <f aca="false">(-1)^CM48*CN48</f>
        <v>0</v>
      </c>
      <c r="CU48" s="1" t="n">
        <f aca="false">$V48</f>
        <v>38</v>
      </c>
      <c r="CV48" s="1" t="n">
        <f aca="false">CB48</f>
        <v>0</v>
      </c>
      <c r="CW48" s="1" t="n">
        <f aca="false">CW$6*(1+CW$5*(-1)^$BU48)*EXP(-$BU48/CW$4)</f>
        <v>0.000173923925725878</v>
      </c>
      <c r="CX48" s="1" t="n">
        <f aca="false">(CV48-CW48)^2</f>
        <v>3.02495319399007E-008</v>
      </c>
      <c r="CY48" s="1" t="n">
        <f aca="false">EXP($BU48/CU48)*CV48</f>
        <v>0</v>
      </c>
      <c r="CZ48" s="1" t="n">
        <f aca="false">EXP($BU48/CU48)*(-1)^$BU48*CV48</f>
        <v>0</v>
      </c>
      <c r="DA48" s="1" t="n">
        <f aca="false">(-1)^CU48*CV48</f>
        <v>0</v>
      </c>
      <c r="DB48" s="1" t="n">
        <v>0</v>
      </c>
    </row>
    <row r="49" customFormat="false" ht="16" hidden="false" customHeight="false" outlineLevel="0" collapsed="false">
      <c r="C49" s="1" t="n">
        <f aca="false">B49-A49</f>
        <v>0</v>
      </c>
      <c r="D49" s="1" t="n">
        <v>2</v>
      </c>
      <c r="E49" s="1" t="n">
        <v>2</v>
      </c>
      <c r="F49" s="1" t="n">
        <f aca="false">E49-D49</f>
        <v>0</v>
      </c>
      <c r="G49" s="1" t="n">
        <v>3</v>
      </c>
      <c r="H49" s="1" t="n">
        <v>5</v>
      </c>
      <c r="I49" s="1" t="n">
        <f aca="false">H49-G49</f>
        <v>2</v>
      </c>
      <c r="M49" s="1" t="n">
        <v>2</v>
      </c>
      <c r="N49" s="1" t="n">
        <v>6</v>
      </c>
      <c r="O49" s="1" t="n">
        <f aca="false">N49-M49</f>
        <v>4</v>
      </c>
      <c r="P49" s="1" t="n">
        <f aca="false">O49/M49</f>
        <v>2</v>
      </c>
      <c r="R49" s="1" t="s">
        <v>52</v>
      </c>
      <c r="S49" s="1" t="e">
        <f aca="false">COUNTIFS(#REF!,2,#REF!,0)</f>
        <v>#VALUE!</v>
      </c>
      <c r="V49" s="1" t="n">
        <v>39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K49" s="1" t="n">
        <f aca="false">V49</f>
        <v>39</v>
      </c>
      <c r="AN49" s="1" t="n">
        <f aca="false">MAX(AN48-W49/W$9*100,0)</f>
        <v>0</v>
      </c>
      <c r="AO49" s="1" t="n">
        <f aca="false">MAX(AO48-X49/X$9*100,0)</f>
        <v>0</v>
      </c>
      <c r="AP49" s="1" t="n">
        <f aca="false">MAX(AP48-Z49/Z$9*100,0)</f>
        <v>0</v>
      </c>
      <c r="AQ49" s="1" t="n">
        <f aca="false">MAX(AQ48-AA49/AA$9*100,0)</f>
        <v>0</v>
      </c>
      <c r="AR49" s="1" t="n">
        <f aca="false">MAX(AR48-AC49/AC$9*100,0)</f>
        <v>0</v>
      </c>
      <c r="AS49" s="1" t="n">
        <f aca="false">MAX(AS48-AD49/AD$9*100,0)</f>
        <v>0</v>
      </c>
      <c r="AT49" s="1" t="n">
        <f aca="false">MAX(AT48-AF49/AF$9*100,0)</f>
        <v>0</v>
      </c>
      <c r="AU49" s="1" t="n">
        <f aca="false">MAX(AU48-AG49/AG$9*100,0)</f>
        <v>0</v>
      </c>
      <c r="AY49" s="1" t="n">
        <f aca="false">$V49</f>
        <v>39</v>
      </c>
      <c r="AZ49" s="1" t="n">
        <f aca="false">AO49</f>
        <v>0</v>
      </c>
      <c r="BA49" s="1" t="n">
        <f aca="false">BA$7*EXP(-AY49/BA$8)</f>
        <v>5.63459978388323E-016</v>
      </c>
      <c r="BB49" s="1" t="n">
        <f aca="false">(AZ49-BA49)^2</f>
        <v>3.1748714724537E-031</v>
      </c>
      <c r="BD49" s="1" t="n">
        <f aca="false">$V49</f>
        <v>39</v>
      </c>
      <c r="BE49" s="1" t="n">
        <f aca="false">AT49</f>
        <v>0</v>
      </c>
      <c r="BF49" s="1" t="n">
        <f aca="false">BF$7*EXP(-BD49/BF$8)</f>
        <v>4.8218777043946E-008</v>
      </c>
      <c r="BG49" s="1" t="n">
        <f aca="false">(BE49-BF49)^2</f>
        <v>2.32505045961377E-015</v>
      </c>
      <c r="BI49" s="1" t="n">
        <f aca="false">$V49</f>
        <v>39</v>
      </c>
      <c r="BJ49" s="1" t="n">
        <f aca="false">AN49</f>
        <v>0</v>
      </c>
      <c r="BK49" s="1" t="n">
        <f aca="false">BK$7*EXP(-BI49/BK$8)</f>
        <v>1.25539014673238E-018</v>
      </c>
      <c r="BL49" s="1" t="n">
        <f aca="false">(BJ49-BK49)^2</f>
        <v>1.57600442051275E-036</v>
      </c>
      <c r="BN49" s="1" t="n">
        <f aca="false">$V49</f>
        <v>39</v>
      </c>
      <c r="BO49" s="1" t="n">
        <f aca="false">AR49</f>
        <v>0</v>
      </c>
      <c r="BP49" s="1" t="n">
        <f aca="false">BP$7*EXP(-BN49/BP$8)</f>
        <v>5.97785575522405E-017</v>
      </c>
      <c r="BQ49" s="1" t="n">
        <f aca="false">(BO49-BP49)^2</f>
        <v>3.57347594302653E-033</v>
      </c>
      <c r="BU49" s="1" t="n">
        <f aca="false">V49</f>
        <v>39</v>
      </c>
      <c r="BV49" s="1" t="n">
        <f aca="false">W49/W$9*100</f>
        <v>0</v>
      </c>
      <c r="BW49" s="1" t="n">
        <f aca="false">X49/X$9*100</f>
        <v>0</v>
      </c>
      <c r="BX49" s="1" t="n">
        <f aca="false">Z49/Z$9*100</f>
        <v>0</v>
      </c>
      <c r="BY49" s="1" t="n">
        <f aca="false">AA49/AA$9*100</f>
        <v>0</v>
      </c>
      <c r="BZ49" s="1" t="n">
        <f aca="false">AC49/AC$9*100</f>
        <v>0</v>
      </c>
      <c r="CA49" s="1" t="n">
        <f aca="false">AD49/AD$9*100</f>
        <v>0</v>
      </c>
      <c r="CB49" s="1" t="n">
        <f aca="false">AF49/AF$9*100</f>
        <v>0</v>
      </c>
      <c r="CC49" s="1" t="n">
        <f aca="false">AG49/AG$9*100</f>
        <v>0</v>
      </c>
      <c r="CE49" s="1" t="n">
        <f aca="false">$V49</f>
        <v>39</v>
      </c>
      <c r="CF49" s="1" t="n">
        <f aca="false">BV49</f>
        <v>0</v>
      </c>
      <c r="CG49" s="1" t="n">
        <f aca="false">CG$6*(1+CG$5*(-1)^$BU49)*EXP(-$BU49/CG$4)</f>
        <v>1.03543158468762E-011</v>
      </c>
      <c r="CH49" s="1" t="n">
        <f aca="false">(CF49-CG49)^2</f>
        <v>1.07211856656872E-022</v>
      </c>
      <c r="CI49" s="1" t="n">
        <f aca="false">EXP($BU49/CE49)*CF49</f>
        <v>0</v>
      </c>
      <c r="CJ49" s="1" t="n">
        <f aca="false">EXP($BU49/CE49)*(-1)^$BU49*CF49</f>
        <v>-0</v>
      </c>
      <c r="CK49" s="1" t="n">
        <f aca="false">(-1)^CE49*CF49</f>
        <v>-0</v>
      </c>
      <c r="CM49" s="1" t="n">
        <f aca="false">$V49</f>
        <v>39</v>
      </c>
      <c r="CN49" s="1" t="n">
        <f aca="false">BZ49</f>
        <v>0</v>
      </c>
      <c r="CO49" s="1" t="n">
        <f aca="false">CO$6*(1+CO$5*(-1)^$BU49)*EXP(-$BU49/CO$4)</f>
        <v>1.03543158468762E-011</v>
      </c>
      <c r="CP49" s="1" t="n">
        <f aca="false">(CN49-CO49)^2</f>
        <v>1.07211856656872E-022</v>
      </c>
      <c r="CQ49" s="1" t="n">
        <f aca="false">EXP($BU49/CM49)*CN49</f>
        <v>0</v>
      </c>
      <c r="CR49" s="1" t="n">
        <f aca="false">EXP($BU49/CM49)*(-1)^$BU49*CN49</f>
        <v>-0</v>
      </c>
      <c r="CS49" s="1" t="n">
        <f aca="false">(-1)^CM49*CN49</f>
        <v>-0</v>
      </c>
      <c r="CU49" s="1" t="n">
        <f aca="false">$V49</f>
        <v>39</v>
      </c>
      <c r="CV49" s="1" t="n">
        <f aca="false">CB49</f>
        <v>0</v>
      </c>
      <c r="CW49" s="1" t="n">
        <f aca="false">CW$6*(1+CW$5*(-1)^$BU49)*EXP(-$BU49/CW$4)</f>
        <v>6.41991804087433E-005</v>
      </c>
      <c r="CX49" s="1" t="n">
        <f aca="false">(CV49-CW49)^2</f>
        <v>4.12153476515437E-009</v>
      </c>
      <c r="CY49" s="1" t="n">
        <f aca="false">EXP($BU49/CU49)*CV49</f>
        <v>0</v>
      </c>
      <c r="CZ49" s="1" t="n">
        <f aca="false">EXP($BU49/CU49)*(-1)^$BU49*CV49</f>
        <v>-0</v>
      </c>
      <c r="DA49" s="1" t="n">
        <f aca="false">(-1)^CU49*CV49</f>
        <v>-0</v>
      </c>
      <c r="DB49" s="1" t="n">
        <v>0</v>
      </c>
    </row>
    <row r="50" customFormat="false" ht="16" hidden="false" customHeight="false" outlineLevel="0" collapsed="false">
      <c r="C50" s="1" t="n">
        <f aca="false">B50-A50</f>
        <v>0</v>
      </c>
      <c r="D50" s="1" t="n">
        <v>1</v>
      </c>
      <c r="E50" s="1" t="n">
        <v>1</v>
      </c>
      <c r="F50" s="1" t="n">
        <f aca="false">E50-D50</f>
        <v>0</v>
      </c>
      <c r="G50" s="1" t="n">
        <v>1</v>
      </c>
      <c r="H50" s="1" t="n">
        <v>3</v>
      </c>
      <c r="I50" s="1" t="n">
        <f aca="false">H50-G50</f>
        <v>2</v>
      </c>
      <c r="M50" s="1" t="n">
        <v>4</v>
      </c>
      <c r="N50" s="1" t="n">
        <v>8</v>
      </c>
      <c r="O50" s="1" t="n">
        <f aca="false">N50-M50</f>
        <v>4</v>
      </c>
      <c r="P50" s="1" t="n">
        <f aca="false">O50/M50</f>
        <v>1</v>
      </c>
      <c r="V50" s="1" t="n">
        <v>40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K50" s="1" t="n">
        <f aca="false">V50</f>
        <v>40</v>
      </c>
      <c r="AN50" s="1" t="n">
        <f aca="false">MAX(AN49-W50/W$9*100,0)</f>
        <v>0</v>
      </c>
      <c r="AO50" s="1" t="n">
        <f aca="false">MAX(AO49-X50/X$9*100,0)</f>
        <v>0</v>
      </c>
      <c r="AP50" s="1" t="n">
        <f aca="false">MAX(AP49-Z50/Z$9*100,0)</f>
        <v>0</v>
      </c>
      <c r="AQ50" s="1" t="n">
        <f aca="false">MAX(AQ49-AA50/AA$9*100,0)</f>
        <v>0</v>
      </c>
      <c r="AR50" s="1" t="n">
        <f aca="false">MAX(AR49-AC50/AC$9*100,0)</f>
        <v>0</v>
      </c>
      <c r="AS50" s="1" t="n">
        <f aca="false">MAX(AS49-AD50/AD$9*100,0)</f>
        <v>0</v>
      </c>
      <c r="AT50" s="1" t="n">
        <f aca="false">MAX(AT49-AF50/AF$9*100,0)</f>
        <v>0</v>
      </c>
      <c r="AU50" s="1" t="n">
        <f aca="false">MAX(AU49-AG50/AG$9*100,0)</f>
        <v>0</v>
      </c>
      <c r="AY50" s="1" t="n">
        <f aca="false">$V50</f>
        <v>40</v>
      </c>
      <c r="AZ50" s="1" t="n">
        <f aca="false">AO50</f>
        <v>0</v>
      </c>
      <c r="BA50" s="1" t="n">
        <f aca="false">BA$7*EXP(-AY50/BA$8)</f>
        <v>2.00972578350993E-016</v>
      </c>
      <c r="BB50" s="1" t="n">
        <f aca="false">(AZ50-BA50)^2</f>
        <v>4.0389977249046E-032</v>
      </c>
      <c r="BD50" s="1" t="n">
        <f aca="false">$V50</f>
        <v>40</v>
      </c>
      <c r="BE50" s="1" t="n">
        <f aca="false">AT50</f>
        <v>0</v>
      </c>
      <c r="BF50" s="1" t="n">
        <f aca="false">BF$7*EXP(-BD50/BF$8)</f>
        <v>2.74935314667674E-008</v>
      </c>
      <c r="BG50" s="1" t="n">
        <f aca="false">(BE50-BF50)^2</f>
        <v>7.55894272514129E-016</v>
      </c>
      <c r="BI50" s="1" t="n">
        <f aca="false">$V50</f>
        <v>40</v>
      </c>
      <c r="BJ50" s="1" t="n">
        <f aca="false">AN50</f>
        <v>0</v>
      </c>
      <c r="BK50" s="1" t="n">
        <f aca="false">BK$7*EXP(-BI50/BK$8)</f>
        <v>3.81734555688525E-019</v>
      </c>
      <c r="BL50" s="1" t="n">
        <f aca="false">(BJ50-BK50)^2</f>
        <v>1.45721271006716E-037</v>
      </c>
      <c r="BN50" s="1" t="n">
        <f aca="false">$V50</f>
        <v>40</v>
      </c>
      <c r="BO50" s="1" t="n">
        <f aca="false">AR50</f>
        <v>0</v>
      </c>
      <c r="BP50" s="1" t="n">
        <f aca="false">BP$7*EXP(-BN50/BP$8)</f>
        <v>1.99204317953237E-017</v>
      </c>
      <c r="BQ50" s="1" t="n">
        <f aca="false">(BO50-BP50)^2</f>
        <v>3.96823602912143E-034</v>
      </c>
      <c r="BU50" s="1" t="n">
        <f aca="false">V50</f>
        <v>40</v>
      </c>
      <c r="BV50" s="1" t="n">
        <f aca="false">W50/W$9*100</f>
        <v>0</v>
      </c>
      <c r="BW50" s="1" t="n">
        <f aca="false">X50/X$9*100</f>
        <v>0</v>
      </c>
      <c r="BX50" s="1" t="n">
        <f aca="false">Z50/Z$9*100</f>
        <v>0</v>
      </c>
      <c r="BY50" s="1" t="n">
        <f aca="false">AA50/AA$9*100</f>
        <v>0</v>
      </c>
      <c r="BZ50" s="1" t="n">
        <f aca="false">AC50/AC$9*100</f>
        <v>0</v>
      </c>
      <c r="CA50" s="1" t="n">
        <f aca="false">AD50/AD$9*100</f>
        <v>0</v>
      </c>
      <c r="CB50" s="1" t="n">
        <f aca="false">AF50/AF$9*100</f>
        <v>0</v>
      </c>
      <c r="CC50" s="1" t="n">
        <f aca="false">AG50/AG$9*100</f>
        <v>0</v>
      </c>
      <c r="CE50" s="1" t="n">
        <f aca="false">$V50</f>
        <v>40</v>
      </c>
      <c r="CF50" s="1" t="n">
        <f aca="false">BV50</f>
        <v>0</v>
      </c>
      <c r="CG50" s="1" t="n">
        <f aca="false">CG$6*(1+CG$5*(-1)^$BU50)*EXP(-$BU50/CG$4)</f>
        <v>1.41816423854548E-011</v>
      </c>
      <c r="CH50" s="1" t="n">
        <f aca="false">(CF50-CG50)^2</f>
        <v>2.01118980748928E-022</v>
      </c>
      <c r="CI50" s="1" t="n">
        <f aca="false">EXP($BU50/CE50)*CF50</f>
        <v>0</v>
      </c>
      <c r="CJ50" s="1" t="n">
        <f aca="false">EXP($BU50/CE50)*(-1)^$BU50*CF50</f>
        <v>0</v>
      </c>
      <c r="CK50" s="1" t="n">
        <f aca="false">(-1)^CE50*CF50</f>
        <v>0</v>
      </c>
      <c r="CM50" s="1" t="n">
        <f aca="false">$V50</f>
        <v>40</v>
      </c>
      <c r="CN50" s="1" t="n">
        <f aca="false">BZ50</f>
        <v>0</v>
      </c>
      <c r="CO50" s="1" t="n">
        <f aca="false">CO$6*(1+CO$5*(-1)^$BU50)*EXP(-$BU50/CO$4)</f>
        <v>1.41816423854548E-011</v>
      </c>
      <c r="CP50" s="1" t="n">
        <f aca="false">(CN50-CO50)^2</f>
        <v>2.01118980748928E-022</v>
      </c>
      <c r="CQ50" s="1" t="n">
        <f aca="false">EXP($BU50/CM50)*CN50</f>
        <v>0</v>
      </c>
      <c r="CR50" s="1" t="n">
        <f aca="false">EXP($BU50/CM50)*(-1)^$BU50*CN50</f>
        <v>0</v>
      </c>
      <c r="CS50" s="1" t="n">
        <f aca="false">(-1)^CM50*CN50</f>
        <v>0</v>
      </c>
      <c r="CU50" s="1" t="n">
        <f aca="false">$V50</f>
        <v>40</v>
      </c>
      <c r="CV50" s="1" t="n">
        <f aca="false">CB50</f>
        <v>0</v>
      </c>
      <c r="CW50" s="1" t="n">
        <f aca="false">CW$6*(1+CW$5*(-1)^$BU50)*EXP(-$BU50/CW$4)</f>
        <v>8.92955208770187E-005</v>
      </c>
      <c r="CX50" s="1" t="n">
        <f aca="false">(CV50-CW50)^2</f>
        <v>7.97369004869808E-009</v>
      </c>
      <c r="CY50" s="1" t="n">
        <f aca="false">EXP($BU50/CU50)*CV50</f>
        <v>0</v>
      </c>
      <c r="CZ50" s="1" t="n">
        <f aca="false">EXP($BU50/CU50)*(-1)^$BU50*CV50</f>
        <v>0</v>
      </c>
      <c r="DA50" s="1" t="n">
        <f aca="false">(-1)^CU50*CV50</f>
        <v>0</v>
      </c>
      <c r="DB50" s="1" t="n">
        <v>0</v>
      </c>
    </row>
    <row r="51" customFormat="false" ht="16" hidden="false" customHeight="false" outlineLevel="0" collapsed="false">
      <c r="C51" s="1" t="n">
        <f aca="false">B51-A51</f>
        <v>0</v>
      </c>
      <c r="D51" s="1" t="n">
        <v>1</v>
      </c>
      <c r="E51" s="1" t="n">
        <v>1</v>
      </c>
      <c r="F51" s="1" t="n">
        <f aca="false">E51-D51</f>
        <v>0</v>
      </c>
      <c r="G51" s="1" t="n">
        <v>1</v>
      </c>
      <c r="H51" s="1" t="n">
        <v>4</v>
      </c>
      <c r="I51" s="1" t="n">
        <f aca="false">H51-G51</f>
        <v>3</v>
      </c>
      <c r="M51" s="1" t="n">
        <v>4</v>
      </c>
      <c r="N51" s="1" t="n">
        <v>8</v>
      </c>
      <c r="O51" s="1" t="n">
        <f aca="false">N51-M51</f>
        <v>4</v>
      </c>
      <c r="P51" s="1" t="n">
        <f aca="false">O51/M51</f>
        <v>1</v>
      </c>
      <c r="R51" s="1" t="s">
        <v>78</v>
      </c>
      <c r="V51" s="1" t="n">
        <v>41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K51" s="1" t="n">
        <f aca="false">V51</f>
        <v>41</v>
      </c>
      <c r="AN51" s="1" t="n">
        <f aca="false">MAX(AN50-W51/W$9*100,0)</f>
        <v>0</v>
      </c>
      <c r="AO51" s="1" t="n">
        <f aca="false">MAX(AO50-X51/X$9*100,0)</f>
        <v>0</v>
      </c>
      <c r="AP51" s="1" t="n">
        <f aca="false">MAX(AP50-Z51/Z$9*100,0)</f>
        <v>0</v>
      </c>
      <c r="AQ51" s="1" t="n">
        <f aca="false">MAX(AQ50-AA51/AA$9*100,0)</f>
        <v>0</v>
      </c>
      <c r="AR51" s="1" t="n">
        <f aca="false">MAX(AR50-AC51/AC$9*100,0)</f>
        <v>0</v>
      </c>
      <c r="AS51" s="1" t="n">
        <f aca="false">MAX(AS50-AD51/AD$9*100,0)</f>
        <v>0</v>
      </c>
      <c r="AT51" s="1" t="n">
        <f aca="false">MAX(AT50-AF51/AF$9*100,0)</f>
        <v>0</v>
      </c>
      <c r="AU51" s="1" t="n">
        <f aca="false">MAX(AU50-AG51/AG$9*100,0)</f>
        <v>0</v>
      </c>
      <c r="AY51" s="1" t="n">
        <f aca="false">$V51</f>
        <v>41</v>
      </c>
      <c r="AZ51" s="1" t="n">
        <f aca="false">AO51</f>
        <v>0</v>
      </c>
      <c r="BA51" s="1" t="n">
        <f aca="false">BA$7*EXP(-AY51/BA$8)</f>
        <v>7.16820693540202E-017</v>
      </c>
      <c r="BB51" s="1" t="n">
        <f aca="false">(AZ51-BA51)^2</f>
        <v>5.13831906687456E-033</v>
      </c>
      <c r="BD51" s="1" t="n">
        <f aca="false">$V51</f>
        <v>41</v>
      </c>
      <c r="BE51" s="1" t="n">
        <f aca="false">AT51</f>
        <v>0</v>
      </c>
      <c r="BF51" s="1" t="n">
        <f aca="false">BF$7*EXP(-BD51/BF$8)</f>
        <v>1.56763468269885E-008</v>
      </c>
      <c r="BG51" s="1" t="n">
        <f aca="false">(BE51-BF51)^2</f>
        <v>2.45747849840032E-016</v>
      </c>
      <c r="BI51" s="1" t="n">
        <f aca="false">$V51</f>
        <v>41</v>
      </c>
      <c r="BJ51" s="1" t="n">
        <f aca="false">AN51</f>
        <v>0</v>
      </c>
      <c r="BK51" s="1" t="n">
        <f aca="false">BK$7*EXP(-BI51/BK$8)</f>
        <v>1.16076481391868E-019</v>
      </c>
      <c r="BL51" s="1" t="n">
        <f aca="false">(BJ51-BK51)^2</f>
        <v>1.34737495323167E-038</v>
      </c>
      <c r="BN51" s="1" t="n">
        <f aca="false">$V51</f>
        <v>41</v>
      </c>
      <c r="BO51" s="1" t="n">
        <f aca="false">AR51</f>
        <v>0</v>
      </c>
      <c r="BP51" s="1" t="n">
        <f aca="false">BP$7*EXP(-BN51/BP$8)</f>
        <v>6.6382264671636E-018</v>
      </c>
      <c r="BQ51" s="1" t="n">
        <f aca="false">(BO51-BP51)^2</f>
        <v>4.40660506293513E-035</v>
      </c>
      <c r="BU51" s="1" t="n">
        <f aca="false">V51</f>
        <v>41</v>
      </c>
      <c r="BV51" s="1" t="n">
        <f aca="false">W51/W$9*100</f>
        <v>0</v>
      </c>
      <c r="BW51" s="1" t="n">
        <f aca="false">X51/X$9*100</f>
        <v>0</v>
      </c>
      <c r="BX51" s="1" t="n">
        <f aca="false">Z51/Z$9*100</f>
        <v>0</v>
      </c>
      <c r="BY51" s="1" t="n">
        <f aca="false">AA51/AA$9*100</f>
        <v>0</v>
      </c>
      <c r="BZ51" s="1" t="n">
        <f aca="false">AC51/AC$9*100</f>
        <v>0</v>
      </c>
      <c r="CA51" s="1" t="n">
        <f aca="false">AD51/AD$9*100</f>
        <v>0</v>
      </c>
      <c r="CB51" s="1" t="n">
        <f aca="false">AF51/AF$9*100</f>
        <v>0</v>
      </c>
      <c r="CC51" s="1" t="n">
        <f aca="false">AG51/AG$9*100</f>
        <v>0</v>
      </c>
      <c r="CE51" s="1" t="n">
        <f aca="false">$V51</f>
        <v>41</v>
      </c>
      <c r="CF51" s="1" t="n">
        <f aca="false">BV51</f>
        <v>0</v>
      </c>
      <c r="CG51" s="1" t="n">
        <f aca="false">CG$6*(1+CG$5*(-1)^$BU51)*EXP(-$BU51/CG$4)</f>
        <v>2.27561855483032E-012</v>
      </c>
      <c r="CH51" s="1" t="n">
        <f aca="false">(CF51-CG51)^2</f>
        <v>5.17843980708803E-024</v>
      </c>
      <c r="CI51" s="1" t="n">
        <f aca="false">EXP($BU51/CE51)*CF51</f>
        <v>0</v>
      </c>
      <c r="CJ51" s="1" t="n">
        <f aca="false">EXP($BU51/CE51)*(-1)^$BU51*CF51</f>
        <v>-0</v>
      </c>
      <c r="CK51" s="1" t="n">
        <f aca="false">(-1)^CE51*CF51</f>
        <v>-0</v>
      </c>
      <c r="CM51" s="1" t="n">
        <f aca="false">$V51</f>
        <v>41</v>
      </c>
      <c r="CN51" s="1" t="n">
        <f aca="false">BZ51</f>
        <v>0</v>
      </c>
      <c r="CO51" s="1" t="n">
        <f aca="false">CO$6*(1+CO$5*(-1)^$BU51)*EXP(-$BU51/CO$4)</f>
        <v>2.27561855483032E-012</v>
      </c>
      <c r="CP51" s="1" t="n">
        <f aca="false">(CN51-CO51)^2</f>
        <v>5.17843980708803E-024</v>
      </c>
      <c r="CQ51" s="1" t="n">
        <f aca="false">EXP($BU51/CM51)*CN51</f>
        <v>0</v>
      </c>
      <c r="CR51" s="1" t="n">
        <f aca="false">EXP($BU51/CM51)*(-1)^$BU51*CN51</f>
        <v>-0</v>
      </c>
      <c r="CS51" s="1" t="n">
        <f aca="false">(-1)^CM51*CN51</f>
        <v>-0</v>
      </c>
      <c r="CU51" s="1" t="n">
        <f aca="false">$V51</f>
        <v>41</v>
      </c>
      <c r="CV51" s="1" t="n">
        <f aca="false">CB51</f>
        <v>0</v>
      </c>
      <c r="CW51" s="1" t="n">
        <f aca="false">CW$6*(1+CW$5*(-1)^$BU51)*EXP(-$BU51/CW$4)</f>
        <v>3.29609582497106E-005</v>
      </c>
      <c r="CX51" s="1" t="n">
        <f aca="false">(CV51-CW51)^2</f>
        <v>1.08642476873917E-009</v>
      </c>
      <c r="CY51" s="1" t="n">
        <f aca="false">EXP($BU51/CU51)*CV51</f>
        <v>0</v>
      </c>
      <c r="CZ51" s="1" t="n">
        <f aca="false">EXP($BU51/CU51)*(-1)^$BU51*CV51</f>
        <v>-0</v>
      </c>
      <c r="DA51" s="1" t="n">
        <f aca="false">(-1)^CU51*CV51</f>
        <v>-0</v>
      </c>
      <c r="DB51" s="1" t="n">
        <v>0</v>
      </c>
    </row>
    <row r="52" customFormat="false" ht="16" hidden="false" customHeight="false" outlineLevel="0" collapsed="false">
      <c r="C52" s="1" t="n">
        <f aca="false">B52-A52</f>
        <v>0</v>
      </c>
      <c r="D52" s="1" t="n">
        <v>2</v>
      </c>
      <c r="E52" s="1" t="n">
        <v>2</v>
      </c>
      <c r="F52" s="1" t="n">
        <f aca="false">E52-D52</f>
        <v>0</v>
      </c>
      <c r="G52" s="1" t="n">
        <v>1</v>
      </c>
      <c r="H52" s="1" t="n">
        <v>2</v>
      </c>
      <c r="I52" s="1" t="n">
        <f aca="false">H52-G52</f>
        <v>1</v>
      </c>
      <c r="M52" s="1" t="n">
        <v>2</v>
      </c>
      <c r="N52" s="1" t="n">
        <v>2</v>
      </c>
      <c r="O52" s="1" t="n">
        <f aca="false">N52-M52</f>
        <v>0</v>
      </c>
      <c r="P52" s="1" t="n">
        <f aca="false">O52/M52</f>
        <v>0</v>
      </c>
      <c r="R52" s="1" t="s">
        <v>41</v>
      </c>
      <c r="S52" s="1" t="e">
        <f aca="false">COUNTIFS(#REF!,2,#REF!,2)</f>
        <v>#VALUE!</v>
      </c>
      <c r="V52" s="1" t="n">
        <v>42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K52" s="1" t="n">
        <f aca="false">V52</f>
        <v>42</v>
      </c>
      <c r="AN52" s="1" t="n">
        <f aca="false">MAX(AN51-W52/W$9*100,0)</f>
        <v>0</v>
      </c>
      <c r="AO52" s="1" t="n">
        <f aca="false">MAX(AO51-X52/X$9*100,0)</f>
        <v>0</v>
      </c>
      <c r="AP52" s="1" t="n">
        <f aca="false">MAX(AP51-Z52/Z$9*100,0)</f>
        <v>0</v>
      </c>
      <c r="AQ52" s="1" t="n">
        <f aca="false">MAX(AQ51-AA52/AA$9*100,0)</f>
        <v>0</v>
      </c>
      <c r="AR52" s="1" t="n">
        <f aca="false">MAX(AR51-AC52/AC$9*100,0)</f>
        <v>0</v>
      </c>
      <c r="AS52" s="1" t="n">
        <f aca="false">MAX(AS51-AD52/AD$9*100,0)</f>
        <v>0</v>
      </c>
      <c r="AT52" s="1" t="n">
        <f aca="false">MAX(AT51-AF52/AF$9*100,0)</f>
        <v>0</v>
      </c>
      <c r="AU52" s="1" t="n">
        <f aca="false">MAX(AU51-AG52/AG$9*100,0)</f>
        <v>0</v>
      </c>
      <c r="AY52" s="1" t="n">
        <f aca="false">$V52</f>
        <v>42</v>
      </c>
      <c r="AZ52" s="1" t="n">
        <f aca="false">AO52</f>
        <v>0</v>
      </c>
      <c r="BA52" s="1" t="n">
        <f aca="false">BA$7*EXP(-AY52/BA$8)</f>
        <v>2.55672644946645E-017</v>
      </c>
      <c r="BB52" s="1" t="n">
        <f aca="false">(AZ52-BA52)^2</f>
        <v>6.53685013740132E-034</v>
      </c>
      <c r="BD52" s="1" t="n">
        <f aca="false">$V52</f>
        <v>42</v>
      </c>
      <c r="BE52" s="1" t="n">
        <f aca="false">AT52</f>
        <v>0</v>
      </c>
      <c r="BF52" s="1" t="n">
        <f aca="false">BF$7*EXP(-BD52/BF$8)</f>
        <v>8.93838793088761E-009</v>
      </c>
      <c r="BG52" s="1" t="n">
        <f aca="false">(BE52-BF52)^2</f>
        <v>7.98947788030373E-017</v>
      </c>
      <c r="BI52" s="1" t="n">
        <f aca="false">$V52</f>
        <v>42</v>
      </c>
      <c r="BJ52" s="1" t="n">
        <f aca="false">AN52</f>
        <v>0</v>
      </c>
      <c r="BK52" s="1" t="n">
        <f aca="false">BK$7*EXP(-BI52/BK$8)</f>
        <v>3.52961222177397E-020</v>
      </c>
      <c r="BL52" s="1" t="n">
        <f aca="false">(BJ52-BK52)^2</f>
        <v>1.24581624360962E-039</v>
      </c>
      <c r="BN52" s="1" t="n">
        <f aca="false">$V52</f>
        <v>42</v>
      </c>
      <c r="BO52" s="1" t="n">
        <f aca="false">AR52</f>
        <v>0</v>
      </c>
      <c r="BP52" s="1" t="n">
        <f aca="false">BP$7*EXP(-BN52/BP$8)</f>
        <v>2.21210318541868E-018</v>
      </c>
      <c r="BQ52" s="1" t="n">
        <f aca="false">(BO52-BP52)^2</f>
        <v>4.89340050293947E-036</v>
      </c>
      <c r="BU52" s="1" t="n">
        <f aca="false">V52</f>
        <v>42</v>
      </c>
      <c r="BV52" s="1" t="n">
        <f aca="false">W52/W$9*100</f>
        <v>0</v>
      </c>
      <c r="BW52" s="1" t="n">
        <f aca="false">X52/X$9*100</f>
        <v>0</v>
      </c>
      <c r="BX52" s="1" t="n">
        <f aca="false">Z52/Z$9*100</f>
        <v>0</v>
      </c>
      <c r="BY52" s="1" t="n">
        <f aca="false">AA52/AA$9*100</f>
        <v>0</v>
      </c>
      <c r="BZ52" s="1" t="n">
        <f aca="false">AC52/AC$9*100</f>
        <v>0</v>
      </c>
      <c r="CA52" s="1" t="n">
        <f aca="false">AD52/AD$9*100</f>
        <v>0</v>
      </c>
      <c r="CB52" s="1" t="n">
        <f aca="false">AF52/AF$9*100</f>
        <v>0</v>
      </c>
      <c r="CC52" s="1" t="n">
        <f aca="false">AG52/AG$9*100</f>
        <v>0</v>
      </c>
      <c r="CE52" s="1" t="n">
        <f aca="false">$V52</f>
        <v>42</v>
      </c>
      <c r="CF52" s="1" t="n">
        <f aca="false">BV52</f>
        <v>0</v>
      </c>
      <c r="CG52" s="1" t="n">
        <f aca="false">CG$6*(1+CG$5*(-1)^$BU52)*EXP(-$BU52/CG$4)</f>
        <v>3.11676879743292E-012</v>
      </c>
      <c r="CH52" s="1" t="n">
        <f aca="false">(CF52-CG52)^2</f>
        <v>9.71424773665145E-024</v>
      </c>
      <c r="CI52" s="1" t="n">
        <f aca="false">EXP($BU52/CE52)*CF52</f>
        <v>0</v>
      </c>
      <c r="CJ52" s="1" t="n">
        <f aca="false">EXP($BU52/CE52)*(-1)^$BU52*CF52</f>
        <v>0</v>
      </c>
      <c r="CK52" s="1" t="n">
        <f aca="false">(-1)^CE52*CF52</f>
        <v>0</v>
      </c>
      <c r="CM52" s="1" t="n">
        <f aca="false">$V52</f>
        <v>42</v>
      </c>
      <c r="CN52" s="1" t="n">
        <f aca="false">BZ52</f>
        <v>0</v>
      </c>
      <c r="CO52" s="1" t="n">
        <f aca="false">CO$6*(1+CO$5*(-1)^$BU52)*EXP(-$BU52/CO$4)</f>
        <v>3.11676879743292E-012</v>
      </c>
      <c r="CP52" s="1" t="n">
        <f aca="false">(CN52-CO52)^2</f>
        <v>9.71424773665145E-024</v>
      </c>
      <c r="CQ52" s="1" t="n">
        <f aca="false">EXP($BU52/CM52)*CN52</f>
        <v>0</v>
      </c>
      <c r="CR52" s="1" t="n">
        <f aca="false">EXP($BU52/CM52)*(-1)^$BU52*CN52</f>
        <v>0</v>
      </c>
      <c r="CS52" s="1" t="n">
        <f aca="false">(-1)^CM52*CN52</f>
        <v>0</v>
      </c>
      <c r="CU52" s="1" t="n">
        <f aca="false">$V52</f>
        <v>42</v>
      </c>
      <c r="CV52" s="1" t="n">
        <f aca="false">CB52</f>
        <v>0</v>
      </c>
      <c r="CW52" s="1" t="n">
        <f aca="false">CW$6*(1+CW$5*(-1)^$BU52)*EXP(-$BU52/CW$4)</f>
        <v>4.58458490711937E-005</v>
      </c>
      <c r="CX52" s="1" t="n">
        <f aca="false">(CV52-CW52)^2</f>
        <v>2.10184187705867E-009</v>
      </c>
      <c r="CY52" s="1" t="n">
        <f aca="false">EXP($BU52/CU52)*CV52</f>
        <v>0</v>
      </c>
      <c r="CZ52" s="1" t="n">
        <f aca="false">EXP($BU52/CU52)*(-1)^$BU52*CV52</f>
        <v>0</v>
      </c>
      <c r="DA52" s="1" t="n">
        <f aca="false">(-1)^CU52*CV52</f>
        <v>0</v>
      </c>
      <c r="DB52" s="1" t="n">
        <v>0</v>
      </c>
    </row>
    <row r="53" customFormat="false" ht="16" hidden="false" customHeight="false" outlineLevel="0" collapsed="false">
      <c r="C53" s="1" t="n">
        <f aca="false">B53-A53</f>
        <v>0</v>
      </c>
      <c r="D53" s="1" t="n">
        <v>2</v>
      </c>
      <c r="E53" s="1" t="n">
        <v>2</v>
      </c>
      <c r="F53" s="1" t="n">
        <f aca="false">E53-D53</f>
        <v>0</v>
      </c>
      <c r="G53" s="1" t="n">
        <v>3</v>
      </c>
      <c r="H53" s="1" t="n">
        <v>5</v>
      </c>
      <c r="I53" s="1" t="n">
        <f aca="false">H53-G53</f>
        <v>2</v>
      </c>
      <c r="M53" s="1" t="n">
        <v>4</v>
      </c>
      <c r="N53" s="1" t="n">
        <v>18</v>
      </c>
      <c r="O53" s="1" t="n">
        <f aca="false">N53-M53</f>
        <v>14</v>
      </c>
      <c r="P53" s="1" t="n">
        <f aca="false">O53/M53</f>
        <v>3.5</v>
      </c>
      <c r="R53" s="1" t="s">
        <v>48</v>
      </c>
      <c r="S53" s="1" t="e">
        <f aca="false">COUNTIFS(#REF!,2,#REF!,1)</f>
        <v>#VALUE!</v>
      </c>
      <c r="V53" s="1" t="n">
        <v>43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K53" s="1" t="n">
        <f aca="false">V53</f>
        <v>43</v>
      </c>
      <c r="AN53" s="1" t="n">
        <f aca="false">MAX(AN52-W53/W$9*100,0)</f>
        <v>0</v>
      </c>
      <c r="AO53" s="1" t="n">
        <f aca="false">MAX(AO52-X53/X$9*100,0)</f>
        <v>0</v>
      </c>
      <c r="AP53" s="1" t="n">
        <f aca="false">MAX(AP52-Z53/Z$9*100,0)</f>
        <v>0</v>
      </c>
      <c r="AQ53" s="1" t="n">
        <f aca="false">MAX(AQ52-AA53/AA$9*100,0)</f>
        <v>0</v>
      </c>
      <c r="AR53" s="1" t="n">
        <f aca="false">MAX(AR52-AC53/AC$9*100,0)</f>
        <v>0</v>
      </c>
      <c r="AS53" s="1" t="n">
        <f aca="false">MAX(AS52-AD53/AD$9*100,0)</f>
        <v>0</v>
      </c>
      <c r="AT53" s="1" t="n">
        <f aca="false">MAX(AT52-AF53/AF$9*100,0)</f>
        <v>0</v>
      </c>
      <c r="AU53" s="1" t="n">
        <f aca="false">MAX(AU52-AG53/AG$9*100,0)</f>
        <v>0</v>
      </c>
      <c r="AY53" s="1" t="n">
        <f aca="false">$V53</f>
        <v>43</v>
      </c>
      <c r="AZ53" s="1" t="n">
        <f aca="false">AO53</f>
        <v>0</v>
      </c>
      <c r="BA53" s="1" t="n">
        <f aca="false">BA$7*EXP(-AY53/BA$8)</f>
        <v>9.11922632299781E-018</v>
      </c>
      <c r="BB53" s="1" t="n">
        <f aca="false">(AZ53-BA53)^2</f>
        <v>8.31602887300562E-035</v>
      </c>
      <c r="BD53" s="1" t="n">
        <f aca="false">$V53</f>
        <v>43</v>
      </c>
      <c r="BE53" s="1" t="n">
        <f aca="false">AT53</f>
        <v>0</v>
      </c>
      <c r="BF53" s="1" t="n">
        <f aca="false">BF$7*EXP(-BD53/BF$8)</f>
        <v>5.09651768264593E-009</v>
      </c>
      <c r="BG53" s="1" t="n">
        <f aca="false">(BE53-BF53)^2</f>
        <v>2.59744924895226E-017</v>
      </c>
      <c r="BI53" s="1" t="n">
        <f aca="false">$V53</f>
        <v>43</v>
      </c>
      <c r="BJ53" s="1" t="n">
        <f aca="false">AN53</f>
        <v>0</v>
      </c>
      <c r="BK53" s="1" t="n">
        <f aca="false">BK$7*EXP(-BI53/BK$8)</f>
        <v>1.07327188821636E-020</v>
      </c>
      <c r="BL53" s="1" t="n">
        <f aca="false">(BJ53-BK53)^2</f>
        <v>1.15191254603551E-040</v>
      </c>
      <c r="BN53" s="1" t="n">
        <f aca="false">$V53</f>
        <v>43</v>
      </c>
      <c r="BO53" s="1" t="n">
        <f aca="false">AR53</f>
        <v>0</v>
      </c>
      <c r="BP53" s="1" t="n">
        <f aca="false">BP$7*EXP(-BN53/BP$8)</f>
        <v>7.37154799876894E-019</v>
      </c>
      <c r="BQ53" s="1" t="n">
        <f aca="false">(BO53-BP53)^2</f>
        <v>5.43397198981544E-037</v>
      </c>
      <c r="BU53" s="1" t="n">
        <f aca="false">V53</f>
        <v>43</v>
      </c>
      <c r="BV53" s="1" t="n">
        <f aca="false">W53/W$9*100</f>
        <v>0</v>
      </c>
      <c r="BW53" s="1" t="n">
        <f aca="false">X53/X$9*100</f>
        <v>0</v>
      </c>
      <c r="BX53" s="1" t="n">
        <f aca="false">Z53/Z$9*100</f>
        <v>0</v>
      </c>
      <c r="BY53" s="1" t="n">
        <f aca="false">AA53/AA$9*100</f>
        <v>0</v>
      </c>
      <c r="BZ53" s="1" t="n">
        <f aca="false">AC53/AC$9*100</f>
        <v>0</v>
      </c>
      <c r="CA53" s="1" t="n">
        <f aca="false">AD53/AD$9*100</f>
        <v>0</v>
      </c>
      <c r="CB53" s="1" t="n">
        <f aca="false">AF53/AF$9*100</f>
        <v>0</v>
      </c>
      <c r="CC53" s="1" t="n">
        <f aca="false">AG53/AG$9*100</f>
        <v>0</v>
      </c>
      <c r="CE53" s="1" t="n">
        <f aca="false">$V53</f>
        <v>43</v>
      </c>
      <c r="CF53" s="1" t="n">
        <f aca="false">BV53</f>
        <v>0</v>
      </c>
      <c r="CG53" s="1" t="n">
        <f aca="false">CG$6*(1+CG$5*(-1)^$BU53)*EXP(-$BU53/CG$4)</f>
        <v>5.00123801868602E-013</v>
      </c>
      <c r="CH53" s="1" t="n">
        <f aca="false">(CF53-CG53)^2</f>
        <v>2.50123817195505E-025</v>
      </c>
      <c r="CI53" s="1" t="n">
        <f aca="false">EXP($BU53/CE53)*CF53</f>
        <v>0</v>
      </c>
      <c r="CJ53" s="1" t="n">
        <f aca="false">EXP($BU53/CE53)*(-1)^$BU53*CF53</f>
        <v>-0</v>
      </c>
      <c r="CK53" s="1" t="n">
        <f aca="false">(-1)^CE53*CF53</f>
        <v>-0</v>
      </c>
      <c r="CM53" s="1" t="n">
        <f aca="false">$V53</f>
        <v>43</v>
      </c>
      <c r="CN53" s="1" t="n">
        <f aca="false">BZ53</f>
        <v>0</v>
      </c>
      <c r="CO53" s="1" t="n">
        <f aca="false">CO$6*(1+CO$5*(-1)^$BU53)*EXP(-$BU53/CO$4)</f>
        <v>5.00123801868602E-013</v>
      </c>
      <c r="CP53" s="1" t="n">
        <f aca="false">(CN53-CO53)^2</f>
        <v>2.50123817195505E-025</v>
      </c>
      <c r="CQ53" s="1" t="n">
        <f aca="false">EXP($BU53/CM53)*CN53</f>
        <v>0</v>
      </c>
      <c r="CR53" s="1" t="n">
        <f aca="false">EXP($BU53/CM53)*(-1)^$BU53*CN53</f>
        <v>-0</v>
      </c>
      <c r="CS53" s="1" t="n">
        <f aca="false">(-1)^CM53*CN53</f>
        <v>-0</v>
      </c>
      <c r="CU53" s="1" t="n">
        <f aca="false">$V53</f>
        <v>43</v>
      </c>
      <c r="CV53" s="1" t="n">
        <f aca="false">CB53</f>
        <v>0</v>
      </c>
      <c r="CW53" s="1" t="n">
        <f aca="false">CW$6*(1+CW$5*(-1)^$BU53)*EXP(-$BU53/CW$4)</f>
        <v>1.692272022512E-005</v>
      </c>
      <c r="CX53" s="1" t="n">
        <f aca="false">(CV53-CW53)^2</f>
        <v>2.86378459817686E-010</v>
      </c>
      <c r="CY53" s="1" t="n">
        <f aca="false">EXP($BU53/CU53)*CV53</f>
        <v>0</v>
      </c>
      <c r="CZ53" s="1" t="n">
        <f aca="false">EXP($BU53/CU53)*(-1)^$BU53*CV53</f>
        <v>-0</v>
      </c>
      <c r="DA53" s="1" t="n">
        <f aca="false">(-1)^CU53*CV53</f>
        <v>-0</v>
      </c>
      <c r="DB53" s="1" t="n">
        <v>0</v>
      </c>
    </row>
    <row r="54" customFormat="false" ht="16" hidden="false" customHeight="false" outlineLevel="0" collapsed="false">
      <c r="C54" s="1" t="n">
        <f aca="false">B54-A54</f>
        <v>0</v>
      </c>
      <c r="D54" s="1" t="n">
        <v>1</v>
      </c>
      <c r="E54" s="1" t="n">
        <v>1</v>
      </c>
      <c r="F54" s="1" t="n">
        <f aca="false">E54-D54</f>
        <v>0</v>
      </c>
      <c r="G54" s="1" t="n">
        <v>2</v>
      </c>
      <c r="H54" s="1" t="n">
        <v>5</v>
      </c>
      <c r="I54" s="1" t="n">
        <f aca="false">H54-G54</f>
        <v>3</v>
      </c>
      <c r="M54" s="1" t="n">
        <v>4</v>
      </c>
      <c r="N54" s="1" t="n">
        <v>12</v>
      </c>
      <c r="O54" s="1" t="n">
        <f aca="false">N54-M54</f>
        <v>8</v>
      </c>
      <c r="P54" s="1" t="n">
        <f aca="false">O54/M54</f>
        <v>2</v>
      </c>
      <c r="R54" s="1" t="s">
        <v>52</v>
      </c>
      <c r="S54" s="1" t="e">
        <f aca="false">COUNTIFS(#REF!,2,#REF!,0)</f>
        <v>#VALUE!</v>
      </c>
      <c r="V54" s="1" t="n">
        <v>44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K54" s="1" t="n">
        <f aca="false">V54</f>
        <v>44</v>
      </c>
      <c r="AN54" s="1" t="n">
        <f aca="false">MAX(AN53-W54/W$9*100,0)</f>
        <v>0</v>
      </c>
      <c r="AO54" s="1" t="n">
        <f aca="false">MAX(AO53-X54/X$9*100,0)</f>
        <v>0</v>
      </c>
      <c r="AP54" s="1" t="n">
        <f aca="false">MAX(AP53-Z54/Z$9*100,0)</f>
        <v>0</v>
      </c>
      <c r="AQ54" s="1" t="n">
        <f aca="false">MAX(AQ53-AA54/AA$9*100,0)</f>
        <v>0</v>
      </c>
      <c r="AR54" s="1" t="n">
        <f aca="false">MAX(AR53-AC54/AC$9*100,0)</f>
        <v>0</v>
      </c>
      <c r="AS54" s="1" t="n">
        <f aca="false">MAX(AS53-AD54/AD$9*100,0)</f>
        <v>0</v>
      </c>
      <c r="AT54" s="1" t="n">
        <f aca="false">MAX(AT53-AF54/AF$9*100,0)</f>
        <v>0</v>
      </c>
      <c r="AU54" s="1" t="n">
        <f aca="false">MAX(AU53-AG54/AG$9*100,0)</f>
        <v>0</v>
      </c>
      <c r="AY54" s="1" t="n">
        <f aca="false">$V54</f>
        <v>44</v>
      </c>
      <c r="AZ54" s="1" t="n">
        <f aca="false">AO54</f>
        <v>0</v>
      </c>
      <c r="BA54" s="1" t="n">
        <f aca="false">BA$7*EXP(-AY54/BA$8)</f>
        <v>3.25260798813302E-018</v>
      </c>
      <c r="BB54" s="1" t="n">
        <f aca="false">(AZ54-BA54)^2</f>
        <v>1.05794587244667E-035</v>
      </c>
      <c r="BD54" s="1" t="n">
        <f aca="false">$V54</f>
        <v>44</v>
      </c>
      <c r="BE54" s="1" t="n">
        <f aca="false">AT54</f>
        <v>0</v>
      </c>
      <c r="BF54" s="1" t="n">
        <f aca="false">BF$7*EXP(-BD54/BF$8)</f>
        <v>2.90594821911509E-009</v>
      </c>
      <c r="BG54" s="1" t="n">
        <f aca="false">(BE54-BF54)^2</f>
        <v>8.44453505217816E-018</v>
      </c>
      <c r="BI54" s="1" t="n">
        <f aca="false">$V54</f>
        <v>44</v>
      </c>
      <c r="BJ54" s="1" t="n">
        <f aca="false">AN54</f>
        <v>0</v>
      </c>
      <c r="BK54" s="1" t="n">
        <f aca="false">BK$7*EXP(-BI54/BK$8)</f>
        <v>3.26356685567166E-021</v>
      </c>
      <c r="BL54" s="1" t="n">
        <f aca="false">(BJ54-BK54)^2</f>
        <v>1.06508686214386E-041</v>
      </c>
      <c r="BN54" s="1" t="n">
        <f aca="false">$V54</f>
        <v>44</v>
      </c>
      <c r="BO54" s="1" t="n">
        <f aca="false">AR54</f>
        <v>0</v>
      </c>
      <c r="BP54" s="1" t="n">
        <f aca="false">BP$7*EXP(-BN54/BP$8)</f>
        <v>2.45647310922657E-019</v>
      </c>
      <c r="BQ54" s="1" t="n">
        <f aca="false">(BO54-BP54)^2</f>
        <v>6.03426013635325E-038</v>
      </c>
      <c r="BU54" s="1" t="n">
        <f aca="false">V54</f>
        <v>44</v>
      </c>
      <c r="BV54" s="1" t="n">
        <f aca="false">W54/W$9*100</f>
        <v>0</v>
      </c>
      <c r="BW54" s="1" t="n">
        <f aca="false">X54/X$9*100</f>
        <v>0</v>
      </c>
      <c r="BX54" s="1" t="n">
        <f aca="false">Z54/Z$9*100</f>
        <v>0</v>
      </c>
      <c r="BY54" s="1" t="n">
        <f aca="false">AA54/AA$9*100</f>
        <v>0</v>
      </c>
      <c r="BZ54" s="1" t="n">
        <f aca="false">AC54/AC$9*100</f>
        <v>0</v>
      </c>
      <c r="CA54" s="1" t="n">
        <f aca="false">AD54/AD$9*100</f>
        <v>0</v>
      </c>
      <c r="CB54" s="1" t="n">
        <f aca="false">AF54/AF$9*100</f>
        <v>0</v>
      </c>
      <c r="CC54" s="1" t="n">
        <f aca="false">AG54/AG$9*100</f>
        <v>0</v>
      </c>
      <c r="CE54" s="1" t="n">
        <f aca="false">$V54</f>
        <v>44</v>
      </c>
      <c r="CF54" s="1" t="n">
        <f aca="false">BV54</f>
        <v>0</v>
      </c>
      <c r="CG54" s="1" t="n">
        <f aca="false">CG$6*(1+CG$5*(-1)^$BU54)*EXP(-$BU54/CG$4)</f>
        <v>6.8498749810634E-013</v>
      </c>
      <c r="CH54" s="1" t="n">
        <f aca="false">(CF54-CG54)^2</f>
        <v>4.69207872561983E-025</v>
      </c>
      <c r="CI54" s="1" t="n">
        <f aca="false">EXP($BU54/CE54)*CF54</f>
        <v>0</v>
      </c>
      <c r="CJ54" s="1" t="n">
        <f aca="false">EXP($BU54/CE54)*(-1)^$BU54*CF54</f>
        <v>0</v>
      </c>
      <c r="CK54" s="1" t="n">
        <f aca="false">(-1)^CE54*CF54</f>
        <v>0</v>
      </c>
      <c r="CM54" s="1" t="n">
        <f aca="false">$V54</f>
        <v>44</v>
      </c>
      <c r="CN54" s="1" t="n">
        <f aca="false">BZ54</f>
        <v>0</v>
      </c>
      <c r="CO54" s="1" t="n">
        <f aca="false">CO$6*(1+CO$5*(-1)^$BU54)*EXP(-$BU54/CO$4)</f>
        <v>6.8498749810634E-013</v>
      </c>
      <c r="CP54" s="1" t="n">
        <f aca="false">(CN54-CO54)^2</f>
        <v>4.69207872561983E-025</v>
      </c>
      <c r="CQ54" s="1" t="n">
        <f aca="false">EXP($BU54/CM54)*CN54</f>
        <v>0</v>
      </c>
      <c r="CR54" s="1" t="n">
        <f aca="false">EXP($BU54/CM54)*(-1)^$BU54*CN54</f>
        <v>0</v>
      </c>
      <c r="CS54" s="1" t="n">
        <f aca="false">(-1)^CM54*CN54</f>
        <v>0</v>
      </c>
      <c r="CU54" s="1" t="n">
        <f aca="false">$V54</f>
        <v>44</v>
      </c>
      <c r="CV54" s="1" t="n">
        <f aca="false">CB54</f>
        <v>0</v>
      </c>
      <c r="CW54" s="1" t="n">
        <f aca="false">CW$6*(1+CW$5*(-1)^$BU54)*EXP(-$BU54/CW$4)</f>
        <v>2.35380437497353E-005</v>
      </c>
      <c r="CX54" s="1" t="n">
        <f aca="false">(CV54-CW54)^2</f>
        <v>5.54039503564453E-010</v>
      </c>
      <c r="CY54" s="1" t="n">
        <f aca="false">EXP($BU54/CU54)*CV54</f>
        <v>0</v>
      </c>
      <c r="CZ54" s="1" t="n">
        <f aca="false">EXP($BU54/CU54)*(-1)^$BU54*CV54</f>
        <v>0</v>
      </c>
      <c r="DA54" s="1" t="n">
        <f aca="false">(-1)^CU54*CV54</f>
        <v>0</v>
      </c>
      <c r="DB54" s="1" t="n">
        <v>0</v>
      </c>
    </row>
    <row r="55" customFormat="false" ht="16" hidden="false" customHeight="false" outlineLevel="0" collapsed="false">
      <c r="C55" s="1" t="n">
        <f aca="false">B55-A55</f>
        <v>0</v>
      </c>
      <c r="D55" s="1" t="n">
        <v>1</v>
      </c>
      <c r="E55" s="1" t="n">
        <v>1</v>
      </c>
      <c r="F55" s="1" t="n">
        <f aca="false">E55-D55</f>
        <v>0</v>
      </c>
      <c r="G55" s="1" t="n">
        <v>1</v>
      </c>
      <c r="H55" s="1" t="n">
        <v>1</v>
      </c>
      <c r="I55" s="1" t="n">
        <f aca="false">H55-G55</f>
        <v>0</v>
      </c>
      <c r="M55" s="1" t="n">
        <v>2</v>
      </c>
      <c r="N55" s="1" t="n">
        <v>6</v>
      </c>
      <c r="O55" s="1" t="n">
        <f aca="false">N55-M55</f>
        <v>4</v>
      </c>
      <c r="P55" s="1" t="n">
        <f aca="false">O55/M55</f>
        <v>2</v>
      </c>
      <c r="V55" s="1" t="n">
        <v>45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K55" s="1" t="n">
        <f aca="false">V55</f>
        <v>45</v>
      </c>
      <c r="AN55" s="1" t="n">
        <f aca="false">MAX(AN54-W55/W$9*100,0)</f>
        <v>0</v>
      </c>
      <c r="AO55" s="1" t="n">
        <f aca="false">MAX(AO54-X55/X$9*100,0)</f>
        <v>0</v>
      </c>
      <c r="AP55" s="1" t="n">
        <f aca="false">MAX(AP54-Z55/Z$9*100,0)</f>
        <v>0</v>
      </c>
      <c r="AQ55" s="1" t="n">
        <f aca="false">MAX(AQ54-AA55/AA$9*100,0)</f>
        <v>0</v>
      </c>
      <c r="AR55" s="1" t="n">
        <f aca="false">MAX(AR54-AC55/AC$9*100,0)</f>
        <v>0</v>
      </c>
      <c r="AS55" s="1" t="n">
        <f aca="false">MAX(AS54-AD55/AD$9*100,0)</f>
        <v>0</v>
      </c>
      <c r="AT55" s="1" t="n">
        <f aca="false">MAX(AT54-AF55/AF$9*100,0)</f>
        <v>0</v>
      </c>
      <c r="AU55" s="1" t="n">
        <f aca="false">MAX(AU54-AG55/AG$9*100,0)</f>
        <v>0</v>
      </c>
      <c r="AY55" s="1" t="n">
        <f aca="false">$V55</f>
        <v>45</v>
      </c>
      <c r="AZ55" s="1" t="n">
        <f aca="false">AO55</f>
        <v>0</v>
      </c>
      <c r="BA55" s="1" t="n">
        <f aca="false">BA$7*EXP(-AY55/BA$8)</f>
        <v>1.16012678595184E-018</v>
      </c>
      <c r="BB55" s="1" t="n">
        <f aca="false">(AZ55-BA55)^2</f>
        <v>1.34589415948295E-036</v>
      </c>
      <c r="BD55" s="1" t="n">
        <f aca="false">$V55</f>
        <v>45</v>
      </c>
      <c r="BE55" s="1" t="n">
        <f aca="false">AT55</f>
        <v>0</v>
      </c>
      <c r="BF55" s="1" t="n">
        <f aca="false">BF$7*EXP(-BD55/BF$8)</f>
        <v>1.65692254555154E-009</v>
      </c>
      <c r="BG55" s="1" t="n">
        <f aca="false">(BE55-BF55)^2</f>
        <v>2.745392321957E-018</v>
      </c>
      <c r="BI55" s="1" t="n">
        <f aca="false">$V55</f>
        <v>45</v>
      </c>
      <c r="BJ55" s="1" t="n">
        <f aca="false">AN55</f>
        <v>0</v>
      </c>
      <c r="BK55" s="1" t="n">
        <f aca="false">BK$7*EXP(-BI55/BK$8)</f>
        <v>9.92373762732097E-022</v>
      </c>
      <c r="BL55" s="1" t="n">
        <f aca="false">(BJ55-BK55)^2</f>
        <v>9.8480568495906E-043</v>
      </c>
      <c r="BN55" s="1" t="n">
        <f aca="false">$V55</f>
        <v>45</v>
      </c>
      <c r="BO55" s="1" t="n">
        <f aca="false">AR55</f>
        <v>0</v>
      </c>
      <c r="BP55" s="1" t="n">
        <f aca="false">BP$7*EXP(-BN55/BP$8)</f>
        <v>8.18587919031526E-020</v>
      </c>
      <c r="BQ55" s="1" t="n">
        <f aca="false">(BO55-BP55)^2</f>
        <v>6.70086181184364E-039</v>
      </c>
      <c r="BU55" s="1" t="n">
        <f aca="false">V55</f>
        <v>45</v>
      </c>
      <c r="BV55" s="1" t="n">
        <f aca="false">W55/W$9*100</f>
        <v>0</v>
      </c>
      <c r="BW55" s="1" t="n">
        <f aca="false">X55/X$9*100</f>
        <v>0</v>
      </c>
      <c r="BX55" s="1" t="n">
        <f aca="false">Z55/Z$9*100</f>
        <v>0</v>
      </c>
      <c r="BY55" s="1" t="n">
        <f aca="false">AA55/AA$9*100</f>
        <v>0</v>
      </c>
      <c r="BZ55" s="1" t="n">
        <f aca="false">AC55/AC$9*100</f>
        <v>0</v>
      </c>
      <c r="CA55" s="1" t="n">
        <f aca="false">AD55/AD$9*100</f>
        <v>0</v>
      </c>
      <c r="CB55" s="1" t="n">
        <f aca="false">AF55/AF$9*100</f>
        <v>0</v>
      </c>
      <c r="CC55" s="1" t="n">
        <f aca="false">AG55/AG$9*100</f>
        <v>0</v>
      </c>
      <c r="CE55" s="1" t="n">
        <f aca="false">$V55</f>
        <v>45</v>
      </c>
      <c r="CF55" s="1" t="n">
        <f aca="false">BV55</f>
        <v>0</v>
      </c>
      <c r="CG55" s="1" t="n">
        <f aca="false">CG$6*(1+CG$5*(-1)^$BU55)*EXP(-$BU55/CG$4)</f>
        <v>1.09914650091326E-013</v>
      </c>
      <c r="CH55" s="1" t="n">
        <f aca="false">(CF55-CG55)^2</f>
        <v>1.20812303046986E-026</v>
      </c>
      <c r="CI55" s="1" t="n">
        <f aca="false">EXP($BU55/CE55)*CF55</f>
        <v>0</v>
      </c>
      <c r="CJ55" s="1" t="n">
        <f aca="false">EXP($BU55/CE55)*(-1)^$BU55*CF55</f>
        <v>-0</v>
      </c>
      <c r="CK55" s="1" t="n">
        <f aca="false">(-1)^CE55*CF55</f>
        <v>-0</v>
      </c>
      <c r="CM55" s="1" t="n">
        <f aca="false">$V55</f>
        <v>45</v>
      </c>
      <c r="CN55" s="1" t="n">
        <f aca="false">BZ55</f>
        <v>0</v>
      </c>
      <c r="CO55" s="1" t="n">
        <f aca="false">CO$6*(1+CO$5*(-1)^$BU55)*EXP(-$BU55/CO$4)</f>
        <v>1.09914650091326E-013</v>
      </c>
      <c r="CP55" s="1" t="n">
        <f aca="false">(CN55-CO55)^2</f>
        <v>1.20812303046986E-026</v>
      </c>
      <c r="CQ55" s="1" t="n">
        <f aca="false">EXP($BU55/CM55)*CN55</f>
        <v>0</v>
      </c>
      <c r="CR55" s="1" t="n">
        <f aca="false">EXP($BU55/CM55)*(-1)^$BU55*CN55</f>
        <v>-0</v>
      </c>
      <c r="CS55" s="1" t="n">
        <f aca="false">(-1)^CM55*CN55</f>
        <v>-0</v>
      </c>
      <c r="CU55" s="1" t="n">
        <f aca="false">$V55</f>
        <v>45</v>
      </c>
      <c r="CV55" s="1" t="n">
        <f aca="false">CB55</f>
        <v>0</v>
      </c>
      <c r="CW55" s="1" t="n">
        <f aca="false">CW$6*(1+CW$5*(-1)^$BU55)*EXP(-$BU55/CW$4)</f>
        <v>8.68841426417567E-006</v>
      </c>
      <c r="CX55" s="1" t="n">
        <f aca="false">(CV55-CW55)^2</f>
        <v>7.54885424259312E-011</v>
      </c>
      <c r="CY55" s="1" t="n">
        <f aca="false">EXP($BU55/CU55)*CV55</f>
        <v>0</v>
      </c>
      <c r="CZ55" s="1" t="n">
        <f aca="false">EXP($BU55/CU55)*(-1)^$BU55*CV55</f>
        <v>-0</v>
      </c>
      <c r="DA55" s="1" t="n">
        <f aca="false">(-1)^CU55*CV55</f>
        <v>-0</v>
      </c>
      <c r="DB55" s="1" t="n">
        <v>0</v>
      </c>
    </row>
    <row r="56" customFormat="false" ht="16" hidden="false" customHeight="false" outlineLevel="0" collapsed="false">
      <c r="C56" s="1" t="n">
        <f aca="false">B56-A56</f>
        <v>0</v>
      </c>
      <c r="D56" s="1" t="n">
        <v>1</v>
      </c>
      <c r="E56" s="1" t="n">
        <v>1</v>
      </c>
      <c r="F56" s="1" t="n">
        <f aca="false">E56-D56</f>
        <v>0</v>
      </c>
      <c r="G56" s="1" t="n">
        <v>2</v>
      </c>
      <c r="H56" s="1" t="n">
        <v>2</v>
      </c>
      <c r="I56" s="1" t="n">
        <f aca="false">H56-G56</f>
        <v>0</v>
      </c>
      <c r="V56" s="1" t="n">
        <v>46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K56" s="1" t="n">
        <f aca="false">V56</f>
        <v>46</v>
      </c>
      <c r="AN56" s="1" t="n">
        <f aca="false">MAX(AN55-W56/W$9*100,0)</f>
        <v>0</v>
      </c>
      <c r="AO56" s="1" t="n">
        <f aca="false">MAX(AO55-X56/X$9*100,0)</f>
        <v>0</v>
      </c>
      <c r="AP56" s="1" t="n">
        <f aca="false">MAX(AP55-Z56/Z$9*100,0)</f>
        <v>0</v>
      </c>
      <c r="AQ56" s="1" t="n">
        <f aca="false">MAX(AQ55-AA56/AA$9*100,0)</f>
        <v>0</v>
      </c>
      <c r="AR56" s="1" t="n">
        <f aca="false">MAX(AR55-AC56/AC$9*100,0)</f>
        <v>0</v>
      </c>
      <c r="AS56" s="1" t="n">
        <f aca="false">MAX(AS55-AD56/AD$9*100,0)</f>
        <v>0</v>
      </c>
      <c r="AT56" s="1" t="n">
        <f aca="false">MAX(AT55-AF56/AF$9*100,0)</f>
        <v>0</v>
      </c>
      <c r="AU56" s="1" t="n">
        <f aca="false">MAX(AU55-AG56/AG$9*100,0)</f>
        <v>0</v>
      </c>
      <c r="AY56" s="1" t="n">
        <f aca="false">$V56</f>
        <v>46</v>
      </c>
      <c r="AZ56" s="1" t="n">
        <f aca="false">AO56</f>
        <v>0</v>
      </c>
      <c r="BA56" s="1" t="n">
        <f aca="false">BA$7*EXP(-AY56/BA$8)</f>
        <v>4.13789231408567E-019</v>
      </c>
      <c r="BB56" s="1" t="n">
        <f aca="false">(AZ56-BA56)^2</f>
        <v>1.71221528029693E-037</v>
      </c>
      <c r="BD56" s="1" t="n">
        <f aca="false">$V56</f>
        <v>46</v>
      </c>
      <c r="BE56" s="1" t="n">
        <f aca="false">AT56</f>
        <v>0</v>
      </c>
      <c r="BF56" s="1" t="n">
        <f aca="false">BF$7*EXP(-BD56/BF$8)</f>
        <v>9.44749222955193E-010</v>
      </c>
      <c r="BG56" s="1" t="n">
        <f aca="false">(BE56-BF56)^2</f>
        <v>8.92551094274441E-019</v>
      </c>
      <c r="BI56" s="1" t="n">
        <f aca="false">$V56</f>
        <v>46</v>
      </c>
      <c r="BJ56" s="1" t="n">
        <f aca="false">AN56</f>
        <v>0</v>
      </c>
      <c r="BK56" s="1" t="n">
        <f aca="false">BK$7*EXP(-BI56/BK$8)</f>
        <v>3.01757472272278E-022</v>
      </c>
      <c r="BL56" s="1" t="n">
        <f aca="false">(BJ56-BK56)^2</f>
        <v>9.10575720721546E-044</v>
      </c>
      <c r="BN56" s="1" t="n">
        <f aca="false">$V56</f>
        <v>46</v>
      </c>
      <c r="BO56" s="1" t="n">
        <f aca="false">AR56</f>
        <v>0</v>
      </c>
      <c r="BP56" s="1" t="n">
        <f aca="false">BP$7*EXP(-BN56/BP$8)</f>
        <v>2.7278384553346E-020</v>
      </c>
      <c r="BQ56" s="1" t="n">
        <f aca="false">(BO56-BP56)^2</f>
        <v>7.44110263840226E-040</v>
      </c>
      <c r="BU56" s="1" t="n">
        <f aca="false">V56</f>
        <v>46</v>
      </c>
      <c r="BV56" s="1" t="n">
        <f aca="false">W56/W$9*100</f>
        <v>0</v>
      </c>
      <c r="BW56" s="1" t="n">
        <f aca="false">X56/X$9*100</f>
        <v>0</v>
      </c>
      <c r="BX56" s="1" t="n">
        <f aca="false">Z56/Z$9*100</f>
        <v>0</v>
      </c>
      <c r="BY56" s="1" t="n">
        <f aca="false">AA56/AA$9*100</f>
        <v>0</v>
      </c>
      <c r="BZ56" s="1" t="n">
        <f aca="false">AC56/AC$9*100</f>
        <v>0</v>
      </c>
      <c r="CA56" s="1" t="n">
        <f aca="false">AD56/AD$9*100</f>
        <v>0</v>
      </c>
      <c r="CB56" s="1" t="n">
        <f aca="false">AF56/AF$9*100</f>
        <v>0</v>
      </c>
      <c r="CC56" s="1" t="n">
        <f aca="false">AG56/AG$9*100</f>
        <v>0</v>
      </c>
      <c r="CE56" s="1" t="n">
        <f aca="false">$V56</f>
        <v>46</v>
      </c>
      <c r="CF56" s="1" t="n">
        <f aca="false">BV56</f>
        <v>0</v>
      </c>
      <c r="CG56" s="1" t="n">
        <f aca="false">CG$6*(1+CG$5*(-1)^$BU56)*EXP(-$BU56/CG$4)</f>
        <v>1.50543047321456E-013</v>
      </c>
      <c r="CH56" s="1" t="n">
        <f aca="false">(CF56-CG56)^2</f>
        <v>2.26632090968301E-026</v>
      </c>
      <c r="CI56" s="1" t="n">
        <f aca="false">EXP($BU56/CE56)*CF56</f>
        <v>0</v>
      </c>
      <c r="CJ56" s="1" t="n">
        <f aca="false">EXP($BU56/CE56)*(-1)^$BU56*CF56</f>
        <v>0</v>
      </c>
      <c r="CK56" s="1" t="n">
        <f aca="false">(-1)^CE56*CF56</f>
        <v>0</v>
      </c>
      <c r="CM56" s="1" t="n">
        <f aca="false">$V56</f>
        <v>46</v>
      </c>
      <c r="CN56" s="1" t="n">
        <f aca="false">BZ56</f>
        <v>0</v>
      </c>
      <c r="CO56" s="1" t="n">
        <f aca="false">CO$6*(1+CO$5*(-1)^$BU56)*EXP(-$BU56/CO$4)</f>
        <v>1.50543047321456E-013</v>
      </c>
      <c r="CP56" s="1" t="n">
        <f aca="false">(CN56-CO56)^2</f>
        <v>2.26632090968301E-026</v>
      </c>
      <c r="CQ56" s="1" t="n">
        <f aca="false">EXP($BU56/CM56)*CN56</f>
        <v>0</v>
      </c>
      <c r="CR56" s="1" t="n">
        <f aca="false">EXP($BU56/CM56)*(-1)^$BU56*CN56</f>
        <v>0</v>
      </c>
      <c r="CS56" s="1" t="n">
        <f aca="false">(-1)^CM56*CN56</f>
        <v>0</v>
      </c>
      <c r="CU56" s="1" t="n">
        <f aca="false">$V56</f>
        <v>46</v>
      </c>
      <c r="CV56" s="1" t="n">
        <f aca="false">CB56</f>
        <v>0</v>
      </c>
      <c r="CW56" s="1" t="n">
        <f aca="false">CW$6*(1+CW$5*(-1)^$BU56)*EXP(-$BU56/CW$4)</f>
        <v>1.20848346096522E-005</v>
      </c>
      <c r="CX56" s="1" t="n">
        <f aca="false">(CV56-CW56)^2</f>
        <v>1.46043227542648E-010</v>
      </c>
      <c r="CY56" s="1" t="n">
        <f aca="false">EXP($BU56/CU56)*CV56</f>
        <v>0</v>
      </c>
      <c r="CZ56" s="1" t="n">
        <f aca="false">EXP($BU56/CU56)*(-1)^$BU56*CV56</f>
        <v>0</v>
      </c>
      <c r="DA56" s="1" t="n">
        <f aca="false">(-1)^CU56*CV56</f>
        <v>0</v>
      </c>
      <c r="DB56" s="1" t="n">
        <v>0</v>
      </c>
    </row>
    <row r="57" customFormat="false" ht="16" hidden="false" customHeight="false" outlineLevel="0" collapsed="false">
      <c r="C57" s="1" t="n">
        <f aca="false">B57-A57</f>
        <v>0</v>
      </c>
      <c r="D57" s="1" t="n">
        <v>4</v>
      </c>
      <c r="E57" s="1" t="n">
        <v>4</v>
      </c>
      <c r="F57" s="1" t="n">
        <f aca="false">E57-D57</f>
        <v>0</v>
      </c>
      <c r="G57" s="1" t="n">
        <v>4</v>
      </c>
      <c r="H57" s="1" t="n">
        <v>6</v>
      </c>
      <c r="I57" s="1" t="n">
        <f aca="false">H57-G57</f>
        <v>2</v>
      </c>
      <c r="V57" s="1" t="n">
        <v>47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K57" s="1" t="n">
        <f aca="false">V57</f>
        <v>47</v>
      </c>
      <c r="AN57" s="1" t="n">
        <f aca="false">MAX(AN56-W57/W$9*100,0)</f>
        <v>0</v>
      </c>
      <c r="AO57" s="1" t="n">
        <f aca="false">MAX(AO56-X57/X$9*100,0)</f>
        <v>0</v>
      </c>
      <c r="AP57" s="1" t="n">
        <f aca="false">MAX(AP56-Z57/Z$9*100,0)</f>
        <v>0</v>
      </c>
      <c r="AQ57" s="1" t="n">
        <f aca="false">MAX(AQ56-AA57/AA$9*100,0)</f>
        <v>0</v>
      </c>
      <c r="AR57" s="1" t="n">
        <f aca="false">MAX(AR56-AC57/AC$9*100,0)</f>
        <v>0</v>
      </c>
      <c r="AS57" s="1" t="n">
        <f aca="false">MAX(AS56-AD57/AD$9*100,0)</f>
        <v>0</v>
      </c>
      <c r="AT57" s="1" t="n">
        <f aca="false">MAX(AT56-AF57/AF$9*100,0)</f>
        <v>0</v>
      </c>
      <c r="AU57" s="1" t="n">
        <f aca="false">MAX(AU56-AG57/AG$9*100,0)</f>
        <v>0</v>
      </c>
      <c r="AY57" s="1" t="n">
        <f aca="false">$V57</f>
        <v>47</v>
      </c>
      <c r="AZ57" s="1" t="n">
        <f aca="false">AO57</f>
        <v>0</v>
      </c>
      <c r="BA57" s="1" t="n">
        <f aca="false">BA$7*EXP(-AY57/BA$8)</f>
        <v>1.47588634365694E-019</v>
      </c>
      <c r="BB57" s="1" t="n">
        <f aca="false">(AZ57-BA57)^2</f>
        <v>2.17824049939305E-038</v>
      </c>
      <c r="BD57" s="1" t="n">
        <f aca="false">$V57</f>
        <v>47</v>
      </c>
      <c r="BE57" s="1" t="n">
        <f aca="false">AT57</f>
        <v>0</v>
      </c>
      <c r="BF57" s="1" t="n">
        <f aca="false">BF$7*EXP(-BD57/BF$8)</f>
        <v>5.38680034664708E-010</v>
      </c>
      <c r="BG57" s="1" t="n">
        <f aca="false">(BE57-BF57)^2</f>
        <v>2.90176179746371E-019</v>
      </c>
      <c r="BI57" s="1" t="n">
        <f aca="false">$V57</f>
        <v>47</v>
      </c>
      <c r="BJ57" s="1" t="n">
        <f aca="false">AN57</f>
        <v>0</v>
      </c>
      <c r="BK57" s="1" t="n">
        <f aca="false">BK$7*EXP(-BI57/BK$8)</f>
        <v>9.17573352820864E-023</v>
      </c>
      <c r="BL57" s="1" t="n">
        <f aca="false">(BJ57-BK57)^2</f>
        <v>8.41940857806922E-045</v>
      </c>
      <c r="BN57" s="1" t="n">
        <f aca="false">$V57</f>
        <v>47</v>
      </c>
      <c r="BO57" s="1" t="n">
        <f aca="false">AR57</f>
        <v>0</v>
      </c>
      <c r="BP57" s="1" t="n">
        <f aca="false">BP$7*EXP(-BN57/BP$8)</f>
        <v>9.09016913810049E-021</v>
      </c>
      <c r="BQ57" s="1" t="n">
        <f aca="false">(BO57-BP57)^2</f>
        <v>8.26311749592746E-041</v>
      </c>
      <c r="BU57" s="1" t="n">
        <f aca="false">V57</f>
        <v>47</v>
      </c>
      <c r="BV57" s="1" t="n">
        <f aca="false">W57/W$9*100</f>
        <v>0</v>
      </c>
      <c r="BW57" s="1" t="n">
        <f aca="false">X57/X$9*100</f>
        <v>0</v>
      </c>
      <c r="BX57" s="1" t="n">
        <f aca="false">Z57/Z$9*100</f>
        <v>0</v>
      </c>
      <c r="BY57" s="1" t="n">
        <f aca="false">AA57/AA$9*100</f>
        <v>0</v>
      </c>
      <c r="BZ57" s="1" t="n">
        <f aca="false">AC57/AC$9*100</f>
        <v>0</v>
      </c>
      <c r="CA57" s="1" t="n">
        <f aca="false">AD57/AD$9*100</f>
        <v>0</v>
      </c>
      <c r="CB57" s="1" t="n">
        <f aca="false">AF57/AF$9*100</f>
        <v>0</v>
      </c>
      <c r="CC57" s="1" t="n">
        <f aca="false">AG57/AG$9*100</f>
        <v>0</v>
      </c>
      <c r="CE57" s="1" t="n">
        <f aca="false">$V57</f>
        <v>47</v>
      </c>
      <c r="CF57" s="1" t="n">
        <f aca="false">BV57</f>
        <v>0</v>
      </c>
      <c r="CG57" s="1" t="n">
        <f aca="false">CG$6*(1+CG$5*(-1)^$BU57)*EXP(-$BU57/CG$4)</f>
        <v>2.41564793748265E-014</v>
      </c>
      <c r="CH57" s="1" t="n">
        <f aca="false">(CF57-CG57)^2</f>
        <v>5.83535495786418E-028</v>
      </c>
      <c r="CI57" s="1" t="n">
        <f aca="false">EXP($BU57/CE57)*CF57</f>
        <v>0</v>
      </c>
      <c r="CJ57" s="1" t="n">
        <f aca="false">EXP($BU57/CE57)*(-1)^$BU57*CF57</f>
        <v>-0</v>
      </c>
      <c r="CK57" s="1" t="n">
        <f aca="false">(-1)^CE57*CF57</f>
        <v>-0</v>
      </c>
      <c r="CM57" s="1" t="n">
        <f aca="false">$V57</f>
        <v>47</v>
      </c>
      <c r="CN57" s="1" t="n">
        <f aca="false">BZ57</f>
        <v>0</v>
      </c>
      <c r="CO57" s="1" t="n">
        <f aca="false">CO$6*(1+CO$5*(-1)^$BU57)*EXP(-$BU57/CO$4)</f>
        <v>2.41564793748265E-014</v>
      </c>
      <c r="CP57" s="1" t="n">
        <f aca="false">(CN57-CO57)^2</f>
        <v>5.83535495786418E-028</v>
      </c>
      <c r="CQ57" s="1" t="n">
        <f aca="false">EXP($BU57/CM57)*CN57</f>
        <v>0</v>
      </c>
      <c r="CR57" s="1" t="n">
        <f aca="false">EXP($BU57/CM57)*(-1)^$BU57*CN57</f>
        <v>-0</v>
      </c>
      <c r="CS57" s="1" t="n">
        <f aca="false">(-1)^CM57*CN57</f>
        <v>-0</v>
      </c>
      <c r="CU57" s="1" t="n">
        <f aca="false">$V57</f>
        <v>47</v>
      </c>
      <c r="CV57" s="1" t="n">
        <f aca="false">CB57</f>
        <v>0</v>
      </c>
      <c r="CW57" s="1" t="n">
        <f aca="false">CW$6*(1+CW$5*(-1)^$BU57)*EXP(-$BU57/CW$4)</f>
        <v>4.46078062047476E-006</v>
      </c>
      <c r="CX57" s="1" t="n">
        <f aca="false">(CV57-CW57)^2</f>
        <v>1.98985637440032E-011</v>
      </c>
      <c r="CY57" s="1" t="n">
        <f aca="false">EXP($BU57/CU57)*CV57</f>
        <v>0</v>
      </c>
      <c r="CZ57" s="1" t="n">
        <f aca="false">EXP($BU57/CU57)*(-1)^$BU57*CV57</f>
        <v>-0</v>
      </c>
      <c r="DA57" s="1" t="n">
        <f aca="false">(-1)^CU57*CV57</f>
        <v>-0</v>
      </c>
      <c r="DB57" s="1" t="n">
        <v>0</v>
      </c>
    </row>
    <row r="58" customFormat="false" ht="16" hidden="false" customHeight="false" outlineLevel="0" collapsed="false">
      <c r="C58" s="1" t="n">
        <f aca="false">B58-A58</f>
        <v>0</v>
      </c>
      <c r="D58" s="1" t="n">
        <v>1</v>
      </c>
      <c r="E58" s="1" t="n">
        <v>1</v>
      </c>
      <c r="F58" s="1" t="n">
        <f aca="false">E58-D58</f>
        <v>0</v>
      </c>
      <c r="G58" s="1" t="n">
        <v>2</v>
      </c>
      <c r="H58" s="1" t="n">
        <v>2</v>
      </c>
      <c r="I58" s="1" t="n">
        <f aca="false">H58-G58</f>
        <v>0</v>
      </c>
      <c r="V58" s="1" t="n">
        <v>48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K58" s="1" t="n">
        <f aca="false">V58</f>
        <v>48</v>
      </c>
      <c r="AN58" s="1" t="n">
        <f aca="false">MAX(AN57-W58/W$9*100,0)</f>
        <v>0</v>
      </c>
      <c r="AO58" s="1" t="n">
        <f aca="false">MAX(AO57-X58/X$9*100,0)</f>
        <v>0</v>
      </c>
      <c r="AP58" s="1" t="n">
        <f aca="false">MAX(AP57-Z58/Z$9*100,0)</f>
        <v>0</v>
      </c>
      <c r="AQ58" s="1" t="n">
        <f aca="false">MAX(AQ57-AA58/AA$9*100,0)</f>
        <v>0</v>
      </c>
      <c r="AR58" s="1" t="n">
        <f aca="false">MAX(AR57-AC58/AC$9*100,0)</f>
        <v>0</v>
      </c>
      <c r="AS58" s="1" t="n">
        <f aca="false">MAX(AS57-AD58/AD$9*100,0)</f>
        <v>0</v>
      </c>
      <c r="AT58" s="1" t="n">
        <f aca="false">MAX(AT57-AF58/AF$9*100,0)</f>
        <v>0</v>
      </c>
      <c r="AU58" s="1" t="n">
        <f aca="false">MAX(AU57-AG58/AG$9*100,0)</f>
        <v>0</v>
      </c>
      <c r="AY58" s="1" t="n">
        <f aca="false">$V58</f>
        <v>48</v>
      </c>
      <c r="AZ58" s="1" t="n">
        <f aca="false">AO58</f>
        <v>0</v>
      </c>
      <c r="BA58" s="1" t="n">
        <f aca="false">BA$7*EXP(-AY58/BA$8)</f>
        <v>5.26413046559517E-020</v>
      </c>
      <c r="BB58" s="1" t="n">
        <f aca="false">(AZ58-BA58)^2</f>
        <v>2.77110695588072E-039</v>
      </c>
      <c r="BD58" s="1" t="n">
        <f aca="false">$V58</f>
        <v>48</v>
      </c>
      <c r="BE58" s="1" t="n">
        <f aca="false">AT58</f>
        <v>0</v>
      </c>
      <c r="BF58" s="1" t="n">
        <f aca="false">BF$7*EXP(-BD58/BF$8)</f>
        <v>3.0714624865072E-010</v>
      </c>
      <c r="BG58" s="1" t="n">
        <f aca="false">(BE58-BF58)^2</f>
        <v>9.43388180602099E-020</v>
      </c>
      <c r="BI58" s="1" t="n">
        <f aca="false">$V58</f>
        <v>48</v>
      </c>
      <c r="BJ58" s="1" t="n">
        <f aca="false">AN58</f>
        <v>0</v>
      </c>
      <c r="BK58" s="1" t="n">
        <f aca="false">BK$7*EXP(-BI58/BK$8)</f>
        <v>2.79012430567828E-023</v>
      </c>
      <c r="BL58" s="1" t="n">
        <f aca="false">(BJ58-BK58)^2</f>
        <v>7.78479364113671E-046</v>
      </c>
      <c r="BN58" s="1" t="n">
        <f aca="false">$V58</f>
        <v>48</v>
      </c>
      <c r="BO58" s="1" t="n">
        <f aca="false">AR58</f>
        <v>0</v>
      </c>
      <c r="BP58" s="1" t="n">
        <f aca="false">BP$7*EXP(-BN58/BP$8)</f>
        <v>3.02918139443633E-021</v>
      </c>
      <c r="BQ58" s="1" t="n">
        <f aca="false">(BO58-BP58)^2</f>
        <v>9.17593992039923E-042</v>
      </c>
      <c r="BU58" s="1" t="n">
        <f aca="false">V58</f>
        <v>48</v>
      </c>
      <c r="BV58" s="1" t="n">
        <f aca="false">W58/W$9*100</f>
        <v>0</v>
      </c>
      <c r="BW58" s="1" t="n">
        <f aca="false">X58/X$9*100</f>
        <v>0</v>
      </c>
      <c r="BX58" s="1" t="n">
        <f aca="false">Z58/Z$9*100</f>
        <v>0</v>
      </c>
      <c r="BY58" s="1" t="n">
        <f aca="false">AA58/AA$9*100</f>
        <v>0</v>
      </c>
      <c r="BZ58" s="1" t="n">
        <f aca="false">AC58/AC$9*100</f>
        <v>0</v>
      </c>
      <c r="CA58" s="1" t="n">
        <f aca="false">AD58/AD$9*100</f>
        <v>0</v>
      </c>
      <c r="CB58" s="1" t="n">
        <f aca="false">AF58/AF$9*100</f>
        <v>0</v>
      </c>
      <c r="CC58" s="1" t="n">
        <f aca="false">AG58/AG$9*100</f>
        <v>0</v>
      </c>
      <c r="CE58" s="1" t="n">
        <f aca="false">$V58</f>
        <v>48</v>
      </c>
      <c r="CF58" s="1" t="n">
        <f aca="false">BV58</f>
        <v>0</v>
      </c>
      <c r="CG58" s="1" t="n">
        <f aca="false">CG$6*(1+CG$5*(-1)^$BU58)*EXP(-$BU58/CG$4)</f>
        <v>3.30855806266289E-014</v>
      </c>
      <c r="CH58" s="1" t="n">
        <f aca="false">(CF58-CG58)^2</f>
        <v>1.09465564540116E-027</v>
      </c>
      <c r="CI58" s="1" t="n">
        <f aca="false">EXP($BU58/CE58)*CF58</f>
        <v>0</v>
      </c>
      <c r="CJ58" s="1" t="n">
        <f aca="false">EXP($BU58/CE58)*(-1)^$BU58*CF58</f>
        <v>0</v>
      </c>
      <c r="CK58" s="1" t="n">
        <f aca="false">(-1)^CE58*CF58</f>
        <v>0</v>
      </c>
      <c r="CM58" s="1" t="n">
        <f aca="false">$V58</f>
        <v>48</v>
      </c>
      <c r="CN58" s="1" t="n">
        <f aca="false">BZ58</f>
        <v>0</v>
      </c>
      <c r="CO58" s="1" t="n">
        <f aca="false">CO$6*(1+CO$5*(-1)^$BU58)*EXP(-$BU58/CO$4)</f>
        <v>3.30855806266289E-014</v>
      </c>
      <c r="CP58" s="1" t="n">
        <f aca="false">(CN58-CO58)^2</f>
        <v>1.09465564540116E-027</v>
      </c>
      <c r="CQ58" s="1" t="n">
        <f aca="false">EXP($BU58/CM58)*CN58</f>
        <v>0</v>
      </c>
      <c r="CR58" s="1" t="n">
        <f aca="false">EXP($BU58/CM58)*(-1)^$BU58*CN58</f>
        <v>0</v>
      </c>
      <c r="CS58" s="1" t="n">
        <f aca="false">(-1)^CM58*CN58</f>
        <v>0</v>
      </c>
      <c r="CU58" s="1" t="n">
        <f aca="false">$V58</f>
        <v>48</v>
      </c>
      <c r="CV58" s="1" t="n">
        <f aca="false">CB58</f>
        <v>0</v>
      </c>
      <c r="CW58" s="1" t="n">
        <f aca="false">CW$6*(1+CW$5*(-1)^$BU58)*EXP(-$BU58/CW$4)</f>
        <v>6.20456096927299E-006</v>
      </c>
      <c r="CX58" s="1" t="n">
        <f aca="false">(CV58-CW58)^2</f>
        <v>3.84965768214258E-011</v>
      </c>
      <c r="CY58" s="1" t="n">
        <f aca="false">EXP($BU58/CU58)*CV58</f>
        <v>0</v>
      </c>
      <c r="CZ58" s="1" t="n">
        <f aca="false">EXP($BU58/CU58)*(-1)^$BU58*CV58</f>
        <v>0</v>
      </c>
      <c r="DA58" s="1" t="n">
        <f aca="false">(-1)^CU58*CV58</f>
        <v>0</v>
      </c>
      <c r="DB58" s="1" t="n">
        <v>0</v>
      </c>
    </row>
    <row r="59" customFormat="false" ht="16" hidden="false" customHeight="false" outlineLevel="0" collapsed="false">
      <c r="C59" s="1" t="n">
        <f aca="false">B59-A59</f>
        <v>0</v>
      </c>
      <c r="D59" s="1" t="n">
        <v>1</v>
      </c>
      <c r="E59" s="1" t="n">
        <v>1</v>
      </c>
      <c r="F59" s="1" t="n">
        <f aca="false">E59-D59</f>
        <v>0</v>
      </c>
      <c r="G59" s="1" t="n">
        <v>2</v>
      </c>
      <c r="H59" s="1" t="n">
        <v>2</v>
      </c>
      <c r="I59" s="1" t="n">
        <f aca="false">H59-G59</f>
        <v>0</v>
      </c>
      <c r="V59" s="1" t="n">
        <v>49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K59" s="1" t="n">
        <f aca="false">V59</f>
        <v>49</v>
      </c>
      <c r="AN59" s="1" t="n">
        <f aca="false">MAX(AN58-W59/W$9*100,0)</f>
        <v>0</v>
      </c>
      <c r="AO59" s="1" t="n">
        <f aca="false">MAX(AO58-X59/X$9*100,0)</f>
        <v>0</v>
      </c>
      <c r="AP59" s="1" t="n">
        <f aca="false">MAX(AP58-Z59/Z$9*100,0)</f>
        <v>0</v>
      </c>
      <c r="AQ59" s="1" t="n">
        <f aca="false">MAX(AQ58-AA59/AA$9*100,0)</f>
        <v>0</v>
      </c>
      <c r="AR59" s="1" t="n">
        <f aca="false">MAX(AR58-AC59/AC$9*100,0)</f>
        <v>0</v>
      </c>
      <c r="AS59" s="1" t="n">
        <f aca="false">MAX(AS58-AD59/AD$9*100,0)</f>
        <v>0</v>
      </c>
      <c r="AT59" s="1" t="n">
        <f aca="false">MAX(AT58-AF59/AF$9*100,0)</f>
        <v>0</v>
      </c>
      <c r="AU59" s="1" t="n">
        <f aca="false">MAX(AU58-AG59/AG$9*100,0)</f>
        <v>0</v>
      </c>
      <c r="AY59" s="1" t="n">
        <f aca="false">$V59</f>
        <v>49</v>
      </c>
      <c r="AZ59" s="1" t="n">
        <f aca="false">AO59</f>
        <v>0</v>
      </c>
      <c r="BA59" s="1" t="n">
        <f aca="false">BA$7*EXP(-AY59/BA$8)</f>
        <v>1.87758831687168E-020</v>
      </c>
      <c r="BB59" s="1" t="n">
        <f aca="false">(AZ59-BA59)^2</f>
        <v>3.52533788765303E-040</v>
      </c>
      <c r="BD59" s="1" t="n">
        <f aca="false">$V59</f>
        <v>49</v>
      </c>
      <c r="BE59" s="1" t="n">
        <f aca="false">AT59</f>
        <v>0</v>
      </c>
      <c r="BF59" s="1" t="n">
        <f aca="false">BF$7*EXP(-BD59/BF$8)</f>
        <v>1.75129598257581E-010</v>
      </c>
      <c r="BG59" s="1" t="n">
        <f aca="false">(BE59-BF59)^2</f>
        <v>3.06703761858617E-020</v>
      </c>
      <c r="BI59" s="1" t="n">
        <f aca="false">$V59</f>
        <v>49</v>
      </c>
      <c r="BJ59" s="1" t="n">
        <f aca="false">AN59</f>
        <v>0</v>
      </c>
      <c r="BK59" s="1" t="n">
        <f aca="false">BK$7*EXP(-BI59/BK$8)</f>
        <v>8.48411041711725E-024</v>
      </c>
      <c r="BL59" s="1" t="n">
        <f aca="false">(BJ59-BK59)^2</f>
        <v>7.19801295698374E-047</v>
      </c>
      <c r="BN59" s="1" t="n">
        <f aca="false">$V59</f>
        <v>49</v>
      </c>
      <c r="BO59" s="1" t="n">
        <f aca="false">AR59</f>
        <v>0</v>
      </c>
      <c r="BP59" s="1" t="n">
        <f aca="false">BP$7*EXP(-BN59/BP$8)</f>
        <v>1.00943555405797E-021</v>
      </c>
      <c r="BQ59" s="1" t="n">
        <f aca="false">(BO59-BP59)^2</f>
        <v>1.01896013779632E-042</v>
      </c>
      <c r="BU59" s="1" t="n">
        <f aca="false">V59</f>
        <v>49</v>
      </c>
      <c r="BV59" s="1" t="n">
        <f aca="false">W59/W$9*100</f>
        <v>0</v>
      </c>
      <c r="BW59" s="1" t="n">
        <f aca="false">X59/X$9*100</f>
        <v>0</v>
      </c>
      <c r="BX59" s="1" t="n">
        <f aca="false">Z59/Z$9*100</f>
        <v>0</v>
      </c>
      <c r="BY59" s="1" t="n">
        <f aca="false">AA59/AA$9*100</f>
        <v>0</v>
      </c>
      <c r="BZ59" s="1" t="n">
        <f aca="false">AC59/AC$9*100</f>
        <v>0</v>
      </c>
      <c r="CA59" s="1" t="n">
        <f aca="false">AD59/AD$9*100</f>
        <v>0</v>
      </c>
      <c r="CB59" s="1" t="n">
        <f aca="false">AF59/AF$9*100</f>
        <v>0</v>
      </c>
      <c r="CC59" s="1" t="n">
        <f aca="false">AG59/AG$9*100</f>
        <v>0</v>
      </c>
      <c r="CE59" s="1" t="n">
        <f aca="false">$V59</f>
        <v>49</v>
      </c>
      <c r="CF59" s="1" t="n">
        <f aca="false">BV59</f>
        <v>0</v>
      </c>
      <c r="CG59" s="1" t="n">
        <f aca="false">CG$6*(1+CG$5*(-1)^$BU59)*EXP(-$BU59/CG$4)</f>
        <v>5.30898743071619E-015</v>
      </c>
      <c r="CH59" s="1" t="n">
        <f aca="false">(CF59-CG59)^2</f>
        <v>2.81853475395025E-029</v>
      </c>
      <c r="CI59" s="1" t="n">
        <f aca="false">EXP($BU59/CE59)*CF59</f>
        <v>0</v>
      </c>
      <c r="CJ59" s="1" t="n">
        <f aca="false">EXP($BU59/CE59)*(-1)^$BU59*CF59</f>
        <v>-0</v>
      </c>
      <c r="CK59" s="1" t="n">
        <f aca="false">(-1)^CE59*CF59</f>
        <v>-0</v>
      </c>
      <c r="CM59" s="1" t="n">
        <f aca="false">$V59</f>
        <v>49</v>
      </c>
      <c r="CN59" s="1" t="n">
        <f aca="false">BZ59</f>
        <v>0</v>
      </c>
      <c r="CO59" s="1" t="n">
        <f aca="false">CO$6*(1+CO$5*(-1)^$BU59)*EXP(-$BU59/CO$4)</f>
        <v>5.30898743071619E-015</v>
      </c>
      <c r="CP59" s="1" t="n">
        <f aca="false">(CN59-CO59)^2</f>
        <v>2.81853475395025E-029</v>
      </c>
      <c r="CQ59" s="1" t="n">
        <f aca="false">EXP($BU59/CM59)*CN59</f>
        <v>0</v>
      </c>
      <c r="CR59" s="1" t="n">
        <f aca="false">EXP($BU59/CM59)*(-1)^$BU59*CN59</f>
        <v>-0</v>
      </c>
      <c r="CS59" s="1" t="n">
        <f aca="false">(-1)^CM59*CN59</f>
        <v>-0</v>
      </c>
      <c r="CU59" s="1" t="n">
        <f aca="false">$V59</f>
        <v>49</v>
      </c>
      <c r="CV59" s="1" t="n">
        <f aca="false">CB59</f>
        <v>0</v>
      </c>
      <c r="CW59" s="1" t="n">
        <f aca="false">CW$6*(1+CW$5*(-1)^$BU59)*EXP(-$BU59/CW$4)</f>
        <v>2.29024113480057E-006</v>
      </c>
      <c r="CX59" s="1" t="n">
        <f aca="false">(CV59-CW59)^2</f>
        <v>5.2452044555326E-012</v>
      </c>
      <c r="CY59" s="1" t="n">
        <f aca="false">EXP($BU59/CU59)*CV59</f>
        <v>0</v>
      </c>
      <c r="CZ59" s="1" t="n">
        <f aca="false">EXP($BU59/CU59)*(-1)^$BU59*CV59</f>
        <v>-0</v>
      </c>
      <c r="DA59" s="1" t="n">
        <f aca="false">(-1)^CU59*CV59</f>
        <v>-0</v>
      </c>
      <c r="DB59" s="1" t="n">
        <v>0</v>
      </c>
    </row>
    <row r="60" customFormat="false" ht="16" hidden="false" customHeight="false" outlineLevel="0" collapsed="false">
      <c r="C60" s="1" t="n">
        <f aca="false">B60-A60</f>
        <v>0</v>
      </c>
      <c r="D60" s="1" t="n">
        <v>2</v>
      </c>
      <c r="E60" s="1" t="n">
        <v>2</v>
      </c>
      <c r="F60" s="1" t="n">
        <f aca="false">E60-D60</f>
        <v>0</v>
      </c>
      <c r="G60" s="1" t="n">
        <v>2</v>
      </c>
      <c r="H60" s="1" t="n">
        <v>2</v>
      </c>
      <c r="I60" s="1" t="n">
        <f aca="false">H60-G60</f>
        <v>0</v>
      </c>
      <c r="V60" s="1" t="n">
        <v>50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K60" s="1" t="n">
        <f aca="false">V60</f>
        <v>50</v>
      </c>
      <c r="AN60" s="1" t="n">
        <f aca="false">MAX(AN59-W60/W$9*100,0)</f>
        <v>0</v>
      </c>
      <c r="AO60" s="1" t="n">
        <f aca="false">MAX(AO59-X60/X$9*100,0)</f>
        <v>0</v>
      </c>
      <c r="AP60" s="1" t="n">
        <f aca="false">MAX(AP59-Z60/Z$9*100,0)</f>
        <v>0</v>
      </c>
      <c r="AQ60" s="1" t="n">
        <f aca="false">MAX(AQ59-AA60/AA$9*100,0)</f>
        <v>0</v>
      </c>
      <c r="AR60" s="1" t="n">
        <f aca="false">MAX(AR59-AC60/AC$9*100,0)</f>
        <v>0</v>
      </c>
      <c r="AS60" s="1" t="n">
        <f aca="false">MAX(AS59-AD60/AD$9*100,0)</f>
        <v>0</v>
      </c>
      <c r="AT60" s="1" t="n">
        <f aca="false">MAX(AT59-AF60/AF$9*100,0)</f>
        <v>0</v>
      </c>
      <c r="AU60" s="1" t="n">
        <f aca="false">MAX(AU59-AG60/AG$9*100,0)</f>
        <v>0</v>
      </c>
      <c r="AY60" s="1" t="n">
        <f aca="false">$V60</f>
        <v>50</v>
      </c>
      <c r="AZ60" s="1" t="n">
        <f aca="false">AO60</f>
        <v>0</v>
      </c>
      <c r="BA60" s="1" t="n">
        <f aca="false">BA$7*EXP(-AY60/BA$8)</f>
        <v>6.69690447585521E-021</v>
      </c>
      <c r="BB60" s="1" t="n">
        <f aca="false">(AZ60-BA60)^2</f>
        <v>4.48485295587295E-041</v>
      </c>
      <c r="BD60" s="1" t="n">
        <f aca="false">$V60</f>
        <v>50</v>
      </c>
      <c r="BE60" s="1" t="n">
        <f aca="false">AT60</f>
        <v>0</v>
      </c>
      <c r="BF60" s="1" t="n">
        <f aca="false">BF$7*EXP(-BD60/BF$8)</f>
        <v>9.98559361235743E-011</v>
      </c>
      <c r="BG60" s="1" t="n">
        <f aca="false">(BE60-BF60)^2</f>
        <v>9.97120797911535E-021</v>
      </c>
      <c r="BI60" s="1" t="n">
        <f aca="false">$V60</f>
        <v>50</v>
      </c>
      <c r="BJ60" s="1" t="n">
        <f aca="false">AN60</f>
        <v>0</v>
      </c>
      <c r="BK60" s="1" t="n">
        <f aca="false">BK$7*EXP(-BI60/BK$8)</f>
        <v>2.5798180182635E-024</v>
      </c>
      <c r="BL60" s="1" t="n">
        <f aca="false">(BJ60-BK60)^2</f>
        <v>6.65546100735701E-048</v>
      </c>
      <c r="BN60" s="1" t="n">
        <f aca="false">$V60</f>
        <v>50</v>
      </c>
      <c r="BO60" s="1" t="n">
        <f aca="false">AR60</f>
        <v>0</v>
      </c>
      <c r="BP60" s="1" t="n">
        <f aca="false">BP$7*EXP(-BN60/BP$8)</f>
        <v>3.36381353611853E-022</v>
      </c>
      <c r="BQ60" s="1" t="n">
        <f aca="false">(BO60-BP60)^2</f>
        <v>1.13152415057743E-043</v>
      </c>
      <c r="BU60" s="1" t="n">
        <f aca="false">V60</f>
        <v>50</v>
      </c>
      <c r="BV60" s="1" t="n">
        <f aca="false">W60/W$9*100</f>
        <v>0</v>
      </c>
      <c r="BW60" s="1" t="n">
        <f aca="false">X60/X$9*100</f>
        <v>0</v>
      </c>
      <c r="BX60" s="1" t="n">
        <f aca="false">Z60/Z$9*100</f>
        <v>0</v>
      </c>
      <c r="BY60" s="1" t="n">
        <f aca="false">AA60/AA$9*100</f>
        <v>0</v>
      </c>
      <c r="BZ60" s="1" t="n">
        <f aca="false">AC60/AC$9*100</f>
        <v>0</v>
      </c>
      <c r="CA60" s="1" t="n">
        <f aca="false">AD60/AD$9*100</f>
        <v>0</v>
      </c>
      <c r="CB60" s="1" t="n">
        <f aca="false">AF60/AF$9*100</f>
        <v>0</v>
      </c>
      <c r="CC60" s="1" t="n">
        <f aca="false">AG60/AG$9*100</f>
        <v>0</v>
      </c>
      <c r="CE60" s="1" t="n">
        <f aca="false">$V60</f>
        <v>50</v>
      </c>
      <c r="CF60" s="1" t="n">
        <f aca="false">BV60</f>
        <v>0</v>
      </c>
      <c r="CG60" s="1" t="n">
        <f aca="false">CG$6*(1+CG$5*(-1)^$BU60)*EXP(-$BU60/CG$4)</f>
        <v>7.27137961452139E-015</v>
      </c>
      <c r="CH60" s="1" t="n">
        <f aca="false">(CF60-CG60)^2</f>
        <v>5.28729614984773E-029</v>
      </c>
      <c r="CI60" s="1" t="n">
        <f aca="false">EXP($BU60/CE60)*CF60</f>
        <v>0</v>
      </c>
      <c r="CJ60" s="1" t="n">
        <f aca="false">EXP($BU60/CE60)*(-1)^$BU60*CF60</f>
        <v>0</v>
      </c>
      <c r="CK60" s="1" t="n">
        <f aca="false">(-1)^CE60*CF60</f>
        <v>0</v>
      </c>
      <c r="CM60" s="1" t="n">
        <f aca="false">$V60</f>
        <v>50</v>
      </c>
      <c r="CN60" s="1" t="n">
        <f aca="false">BZ60</f>
        <v>0</v>
      </c>
      <c r="CO60" s="1" t="n">
        <f aca="false">CO$6*(1+CO$5*(-1)^$BU60)*EXP(-$BU60/CO$4)</f>
        <v>7.27137961452139E-015</v>
      </c>
      <c r="CP60" s="1" t="n">
        <f aca="false">(CN60-CO60)^2</f>
        <v>5.28729614984773E-029</v>
      </c>
      <c r="CQ60" s="1" t="n">
        <f aca="false">EXP($BU60/CM60)*CN60</f>
        <v>0</v>
      </c>
      <c r="CR60" s="1" t="n">
        <f aca="false">EXP($BU60/CM60)*(-1)^$BU60*CN60</f>
        <v>0</v>
      </c>
      <c r="CS60" s="1" t="n">
        <f aca="false">(-1)^CM60*CN60</f>
        <v>0</v>
      </c>
      <c r="CU60" s="1" t="n">
        <f aca="false">$V60</f>
        <v>50</v>
      </c>
      <c r="CV60" s="1" t="n">
        <f aca="false">CB60</f>
        <v>0</v>
      </c>
      <c r="CW60" s="1" t="n">
        <f aca="false">CW$6*(1+CW$5*(-1)^$BU60)*EXP(-$BU60/CW$4)</f>
        <v>3.1855278177062E-006</v>
      </c>
      <c r="CX60" s="1" t="n">
        <f aca="false">(CV60-CW60)^2</f>
        <v>1.014758747738E-011</v>
      </c>
      <c r="CY60" s="1" t="n">
        <f aca="false">EXP($BU60/CU60)*CV60</f>
        <v>0</v>
      </c>
      <c r="CZ60" s="1" t="n">
        <f aca="false">EXP($BU60/CU60)*(-1)^$BU60*CV60</f>
        <v>0</v>
      </c>
      <c r="DA60" s="1" t="n">
        <f aca="false">(-1)^CU60*CV60</f>
        <v>0</v>
      </c>
      <c r="DB60" s="1" t="n">
        <v>0</v>
      </c>
    </row>
    <row r="61" customFormat="false" ht="16" hidden="false" customHeight="false" outlineLevel="0" collapsed="false">
      <c r="C61" s="1" t="n">
        <f aca="false">B61-A61</f>
        <v>0</v>
      </c>
      <c r="D61" s="1" t="n">
        <v>2</v>
      </c>
      <c r="E61" s="1" t="n">
        <v>4</v>
      </c>
      <c r="F61" s="1" t="n">
        <f aca="false">E61-D61</f>
        <v>2</v>
      </c>
      <c r="G61" s="1" t="n">
        <v>1</v>
      </c>
      <c r="H61" s="1" t="n">
        <v>2</v>
      </c>
      <c r="I61" s="1" t="n">
        <f aca="false">H61-G61</f>
        <v>1</v>
      </c>
      <c r="V61" s="1" t="n">
        <v>51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K61" s="1" t="n">
        <f aca="false">V61</f>
        <v>51</v>
      </c>
      <c r="AN61" s="1" t="n">
        <f aca="false">MAX(AN60-W61/W$9*100,0)</f>
        <v>0</v>
      </c>
      <c r="AO61" s="1" t="n">
        <f aca="false">MAX(AO60-X61/X$9*100,0)</f>
        <v>0</v>
      </c>
      <c r="AP61" s="1" t="n">
        <f aca="false">MAX(AP60-Z61/Z$9*100,0)</f>
        <v>0</v>
      </c>
      <c r="AQ61" s="1" t="n">
        <f aca="false">MAX(AQ60-AA61/AA$9*100,0)</f>
        <v>0</v>
      </c>
      <c r="AR61" s="1" t="n">
        <f aca="false">MAX(AR60-AC61/AC$9*100,0)</f>
        <v>0</v>
      </c>
      <c r="AS61" s="1" t="n">
        <f aca="false">MAX(AS60-AD61/AD$9*100,0)</f>
        <v>0</v>
      </c>
      <c r="AT61" s="1" t="n">
        <f aca="false">MAX(AT60-AF61/AF$9*100,0)</f>
        <v>0</v>
      </c>
      <c r="AU61" s="1" t="n">
        <f aca="false">MAX(AU60-AG61/AG$9*100,0)</f>
        <v>0</v>
      </c>
      <c r="AY61" s="1" t="n">
        <f aca="false">$V61</f>
        <v>51</v>
      </c>
      <c r="AZ61" s="1" t="n">
        <f aca="false">AO61</f>
        <v>0</v>
      </c>
      <c r="BA61" s="1" t="n">
        <f aca="false">BA$7*EXP(-AY61/BA$8)</f>
        <v>2.38862423438241E-021</v>
      </c>
      <c r="BB61" s="1" t="n">
        <f aca="false">(AZ61-BA61)^2</f>
        <v>5.70552573307895E-042</v>
      </c>
      <c r="BD61" s="1" t="n">
        <f aca="false">$V61</f>
        <v>51</v>
      </c>
      <c r="BE61" s="1" t="n">
        <f aca="false">AT61</f>
        <v>0</v>
      </c>
      <c r="BF61" s="1" t="n">
        <f aca="false">BF$7*EXP(-BD61/BF$8)</f>
        <v>5.69361665779057E-011</v>
      </c>
      <c r="BG61" s="1" t="n">
        <f aca="false">(BE61-BF61)^2</f>
        <v>3.24172706458703E-021</v>
      </c>
      <c r="BI61" s="1" t="n">
        <f aca="false">$V61</f>
        <v>51</v>
      </c>
      <c r="BJ61" s="1" t="n">
        <f aca="false">AN61</f>
        <v>0</v>
      </c>
      <c r="BK61" s="1" t="n">
        <f aca="false">BK$7*EXP(-BI61/BK$8)</f>
        <v>7.84461856357875E-025</v>
      </c>
      <c r="BL61" s="1" t="n">
        <f aca="false">(BJ61-BK61)^2</f>
        <v>6.15380404080443E-049</v>
      </c>
      <c r="BN61" s="1" t="n">
        <f aca="false">$V61</f>
        <v>51</v>
      </c>
      <c r="BO61" s="1" t="n">
        <f aca="false">AR61</f>
        <v>0</v>
      </c>
      <c r="BP61" s="1" t="n">
        <f aca="false">BP$7*EXP(-BN61/BP$8)</f>
        <v>1.12094739087468E-022</v>
      </c>
      <c r="BQ61" s="1" t="n">
        <f aca="false">(BO61-BP61)^2</f>
        <v>1.25652305310875E-044</v>
      </c>
      <c r="BU61" s="1" t="n">
        <f aca="false">V61</f>
        <v>51</v>
      </c>
      <c r="BV61" s="1" t="n">
        <f aca="false">W61/W$9*100</f>
        <v>0</v>
      </c>
      <c r="BW61" s="1" t="n">
        <f aca="false">X61/X$9*100</f>
        <v>0</v>
      </c>
      <c r="BX61" s="1" t="n">
        <f aca="false">Z61/Z$9*100</f>
        <v>0</v>
      </c>
      <c r="BY61" s="1" t="n">
        <f aca="false">AA61/AA$9*100</f>
        <v>0</v>
      </c>
      <c r="BZ61" s="1" t="n">
        <f aca="false">AC61/AC$9*100</f>
        <v>0</v>
      </c>
      <c r="CA61" s="1" t="n">
        <f aca="false">AD61/AD$9*100</f>
        <v>0</v>
      </c>
      <c r="CB61" s="1" t="n">
        <f aca="false">AF61/AF$9*100</f>
        <v>0</v>
      </c>
      <c r="CC61" s="1" t="n">
        <f aca="false">AG61/AG$9*100</f>
        <v>0</v>
      </c>
      <c r="CE61" s="1" t="n">
        <f aca="false">$V61</f>
        <v>51</v>
      </c>
      <c r="CF61" s="1" t="n">
        <f aca="false">BV61</f>
        <v>0</v>
      </c>
      <c r="CG61" s="1" t="n">
        <f aca="false">CG$6*(1+CG$5*(-1)^$BU61)*EXP(-$BU61/CG$4)</f>
        <v>1.16678209196637E-015</v>
      </c>
      <c r="CH61" s="1" t="n">
        <f aca="false">(CF61-CG61)^2</f>
        <v>1.36138045013342E-030</v>
      </c>
      <c r="CI61" s="1" t="n">
        <f aca="false">EXP($BU61/CE61)*CF61</f>
        <v>0</v>
      </c>
      <c r="CJ61" s="1" t="n">
        <f aca="false">EXP($BU61/CE61)*(-1)^$BU61*CF61</f>
        <v>-0</v>
      </c>
      <c r="CK61" s="1" t="n">
        <f aca="false">(-1)^CE61*CF61</f>
        <v>-0</v>
      </c>
      <c r="CM61" s="1" t="n">
        <f aca="false">$V61</f>
        <v>51</v>
      </c>
      <c r="CN61" s="1" t="n">
        <f aca="false">BZ61</f>
        <v>0</v>
      </c>
      <c r="CO61" s="1" t="n">
        <f aca="false">CO$6*(1+CO$5*(-1)^$BU61)*EXP(-$BU61/CO$4)</f>
        <v>1.16678209196637E-015</v>
      </c>
      <c r="CP61" s="1" t="n">
        <f aca="false">(CN61-CO61)^2</f>
        <v>1.36138045013342E-030</v>
      </c>
      <c r="CQ61" s="1" t="n">
        <f aca="false">EXP($BU61/CM61)*CN61</f>
        <v>0</v>
      </c>
      <c r="CR61" s="1" t="n">
        <f aca="false">EXP($BU61/CM61)*(-1)^$BU61*CN61</f>
        <v>-0</v>
      </c>
      <c r="CS61" s="1" t="n">
        <f aca="false">(-1)^CM61*CN61</f>
        <v>-0</v>
      </c>
      <c r="CU61" s="1" t="n">
        <f aca="false">$V61</f>
        <v>51</v>
      </c>
      <c r="CV61" s="1" t="n">
        <f aca="false">CB61</f>
        <v>0</v>
      </c>
      <c r="CW61" s="1" t="n">
        <f aca="false">CW$6*(1+CW$5*(-1)^$BU61)*EXP(-$BU61/CW$4)</f>
        <v>1.17584900531924E-006</v>
      </c>
      <c r="CX61" s="1" t="n">
        <f aca="false">(CV61-CW61)^2</f>
        <v>1.38262088331025E-012</v>
      </c>
      <c r="CY61" s="1" t="n">
        <f aca="false">EXP($BU61/CU61)*CV61</f>
        <v>0</v>
      </c>
      <c r="CZ61" s="1" t="n">
        <f aca="false">EXP($BU61/CU61)*(-1)^$BU61*CV61</f>
        <v>-0</v>
      </c>
      <c r="DA61" s="1" t="n">
        <f aca="false">(-1)^CU61*CV61</f>
        <v>-0</v>
      </c>
      <c r="DB61" s="1" t="n">
        <v>0</v>
      </c>
    </row>
    <row r="62" customFormat="false" ht="16" hidden="false" customHeight="false" outlineLevel="0" collapsed="false">
      <c r="C62" s="1" t="n">
        <f aca="false">B62-A62</f>
        <v>0</v>
      </c>
      <c r="D62" s="1" t="n">
        <v>2</v>
      </c>
      <c r="E62" s="1" t="n">
        <v>2</v>
      </c>
      <c r="F62" s="1" t="n">
        <f aca="false">E62-D62</f>
        <v>0</v>
      </c>
      <c r="G62" s="1" t="n">
        <v>2</v>
      </c>
      <c r="H62" s="1" t="n">
        <v>2</v>
      </c>
      <c r="I62" s="1" t="n">
        <f aca="false">H62-G62</f>
        <v>0</v>
      </c>
      <c r="V62" s="1" t="n">
        <v>52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K62" s="1" t="n">
        <f aca="false">V62</f>
        <v>52</v>
      </c>
      <c r="AN62" s="1" t="n">
        <f aca="false">MAX(AN61-W62/W$9*100,0)</f>
        <v>0</v>
      </c>
      <c r="AO62" s="1" t="n">
        <f aca="false">MAX(AO61-X62/X$9*100,0)</f>
        <v>0</v>
      </c>
      <c r="AP62" s="1" t="n">
        <f aca="false">MAX(AP61-Z62/Z$9*100,0)</f>
        <v>0</v>
      </c>
      <c r="AQ62" s="1" t="n">
        <f aca="false">MAX(AQ61-AA62/AA$9*100,0)</f>
        <v>0</v>
      </c>
      <c r="AR62" s="1" t="n">
        <f aca="false">MAX(AR61-AC62/AC$9*100,0)</f>
        <v>0</v>
      </c>
      <c r="AS62" s="1" t="n">
        <f aca="false">MAX(AS61-AD62/AD$9*100,0)</f>
        <v>0</v>
      </c>
      <c r="AT62" s="1" t="n">
        <f aca="false">MAX(AT61-AF62/AF$9*100,0)</f>
        <v>0</v>
      </c>
      <c r="AU62" s="1" t="n">
        <f aca="false">MAX(AU61-AG62/AG$9*100,0)</f>
        <v>0</v>
      </c>
      <c r="AY62" s="1" t="n">
        <f aca="false">$V62</f>
        <v>52</v>
      </c>
      <c r="AZ62" s="1" t="n">
        <f aca="false">AO62</f>
        <v>0</v>
      </c>
      <c r="BA62" s="1" t="n">
        <f aca="false">BA$7*EXP(-AY62/BA$8)</f>
        <v>8.51964628381582E-022</v>
      </c>
      <c r="BB62" s="1" t="n">
        <f aca="false">(AZ62-BA62)^2</f>
        <v>7.25843728013367E-043</v>
      </c>
      <c r="BD62" s="1" t="n">
        <f aca="false">$V62</f>
        <v>52</v>
      </c>
      <c r="BE62" s="1" t="n">
        <f aca="false">AT62</f>
        <v>0</v>
      </c>
      <c r="BF62" s="1" t="n">
        <f aca="false">BF$7*EXP(-BD62/BF$8)</f>
        <v>3.2464039599762E-011</v>
      </c>
      <c r="BG62" s="1" t="n">
        <f aca="false">(BE62-BF62)^2</f>
        <v>1.05391386713492E-021</v>
      </c>
      <c r="BI62" s="1" t="n">
        <f aca="false">$V62</f>
        <v>52</v>
      </c>
      <c r="BJ62" s="1" t="n">
        <f aca="false">AN62</f>
        <v>0</v>
      </c>
      <c r="BK62" s="1" t="n">
        <f aca="false">BK$7*EXP(-BI62/BK$8)</f>
        <v>2.38536361760378E-025</v>
      </c>
      <c r="BL62" s="1" t="n">
        <f aca="false">(BJ62-BK62)^2</f>
        <v>5.68995958818779E-050</v>
      </c>
      <c r="BN62" s="1" t="n">
        <f aca="false">$V62</f>
        <v>52</v>
      </c>
      <c r="BO62" s="1" t="n">
        <f aca="false">AR62</f>
        <v>0</v>
      </c>
      <c r="BP62" s="1" t="n">
        <f aca="false">BP$7*EXP(-BN62/BP$8)</f>
        <v>3.73541232180974E-023</v>
      </c>
      <c r="BQ62" s="1" t="n">
        <f aca="false">(BO62-BP62)^2</f>
        <v>1.3953305213928E-045</v>
      </c>
      <c r="BU62" s="1" t="n">
        <f aca="false">V62</f>
        <v>52</v>
      </c>
      <c r="BV62" s="1" t="n">
        <f aca="false">W62/W$9*100</f>
        <v>0</v>
      </c>
      <c r="BW62" s="1" t="n">
        <f aca="false">X62/X$9*100</f>
        <v>0</v>
      </c>
      <c r="BX62" s="1" t="n">
        <f aca="false">Z62/Z$9*100</f>
        <v>0</v>
      </c>
      <c r="BY62" s="1" t="n">
        <f aca="false">AA62/AA$9*100</f>
        <v>0</v>
      </c>
      <c r="BZ62" s="1" t="n">
        <f aca="false">AC62/AC$9*100</f>
        <v>0</v>
      </c>
      <c r="CA62" s="1" t="n">
        <f aca="false">AD62/AD$9*100</f>
        <v>0</v>
      </c>
      <c r="CB62" s="1" t="n">
        <f aca="false">AF62/AF$9*100</f>
        <v>0</v>
      </c>
      <c r="CC62" s="1" t="n">
        <f aca="false">AG62/AG$9*100</f>
        <v>0</v>
      </c>
      <c r="CE62" s="1" t="n">
        <f aca="false">$V62</f>
        <v>52</v>
      </c>
      <c r="CF62" s="1" t="n">
        <f aca="false">BV62</f>
        <v>0</v>
      </c>
      <c r="CG62" s="1" t="n">
        <f aca="false">CG$6*(1+CG$5*(-1)^$BU62)*EXP(-$BU62/CG$4)</f>
        <v>1.598066604759E-015</v>
      </c>
      <c r="CH62" s="1" t="n">
        <f aca="false">(CF62-CG62)^2</f>
        <v>2.55381687324596E-030</v>
      </c>
      <c r="CI62" s="1" t="n">
        <f aca="false">EXP($BU62/CE62)*CF62</f>
        <v>0</v>
      </c>
      <c r="CJ62" s="1" t="n">
        <f aca="false">EXP($BU62/CE62)*(-1)^$BU62*CF62</f>
        <v>0</v>
      </c>
      <c r="CK62" s="1" t="n">
        <f aca="false">(-1)^CE62*CF62</f>
        <v>0</v>
      </c>
      <c r="CM62" s="1" t="n">
        <f aca="false">$V62</f>
        <v>52</v>
      </c>
      <c r="CN62" s="1" t="n">
        <f aca="false">BZ62</f>
        <v>0</v>
      </c>
      <c r="CO62" s="1" t="n">
        <f aca="false">CO$6*(1+CO$5*(-1)^$BU62)*EXP(-$BU62/CO$4)</f>
        <v>1.598066604759E-015</v>
      </c>
      <c r="CP62" s="1" t="n">
        <f aca="false">(CN62-CO62)^2</f>
        <v>2.55381687324596E-030</v>
      </c>
      <c r="CQ62" s="1" t="n">
        <f aca="false">EXP($BU62/CM62)*CN62</f>
        <v>0</v>
      </c>
      <c r="CR62" s="1" t="n">
        <f aca="false">EXP($BU62/CM62)*(-1)^$BU62*CN62</f>
        <v>0</v>
      </c>
      <c r="CS62" s="1" t="n">
        <f aca="false">(-1)^CM62*CN62</f>
        <v>0</v>
      </c>
      <c r="CU62" s="1" t="n">
        <f aca="false">$V62</f>
        <v>52</v>
      </c>
      <c r="CV62" s="1" t="n">
        <f aca="false">CB62</f>
        <v>0</v>
      </c>
      <c r="CW62" s="1" t="n">
        <f aca="false">CW$6*(1+CW$5*(-1)^$BU62)*EXP(-$BU62/CW$4)</f>
        <v>1.6355045147649E-006</v>
      </c>
      <c r="CX62" s="1" t="n">
        <f aca="false">(CV62-CW62)^2</f>
        <v>2.67487501781637E-012</v>
      </c>
      <c r="CY62" s="1" t="n">
        <f aca="false">EXP($BU62/CU62)*CV62</f>
        <v>0</v>
      </c>
      <c r="CZ62" s="1" t="n">
        <f aca="false">EXP($BU62/CU62)*(-1)^$BU62*CV62</f>
        <v>0</v>
      </c>
      <c r="DA62" s="1" t="n">
        <f aca="false">(-1)^CU62*CV62</f>
        <v>0</v>
      </c>
      <c r="DB62" s="1" t="n">
        <v>0</v>
      </c>
    </row>
    <row r="63" customFormat="false" ht="16" hidden="false" customHeight="false" outlineLevel="0" collapsed="false">
      <c r="C63" s="1" t="n">
        <f aca="false">B63-A63</f>
        <v>0</v>
      </c>
      <c r="D63" s="1" t="n">
        <v>2</v>
      </c>
      <c r="E63" s="1" t="n">
        <v>2</v>
      </c>
      <c r="F63" s="1" t="n">
        <f aca="false">E63-D63</f>
        <v>0</v>
      </c>
      <c r="G63" s="1" t="n">
        <v>3</v>
      </c>
      <c r="H63" s="1" t="n">
        <v>4</v>
      </c>
      <c r="I63" s="1" t="n">
        <f aca="false">H63-G63</f>
        <v>1</v>
      </c>
      <c r="V63" s="1" t="n">
        <v>53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K63" s="1" t="n">
        <f aca="false">V63</f>
        <v>53</v>
      </c>
      <c r="AN63" s="1" t="n">
        <f aca="false">MAX(AN62-W63/W$9*100,0)</f>
        <v>0</v>
      </c>
      <c r="AO63" s="1" t="n">
        <f aca="false">MAX(AO62-X63/X$9*100,0)</f>
        <v>0</v>
      </c>
      <c r="AP63" s="1" t="n">
        <f aca="false">MAX(AP62-Z63/Z$9*100,0)</f>
        <v>0</v>
      </c>
      <c r="AQ63" s="1" t="n">
        <f aca="false">MAX(AQ62-AA63/AA$9*100,0)</f>
        <v>0</v>
      </c>
      <c r="AR63" s="1" t="n">
        <f aca="false">MAX(AR62-AC63/AC$9*100,0)</f>
        <v>0</v>
      </c>
      <c r="AS63" s="1" t="n">
        <f aca="false">MAX(AS62-AD63/AD$9*100,0)</f>
        <v>0</v>
      </c>
      <c r="AT63" s="1" t="n">
        <f aca="false">MAX(AT62-AF63/AF$9*100,0)</f>
        <v>0</v>
      </c>
      <c r="AU63" s="1" t="n">
        <f aca="false">MAX(AU62-AG63/AG$9*100,0)</f>
        <v>0</v>
      </c>
      <c r="AY63" s="1" t="n">
        <f aca="false">$V63</f>
        <v>53</v>
      </c>
      <c r="AZ63" s="1" t="n">
        <f aca="false">AO63</f>
        <v>0</v>
      </c>
      <c r="BA63" s="1" t="n">
        <f aca="false">BA$7*EXP(-AY63/BA$8)</f>
        <v>3.03875225565161E-022</v>
      </c>
      <c r="BB63" s="1" t="n">
        <f aca="false">(AZ63-BA63)^2</f>
        <v>9.23401527122775E-044</v>
      </c>
      <c r="BD63" s="1" t="n">
        <f aca="false">$V63</f>
        <v>53</v>
      </c>
      <c r="BE63" s="1" t="n">
        <f aca="false">AT63</f>
        <v>0</v>
      </c>
      <c r="BF63" s="1" t="n">
        <f aca="false">BF$7*EXP(-BD63/BF$8)</f>
        <v>1.85104465312544E-011</v>
      </c>
      <c r="BG63" s="1" t="n">
        <f aca="false">(BE63-BF63)^2</f>
        <v>3.42636630786428E-022</v>
      </c>
      <c r="BI63" s="1" t="n">
        <f aca="false">$V63</f>
        <v>53</v>
      </c>
      <c r="BJ63" s="1" t="n">
        <f aca="false">AN63</f>
        <v>0</v>
      </c>
      <c r="BK63" s="1" t="n">
        <f aca="false">BK$7*EXP(-BI63/BK$8)</f>
        <v>7.25332856157639E-026</v>
      </c>
      <c r="BL63" s="1" t="n">
        <f aca="false">(BJ63-BK63)^2</f>
        <v>5.26107752221798E-051</v>
      </c>
      <c r="BN63" s="1" t="n">
        <f aca="false">$V63</f>
        <v>53</v>
      </c>
      <c r="BO63" s="1" t="n">
        <f aca="false">AR63</f>
        <v>0</v>
      </c>
      <c r="BP63" s="1" t="n">
        <f aca="false">BP$7*EXP(-BN63/BP$8)</f>
        <v>1.24477788409322E-023</v>
      </c>
      <c r="BQ63" s="1" t="n">
        <f aca="false">(BO63-BP63)^2</f>
        <v>1.54947198072759E-046</v>
      </c>
      <c r="BU63" s="1" t="n">
        <f aca="false">V63</f>
        <v>53</v>
      </c>
      <c r="BV63" s="1" t="n">
        <f aca="false">W63/W$9*100</f>
        <v>0</v>
      </c>
      <c r="BW63" s="1" t="n">
        <f aca="false">X63/X$9*100</f>
        <v>0</v>
      </c>
      <c r="BX63" s="1" t="n">
        <f aca="false">Z63/Z$9*100</f>
        <v>0</v>
      </c>
      <c r="BY63" s="1" t="n">
        <f aca="false">AA63/AA$9*100</f>
        <v>0</v>
      </c>
      <c r="BZ63" s="1" t="n">
        <f aca="false">AC63/AC$9*100</f>
        <v>0</v>
      </c>
      <c r="CA63" s="1" t="n">
        <f aca="false">AD63/AD$9*100</f>
        <v>0</v>
      </c>
      <c r="CB63" s="1" t="n">
        <f aca="false">AF63/AF$9*100</f>
        <v>0</v>
      </c>
      <c r="CC63" s="1" t="n">
        <f aca="false">AG63/AG$9*100</f>
        <v>0</v>
      </c>
      <c r="CE63" s="1" t="n">
        <f aca="false">$V63</f>
        <v>53</v>
      </c>
      <c r="CF63" s="1" t="n">
        <f aca="false">BV63</f>
        <v>0</v>
      </c>
      <c r="CG63" s="1" t="n">
        <f aca="false">CG$6*(1+CG$5*(-1)^$BU63)*EXP(-$BU63/CG$4)</f>
        <v>2.56429397865377E-016</v>
      </c>
      <c r="CH63" s="1" t="n">
        <f aca="false">(CF63-CG63)^2</f>
        <v>6.57560360895998E-032</v>
      </c>
      <c r="CI63" s="1" t="n">
        <f aca="false">EXP($BU63/CE63)*CF63</f>
        <v>0</v>
      </c>
      <c r="CJ63" s="1" t="n">
        <f aca="false">EXP($BU63/CE63)*(-1)^$BU63*CF63</f>
        <v>-0</v>
      </c>
      <c r="CK63" s="1" t="n">
        <f aca="false">(-1)^CE63*CF63</f>
        <v>-0</v>
      </c>
      <c r="CM63" s="1" t="n">
        <f aca="false">$V63</f>
        <v>53</v>
      </c>
      <c r="CN63" s="1" t="n">
        <f aca="false">BZ63</f>
        <v>0</v>
      </c>
      <c r="CO63" s="1" t="n">
        <f aca="false">CO$6*(1+CO$5*(-1)^$BU63)*EXP(-$BU63/CO$4)</f>
        <v>2.56429397865377E-016</v>
      </c>
      <c r="CP63" s="1" t="n">
        <f aca="false">(CN63-CO63)^2</f>
        <v>6.57560360895998E-032</v>
      </c>
      <c r="CQ63" s="1" t="n">
        <f aca="false">EXP($BU63/CM63)*CN63</f>
        <v>0</v>
      </c>
      <c r="CR63" s="1" t="n">
        <f aca="false">EXP($BU63/CM63)*(-1)^$BU63*CN63</f>
        <v>-0</v>
      </c>
      <c r="CS63" s="1" t="n">
        <f aca="false">(-1)^CM63*CN63</f>
        <v>-0</v>
      </c>
      <c r="CU63" s="1" t="n">
        <f aca="false">$V63</f>
        <v>53</v>
      </c>
      <c r="CV63" s="1" t="n">
        <f aca="false">CB63</f>
        <v>0</v>
      </c>
      <c r="CW63" s="1" t="n">
        <f aca="false">CW$6*(1+CW$5*(-1)^$BU63)*EXP(-$BU63/CW$4)</f>
        <v>6.03701008728343E-007</v>
      </c>
      <c r="CX63" s="1" t="n">
        <f aca="false">(CV63-CW63)^2</f>
        <v>3.64454907939619E-013</v>
      </c>
      <c r="CY63" s="1" t="n">
        <f aca="false">EXP($BU63/CU63)*CV63</f>
        <v>0</v>
      </c>
      <c r="CZ63" s="1" t="n">
        <f aca="false">EXP($BU63/CU63)*(-1)^$BU63*CV63</f>
        <v>-0</v>
      </c>
      <c r="DA63" s="1" t="n">
        <f aca="false">(-1)^CU63*CV63</f>
        <v>-0</v>
      </c>
      <c r="DB63" s="1" t="n">
        <v>0</v>
      </c>
    </row>
    <row r="64" customFormat="false" ht="16" hidden="false" customHeight="false" outlineLevel="0" collapsed="false">
      <c r="C64" s="1" t="n">
        <f aca="false">B64-A64</f>
        <v>0</v>
      </c>
      <c r="D64" s="1" t="n">
        <v>1</v>
      </c>
      <c r="E64" s="1" t="n">
        <v>2</v>
      </c>
      <c r="F64" s="1" t="n">
        <f aca="false">E64-D64</f>
        <v>1</v>
      </c>
      <c r="G64" s="1" t="n">
        <v>3</v>
      </c>
      <c r="H64" s="1" t="n">
        <v>5</v>
      </c>
      <c r="I64" s="1" t="n">
        <f aca="false">H64-G64</f>
        <v>2</v>
      </c>
      <c r="V64" s="1" t="n">
        <v>54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K64" s="1" t="n">
        <f aca="false">V64</f>
        <v>54</v>
      </c>
      <c r="AN64" s="1" t="n">
        <f aca="false">MAX(AN63-W64/W$9*100,0)</f>
        <v>0</v>
      </c>
      <c r="AO64" s="1" t="n">
        <f aca="false">MAX(AO63-X64/X$9*100,0)</f>
        <v>0</v>
      </c>
      <c r="AP64" s="1" t="n">
        <f aca="false">MAX(AP63-Z64/Z$9*100,0)</f>
        <v>0</v>
      </c>
      <c r="AQ64" s="1" t="n">
        <f aca="false">MAX(AQ63-AA64/AA$9*100,0)</f>
        <v>0</v>
      </c>
      <c r="AR64" s="1" t="n">
        <f aca="false">MAX(AR63-AC64/AC$9*100,0)</f>
        <v>0</v>
      </c>
      <c r="AS64" s="1" t="n">
        <f aca="false">MAX(AS63-AD64/AD$9*100,0)</f>
        <v>0</v>
      </c>
      <c r="AT64" s="1" t="n">
        <f aca="false">MAX(AT63-AF64/AF$9*100,0)</f>
        <v>0</v>
      </c>
      <c r="AU64" s="1" t="n">
        <f aca="false">MAX(AU63-AG64/AG$9*100,0)</f>
        <v>0</v>
      </c>
      <c r="AY64" s="1" t="n">
        <f aca="false">$V64</f>
        <v>54</v>
      </c>
      <c r="AZ64" s="1" t="n">
        <f aca="false">AO64</f>
        <v>0</v>
      </c>
      <c r="BA64" s="1" t="n">
        <f aca="false">BA$7*EXP(-AY64/BA$8)</f>
        <v>1.08384960638202E-022</v>
      </c>
      <c r="BB64" s="1" t="n">
        <f aca="false">(AZ64-BA64)^2</f>
        <v>1.17472996925446E-044</v>
      </c>
      <c r="BD64" s="1" t="n">
        <f aca="false">$V64</f>
        <v>54</v>
      </c>
      <c r="BE64" s="1" t="n">
        <f aca="false">AT64</f>
        <v>0</v>
      </c>
      <c r="BF64" s="1" t="n">
        <f aca="false">BF$7*EXP(-BD64/BF$8)</f>
        <v>1.05543436679686E-011</v>
      </c>
      <c r="BG64" s="1" t="n">
        <f aca="false">(BE64-BF64)^2</f>
        <v>1.11394170261589E-022</v>
      </c>
      <c r="BI64" s="1" t="n">
        <f aca="false">$V64</f>
        <v>54</v>
      </c>
      <c r="BJ64" s="1" t="n">
        <f aca="false">AN64</f>
        <v>0</v>
      </c>
      <c r="BK64" s="1" t="n">
        <f aca="false">BK$7*EXP(-BI64/BK$8)</f>
        <v>2.20556626394049E-026</v>
      </c>
      <c r="BL64" s="1" t="n">
        <f aca="false">(BJ64-BK64)^2</f>
        <v>4.86452254463241E-052</v>
      </c>
      <c r="BN64" s="1" t="n">
        <f aca="false">$V64</f>
        <v>54</v>
      </c>
      <c r="BO64" s="1" t="n">
        <f aca="false">AR64</f>
        <v>0</v>
      </c>
      <c r="BP64" s="1" t="n">
        <f aca="false">BP$7*EXP(-BN64/BP$8)</f>
        <v>4.14806143803935E-024</v>
      </c>
      <c r="BQ64" s="1" t="n">
        <f aca="false">(BO64-BP64)^2</f>
        <v>1.72064136937491E-047</v>
      </c>
      <c r="BU64" s="1" t="n">
        <f aca="false">V64</f>
        <v>54</v>
      </c>
      <c r="BV64" s="1" t="n">
        <f aca="false">W64/W$9*100</f>
        <v>0</v>
      </c>
      <c r="BW64" s="1" t="n">
        <f aca="false">X64/X$9*100</f>
        <v>0</v>
      </c>
      <c r="BX64" s="1" t="n">
        <f aca="false">Z64/Z$9*100</f>
        <v>0</v>
      </c>
      <c r="BY64" s="1" t="n">
        <f aca="false">AA64/AA$9*100</f>
        <v>0</v>
      </c>
      <c r="BZ64" s="1" t="n">
        <f aca="false">AC64/AC$9*100</f>
        <v>0</v>
      </c>
      <c r="CA64" s="1" t="n">
        <f aca="false">AD64/AD$9*100</f>
        <v>0</v>
      </c>
      <c r="CB64" s="1" t="n">
        <f aca="false">AF64/AF$9*100</f>
        <v>0</v>
      </c>
      <c r="CC64" s="1" t="n">
        <f aca="false">AG64/AG$9*100</f>
        <v>0</v>
      </c>
      <c r="CE64" s="1" t="n">
        <f aca="false">$V64</f>
        <v>54</v>
      </c>
      <c r="CF64" s="1" t="n">
        <f aca="false">BV64</f>
        <v>0</v>
      </c>
      <c r="CG64" s="1" t="n">
        <f aca="false">CG$6*(1+CG$5*(-1)^$BU64)*EXP(-$BU64/CG$4)</f>
        <v>3.51214901247329E-016</v>
      </c>
      <c r="CH64" s="1" t="n">
        <f aca="false">(CF64-CG64)^2</f>
        <v>1.23351906858171E-031</v>
      </c>
      <c r="CI64" s="1" t="n">
        <f aca="false">EXP($BU64/CE64)*CF64</f>
        <v>0</v>
      </c>
      <c r="CJ64" s="1" t="n">
        <f aca="false">EXP($BU64/CE64)*(-1)^$BU64*CF64</f>
        <v>0</v>
      </c>
      <c r="CK64" s="1" t="n">
        <f aca="false">(-1)^CE64*CF64</f>
        <v>0</v>
      </c>
      <c r="CM64" s="1" t="n">
        <f aca="false">$V64</f>
        <v>54</v>
      </c>
      <c r="CN64" s="1" t="n">
        <f aca="false">BZ64</f>
        <v>0</v>
      </c>
      <c r="CO64" s="1" t="n">
        <f aca="false">CO$6*(1+CO$5*(-1)^$BU64)*EXP(-$BU64/CO$4)</f>
        <v>3.51214901247329E-016</v>
      </c>
      <c r="CP64" s="1" t="n">
        <f aca="false">(CN64-CO64)^2</f>
        <v>1.23351906858171E-031</v>
      </c>
      <c r="CQ64" s="1" t="n">
        <f aca="false">EXP($BU64/CM64)*CN64</f>
        <v>0</v>
      </c>
      <c r="CR64" s="1" t="n">
        <f aca="false">EXP($BU64/CM64)*(-1)^$BU64*CN64</f>
        <v>0</v>
      </c>
      <c r="CS64" s="1" t="n">
        <f aca="false">(-1)^CM64*CN64</f>
        <v>0</v>
      </c>
      <c r="CU64" s="1" t="n">
        <f aca="false">$V64</f>
        <v>54</v>
      </c>
      <c r="CV64" s="1" t="n">
        <f aca="false">CB64</f>
        <v>0</v>
      </c>
      <c r="CW64" s="1" t="n">
        <f aca="false">CW$6*(1+CW$5*(-1)^$BU64)*EXP(-$BU64/CW$4)</f>
        <v>8.39696016135393E-007</v>
      </c>
      <c r="CX64" s="1" t="n">
        <f aca="false">(CV64-CW64)^2</f>
        <v>7.0508939951365E-013</v>
      </c>
      <c r="CY64" s="1" t="n">
        <f aca="false">EXP($BU64/CU64)*CV64</f>
        <v>0</v>
      </c>
      <c r="CZ64" s="1" t="n">
        <f aca="false">EXP($BU64/CU64)*(-1)^$BU64*CV64</f>
        <v>0</v>
      </c>
      <c r="DA64" s="1" t="n">
        <f aca="false">(-1)^CU64*CV64</f>
        <v>0</v>
      </c>
      <c r="DB64" s="1" t="n">
        <v>0</v>
      </c>
    </row>
    <row r="65" customFormat="false" ht="16" hidden="false" customHeight="false" outlineLevel="0" collapsed="false">
      <c r="C65" s="1" t="n">
        <f aca="false">B65-A65</f>
        <v>0</v>
      </c>
      <c r="D65" s="1" t="n">
        <v>1</v>
      </c>
      <c r="E65" s="1" t="n">
        <v>1</v>
      </c>
      <c r="F65" s="1" t="n">
        <f aca="false">E65-D65</f>
        <v>0</v>
      </c>
      <c r="G65" s="1" t="n">
        <v>4</v>
      </c>
      <c r="H65" s="1" t="n">
        <v>4</v>
      </c>
      <c r="I65" s="1" t="n">
        <f aca="false">H65-G65</f>
        <v>0</v>
      </c>
      <c r="V65" s="1" t="n">
        <v>55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K65" s="1" t="n">
        <f aca="false">V65</f>
        <v>55</v>
      </c>
      <c r="AN65" s="1" t="n">
        <f aca="false">MAX(AN64-W65/W$9*100,0)</f>
        <v>0</v>
      </c>
      <c r="AO65" s="1" t="n">
        <f aca="false">MAX(AO64-X65/X$9*100,0)</f>
        <v>0</v>
      </c>
      <c r="AP65" s="1" t="n">
        <f aca="false">MAX(AP64-Z65/Z$9*100,0)</f>
        <v>0</v>
      </c>
      <c r="AQ65" s="1" t="n">
        <f aca="false">MAX(AQ64-AA65/AA$9*100,0)</f>
        <v>0</v>
      </c>
      <c r="AR65" s="1" t="n">
        <f aca="false">MAX(AR64-AC65/AC$9*100,0)</f>
        <v>0</v>
      </c>
      <c r="AS65" s="1" t="n">
        <f aca="false">MAX(AS64-AD65/AD$9*100,0)</f>
        <v>0</v>
      </c>
      <c r="AT65" s="1" t="n">
        <f aca="false">MAX(AT64-AF65/AF$9*100,0)</f>
        <v>0</v>
      </c>
      <c r="AU65" s="1" t="n">
        <f aca="false">MAX(AU64-AG65/AG$9*100,0)</f>
        <v>0</v>
      </c>
      <c r="AY65" s="1" t="n">
        <f aca="false">$V65</f>
        <v>55</v>
      </c>
      <c r="AZ65" s="1" t="n">
        <f aca="false">AO65</f>
        <v>0</v>
      </c>
      <c r="BA65" s="1" t="n">
        <f aca="false">BA$7*EXP(-AY65/BA$8)</f>
        <v>3.86583001977091E-023</v>
      </c>
      <c r="BB65" s="1" t="n">
        <f aca="false">(AZ65-BA65)^2</f>
        <v>1.4944641741762E-045</v>
      </c>
      <c r="BD65" s="1" t="n">
        <f aca="false">$V65</f>
        <v>55</v>
      </c>
      <c r="BE65" s="1" t="n">
        <f aca="false">AT65</f>
        <v>0</v>
      </c>
      <c r="BF65" s="1" t="n">
        <f aca="false">BF$7*EXP(-BD65/BF$8)</f>
        <v>6.01790832401053E-012</v>
      </c>
      <c r="BG65" s="1" t="n">
        <f aca="false">(BE65-BF65)^2</f>
        <v>3.62152205961952E-023</v>
      </c>
      <c r="BI65" s="1" t="n">
        <f aca="false">$V65</f>
        <v>55</v>
      </c>
      <c r="BJ65" s="1" t="n">
        <f aca="false">AN65</f>
        <v>0</v>
      </c>
      <c r="BK65" s="1" t="n">
        <f aca="false">BK$7*EXP(-BI65/BK$8)</f>
        <v>6.70660718501247E-027</v>
      </c>
      <c r="BL65" s="1" t="n">
        <f aca="false">(BJ65-BK65)^2</f>
        <v>4.49785799340609E-053</v>
      </c>
      <c r="BN65" s="1" t="n">
        <f aca="false">$V65</f>
        <v>55</v>
      </c>
      <c r="BO65" s="1" t="n">
        <f aca="false">AR65</f>
        <v>0</v>
      </c>
      <c r="BP65" s="1" t="n">
        <f aca="false">BP$7*EXP(-BN65/BP$8)</f>
        <v>1.38228786947667E-024</v>
      </c>
      <c r="BQ65" s="1" t="n">
        <f aca="false">(BO65-BP65)^2</f>
        <v>1.91071975410235E-048</v>
      </c>
      <c r="BU65" s="1" t="n">
        <f aca="false">V65</f>
        <v>55</v>
      </c>
      <c r="BV65" s="1" t="n">
        <f aca="false">W65/W$9*100</f>
        <v>0</v>
      </c>
      <c r="BW65" s="1" t="n">
        <f aca="false">X65/X$9*100</f>
        <v>0</v>
      </c>
      <c r="BX65" s="1" t="n">
        <f aca="false">Z65/Z$9*100</f>
        <v>0</v>
      </c>
      <c r="BY65" s="1" t="n">
        <f aca="false">AA65/AA$9*100</f>
        <v>0</v>
      </c>
      <c r="BZ65" s="1" t="n">
        <f aca="false">AC65/AC$9*100</f>
        <v>0</v>
      </c>
      <c r="CA65" s="1" t="n">
        <f aca="false">AD65/AD$9*100</f>
        <v>0</v>
      </c>
      <c r="CB65" s="1" t="n">
        <f aca="false">AF65/AF$9*100</f>
        <v>0</v>
      </c>
      <c r="CC65" s="1" t="n">
        <f aca="false">AG65/AG$9*100</f>
        <v>0</v>
      </c>
      <c r="CE65" s="1" t="n">
        <f aca="false">$V65</f>
        <v>55</v>
      </c>
      <c r="CF65" s="1" t="n">
        <f aca="false">BV65</f>
        <v>0</v>
      </c>
      <c r="CG65" s="1" t="n">
        <f aca="false">CG$6*(1+CG$5*(-1)^$BU65)*EXP(-$BU65/CG$4)</f>
        <v>5.63567409393316E-017</v>
      </c>
      <c r="CH65" s="1" t="n">
        <f aca="false">(CF65-CG65)^2</f>
        <v>3.17608224930294E-033</v>
      </c>
      <c r="CI65" s="1" t="n">
        <f aca="false">EXP($BU65/CE65)*CF65</f>
        <v>0</v>
      </c>
      <c r="CJ65" s="1" t="n">
        <f aca="false">EXP($BU65/CE65)*(-1)^$BU65*CF65</f>
        <v>-0</v>
      </c>
      <c r="CK65" s="1" t="n">
        <f aca="false">(-1)^CE65*CF65</f>
        <v>-0</v>
      </c>
      <c r="CM65" s="1" t="n">
        <f aca="false">$V65</f>
        <v>55</v>
      </c>
      <c r="CN65" s="1" t="n">
        <f aca="false">BZ65</f>
        <v>0</v>
      </c>
      <c r="CO65" s="1" t="n">
        <f aca="false">CO$6*(1+CO$5*(-1)^$BU65)*EXP(-$BU65/CO$4)</f>
        <v>5.63567409393316E-017</v>
      </c>
      <c r="CP65" s="1" t="n">
        <f aca="false">(CN65-CO65)^2</f>
        <v>3.17608224930294E-033</v>
      </c>
      <c r="CQ65" s="1" t="n">
        <f aca="false">EXP($BU65/CM65)*CN65</f>
        <v>0</v>
      </c>
      <c r="CR65" s="1" t="n">
        <f aca="false">EXP($BU65/CM65)*(-1)^$BU65*CN65</f>
        <v>-0</v>
      </c>
      <c r="CS65" s="1" t="n">
        <f aca="false">(-1)^CM65*CN65</f>
        <v>-0</v>
      </c>
      <c r="CU65" s="1" t="n">
        <f aca="false">$V65</f>
        <v>55</v>
      </c>
      <c r="CV65" s="1" t="n">
        <f aca="false">CB65</f>
        <v>0</v>
      </c>
      <c r="CW65" s="1" t="n">
        <f aca="false">CW$6*(1+CW$5*(-1)^$BU65)*EXP(-$BU65/CW$4)</f>
        <v>3.09950432658376E-007</v>
      </c>
      <c r="CX65" s="1" t="n">
        <f aca="false">(CV65-CW65)^2</f>
        <v>9.60692707051145E-014</v>
      </c>
      <c r="CY65" s="1" t="n">
        <f aca="false">EXP($BU65/CU65)*CV65</f>
        <v>0</v>
      </c>
      <c r="CZ65" s="1" t="n">
        <f aca="false">EXP($BU65/CU65)*(-1)^$BU65*CV65</f>
        <v>-0</v>
      </c>
      <c r="DA65" s="1" t="n">
        <f aca="false">(-1)^CU65*CV65</f>
        <v>-0</v>
      </c>
      <c r="DB65" s="1" t="n">
        <v>0</v>
      </c>
    </row>
    <row r="66" customFormat="false" ht="16" hidden="false" customHeight="false" outlineLevel="0" collapsed="false">
      <c r="C66" s="1" t="n">
        <f aca="false">B66-A66</f>
        <v>0</v>
      </c>
      <c r="D66" s="1" t="n">
        <v>2</v>
      </c>
      <c r="E66" s="1" t="n">
        <v>1</v>
      </c>
      <c r="F66" s="1" t="n">
        <f aca="false">E66-D66</f>
        <v>-1</v>
      </c>
      <c r="G66" s="1" t="n">
        <v>1</v>
      </c>
      <c r="H66" s="1" t="n">
        <v>1</v>
      </c>
      <c r="I66" s="1" t="n">
        <f aca="false">H66-G66</f>
        <v>0</v>
      </c>
      <c r="V66" s="1" t="n">
        <v>56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K66" s="1" t="n">
        <f aca="false">V66</f>
        <v>56</v>
      </c>
      <c r="AN66" s="1" t="n">
        <f aca="false">MAX(AN65-W66/W$9*100,0)</f>
        <v>0</v>
      </c>
      <c r="AO66" s="1" t="n">
        <f aca="false">MAX(AO65-X66/X$9*100,0)</f>
        <v>0</v>
      </c>
      <c r="AP66" s="1" t="n">
        <f aca="false">MAX(AP65-Z66/Z$9*100,0)</f>
        <v>0</v>
      </c>
      <c r="AQ66" s="1" t="n">
        <f aca="false">MAX(AQ65-AA66/AA$9*100,0)</f>
        <v>0</v>
      </c>
      <c r="AR66" s="1" t="n">
        <f aca="false">MAX(AR65-AC66/AC$9*100,0)</f>
        <v>0</v>
      </c>
      <c r="AS66" s="1" t="n">
        <f aca="false">MAX(AS65-AD66/AD$9*100,0)</f>
        <v>0</v>
      </c>
      <c r="AT66" s="1" t="n">
        <f aca="false">MAX(AT65-AF66/AF$9*100,0)</f>
        <v>0</v>
      </c>
      <c r="AU66" s="1" t="n">
        <f aca="false">MAX(AU65-AG66/AG$9*100,0)</f>
        <v>0</v>
      </c>
      <c r="AY66" s="1" t="n">
        <f aca="false">$V66</f>
        <v>56</v>
      </c>
      <c r="AZ66" s="1" t="n">
        <f aca="false">AO66</f>
        <v>0</v>
      </c>
      <c r="BA66" s="1" t="n">
        <f aca="false">BA$7*EXP(-AY66/BA$8)</f>
        <v>1.37884828796944E-023</v>
      </c>
      <c r="BB66" s="1" t="n">
        <f aca="false">(AZ66-BA66)^2</f>
        <v>1.90122260123626E-046</v>
      </c>
      <c r="BD66" s="1" t="n">
        <f aca="false">$V66</f>
        <v>56</v>
      </c>
      <c r="BE66" s="1" t="n">
        <f aca="false">AT66</f>
        <v>0</v>
      </c>
      <c r="BF66" s="1" t="n">
        <f aca="false">BF$7*EXP(-BD66/BF$8)</f>
        <v>3.43130958546528E-012</v>
      </c>
      <c r="BG66" s="1" t="n">
        <f aca="false">(BE66-BF66)^2</f>
        <v>1.17738854713059E-023</v>
      </c>
      <c r="BI66" s="1" t="n">
        <f aca="false">$V66</f>
        <v>56</v>
      </c>
      <c r="BJ66" s="1" t="n">
        <f aca="false">AN66</f>
        <v>0</v>
      </c>
      <c r="BK66" s="1" t="n">
        <f aca="false">BK$7*EXP(-BI66/BK$8)</f>
        <v>2.03932117884782E-027</v>
      </c>
      <c r="BL66" s="1" t="n">
        <f aca="false">(BJ66-BK66)^2</f>
        <v>4.15883087049726E-054</v>
      </c>
      <c r="BN66" s="1" t="n">
        <f aca="false">$V66</f>
        <v>56</v>
      </c>
      <c r="BO66" s="1" t="n">
        <f aca="false">AR66</f>
        <v>0</v>
      </c>
      <c r="BP66" s="1" t="n">
        <f aca="false">BP$7*EXP(-BN66/BP$8)</f>
        <v>4.60629569412911E-025</v>
      </c>
      <c r="BQ66" s="1" t="n">
        <f aca="false">(BO66-BP66)^2</f>
        <v>2.12179600217524E-049</v>
      </c>
      <c r="BU66" s="1" t="n">
        <f aca="false">V66</f>
        <v>56</v>
      </c>
      <c r="BV66" s="1" t="n">
        <f aca="false">W66/W$9*100</f>
        <v>0</v>
      </c>
      <c r="BW66" s="1" t="n">
        <f aca="false">X66/X$9*100</f>
        <v>0</v>
      </c>
      <c r="BX66" s="1" t="n">
        <f aca="false">Z66/Z$9*100</f>
        <v>0</v>
      </c>
      <c r="BY66" s="1" t="n">
        <f aca="false">AA66/AA$9*100</f>
        <v>0</v>
      </c>
      <c r="BZ66" s="1" t="n">
        <f aca="false">AC66/AC$9*100</f>
        <v>0</v>
      </c>
      <c r="CA66" s="1" t="n">
        <f aca="false">AD66/AD$9*100</f>
        <v>0</v>
      </c>
      <c r="CB66" s="1" t="n">
        <f aca="false">AF66/AF$9*100</f>
        <v>0</v>
      </c>
      <c r="CC66" s="1" t="n">
        <f aca="false">AG66/AG$9*100</f>
        <v>0</v>
      </c>
      <c r="CE66" s="1" t="n">
        <f aca="false">$V66</f>
        <v>56</v>
      </c>
      <c r="CF66" s="1" t="n">
        <f aca="false">BV66</f>
        <v>0</v>
      </c>
      <c r="CG66" s="1" t="n">
        <f aca="false">CG$6*(1+CG$5*(-1)^$BU66)*EXP(-$BU66/CG$4)</f>
        <v>7.71882138646988E-017</v>
      </c>
      <c r="CH66" s="1" t="n">
        <f aca="false">(CF66-CG66)^2</f>
        <v>5.95802035962248E-033</v>
      </c>
      <c r="CI66" s="1" t="n">
        <f aca="false">EXP($BU66/CE66)*CF66</f>
        <v>0</v>
      </c>
      <c r="CJ66" s="1" t="n">
        <f aca="false">EXP($BU66/CE66)*(-1)^$BU66*CF66</f>
        <v>0</v>
      </c>
      <c r="CK66" s="1" t="n">
        <f aca="false">(-1)^CE66*CF66</f>
        <v>0</v>
      </c>
      <c r="CM66" s="1" t="n">
        <f aca="false">$V66</f>
        <v>56</v>
      </c>
      <c r="CN66" s="1" t="n">
        <f aca="false">BZ66</f>
        <v>0</v>
      </c>
      <c r="CO66" s="1" t="n">
        <f aca="false">CO$6*(1+CO$5*(-1)^$BU66)*EXP(-$BU66/CO$4)</f>
        <v>7.71882138646988E-017</v>
      </c>
      <c r="CP66" s="1" t="n">
        <f aca="false">(CN66-CO66)^2</f>
        <v>5.95802035962248E-033</v>
      </c>
      <c r="CQ66" s="1" t="n">
        <f aca="false">EXP($BU66/CM66)*CN66</f>
        <v>0</v>
      </c>
      <c r="CR66" s="1" t="n">
        <f aca="false">EXP($BU66/CM66)*(-1)^$BU66*CN66</f>
        <v>0</v>
      </c>
      <c r="CS66" s="1" t="n">
        <f aca="false">(-1)^CM66*CN66</f>
        <v>0</v>
      </c>
      <c r="CU66" s="1" t="n">
        <f aca="false">$V66</f>
        <v>56</v>
      </c>
      <c r="CV66" s="1" t="n">
        <f aca="false">CB66</f>
        <v>0</v>
      </c>
      <c r="CW66" s="1" t="n">
        <f aca="false">CW$6*(1+CW$5*(-1)^$BU66)*EXP(-$BU66/CW$4)</f>
        <v>4.31114309467378E-007</v>
      </c>
      <c r="CX66" s="1" t="n">
        <f aca="false">(CV66-CW66)^2</f>
        <v>1.85859547827534E-013</v>
      </c>
      <c r="CY66" s="1" t="n">
        <f aca="false">EXP($BU66/CU66)*CV66</f>
        <v>0</v>
      </c>
      <c r="CZ66" s="1" t="n">
        <f aca="false">EXP($BU66/CU66)*(-1)^$BU66*CV66</f>
        <v>0</v>
      </c>
      <c r="DA66" s="1" t="n">
        <f aca="false">(-1)^CU66*CV66</f>
        <v>0</v>
      </c>
      <c r="DB66" s="1" t="n">
        <v>0</v>
      </c>
    </row>
    <row r="67" customFormat="false" ht="16" hidden="false" customHeight="false" outlineLevel="0" collapsed="false">
      <c r="C67" s="1" t="n">
        <f aca="false">B67-A67</f>
        <v>0</v>
      </c>
      <c r="D67" s="1" t="n">
        <v>2</v>
      </c>
      <c r="E67" s="1" t="n">
        <v>2</v>
      </c>
      <c r="F67" s="1" t="n">
        <f aca="false">E67-D67</f>
        <v>0</v>
      </c>
      <c r="G67" s="1" t="n">
        <v>1</v>
      </c>
      <c r="H67" s="1" t="n">
        <v>2</v>
      </c>
      <c r="I67" s="1" t="n">
        <f aca="false">H67-G67</f>
        <v>1</v>
      </c>
      <c r="V67" s="1" t="n">
        <v>57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K67" s="1" t="n">
        <f aca="false">V67</f>
        <v>57</v>
      </c>
      <c r="AN67" s="1" t="n">
        <f aca="false">MAX(AN66-W67/W$9*100,0)</f>
        <v>0</v>
      </c>
      <c r="AO67" s="1" t="n">
        <f aca="false">MAX(AO66-X67/X$9*100,0)</f>
        <v>0</v>
      </c>
      <c r="AP67" s="1" t="n">
        <f aca="false">MAX(AP66-Z67/Z$9*100,0)</f>
        <v>0</v>
      </c>
      <c r="AQ67" s="1" t="n">
        <f aca="false">MAX(AQ66-AA67/AA$9*100,0)</f>
        <v>0</v>
      </c>
      <c r="AR67" s="1" t="n">
        <f aca="false">MAX(AR66-AC67/AC$9*100,0)</f>
        <v>0</v>
      </c>
      <c r="AS67" s="1" t="n">
        <f aca="false">MAX(AS66-AD67/AD$9*100,0)</f>
        <v>0</v>
      </c>
      <c r="AT67" s="1" t="n">
        <f aca="false">MAX(AT66-AF67/AF$9*100,0)</f>
        <v>0</v>
      </c>
      <c r="AU67" s="1" t="n">
        <f aca="false">MAX(AU66-AG67/AG$9*100,0)</f>
        <v>0</v>
      </c>
      <c r="AY67" s="1" t="n">
        <f aca="false">$V67</f>
        <v>57</v>
      </c>
      <c r="AZ67" s="1" t="n">
        <f aca="false">AO67</f>
        <v>0</v>
      </c>
      <c r="BA67" s="1" t="n">
        <f aca="false">BA$7*EXP(-AY67/BA$8)</f>
        <v>4.91801913563937E-024</v>
      </c>
      <c r="BB67" s="1" t="n">
        <f aca="false">(AZ67-BA67)^2</f>
        <v>2.4186912218515E-047</v>
      </c>
      <c r="BD67" s="1" t="n">
        <f aca="false">$V67</f>
        <v>57</v>
      </c>
      <c r="BE67" s="1" t="n">
        <f aca="false">AT67</f>
        <v>0</v>
      </c>
      <c r="BF67" s="1" t="n">
        <f aca="false">BF$7*EXP(-BD67/BF$8)</f>
        <v>1.95647471469944E-012</v>
      </c>
      <c r="BG67" s="1" t="n">
        <f aca="false">(BE67-BF67)^2</f>
        <v>3.82779330925826E-024</v>
      </c>
      <c r="BI67" s="1" t="n">
        <f aca="false">$V67</f>
        <v>57</v>
      </c>
      <c r="BJ67" s="1" t="n">
        <f aca="false">AN67</f>
        <v>0</v>
      </c>
      <c r="BK67" s="1" t="n">
        <f aca="false">BK$7*EXP(-BI67/BK$8)</f>
        <v>6.20109506307624E-028</v>
      </c>
      <c r="BL67" s="1" t="n">
        <f aca="false">(BJ67-BK67)^2</f>
        <v>3.84535799813085E-055</v>
      </c>
      <c r="BN67" s="1" t="n">
        <f aca="false">$V67</f>
        <v>57</v>
      </c>
      <c r="BO67" s="1" t="n">
        <f aca="false">AR67</f>
        <v>0</v>
      </c>
      <c r="BP67" s="1" t="n">
        <f aca="false">BP$7*EXP(-BN67/BP$8)</f>
        <v>1.53498851362888E-025</v>
      </c>
      <c r="BQ67" s="1" t="n">
        <f aca="false">(BO67-BP67)^2</f>
        <v>2.3561897369726E-050</v>
      </c>
      <c r="BU67" s="1" t="n">
        <f aca="false">V67</f>
        <v>57</v>
      </c>
      <c r="BV67" s="1" t="n">
        <f aca="false">W67/W$9*100</f>
        <v>0</v>
      </c>
      <c r="BW67" s="1" t="n">
        <f aca="false">X67/X$9*100</f>
        <v>0</v>
      </c>
      <c r="BX67" s="1" t="n">
        <f aca="false">Z67/Z$9*100</f>
        <v>0</v>
      </c>
      <c r="BY67" s="1" t="n">
        <f aca="false">AA67/AA$9*100</f>
        <v>0</v>
      </c>
      <c r="BZ67" s="1" t="n">
        <f aca="false">AC67/AC$9*100</f>
        <v>0</v>
      </c>
      <c r="CA67" s="1" t="n">
        <f aca="false">AD67/AD$9*100</f>
        <v>0</v>
      </c>
      <c r="CB67" s="1" t="n">
        <f aca="false">AF67/AF$9*100</f>
        <v>0</v>
      </c>
      <c r="CC67" s="1" t="n">
        <f aca="false">AG67/AG$9*100</f>
        <v>0</v>
      </c>
      <c r="CE67" s="1" t="n">
        <f aca="false">$V67</f>
        <v>57</v>
      </c>
      <c r="CF67" s="1" t="n">
        <f aca="false">BV67</f>
        <v>0</v>
      </c>
      <c r="CG67" s="1" t="n">
        <f aca="false">CG$6*(1+CG$5*(-1)^$BU67)*EXP(-$BU67/CG$4)</f>
        <v>1.23857961518529E-017</v>
      </c>
      <c r="CH67" s="1" t="n">
        <f aca="false">(CF67-CG67)^2</f>
        <v>1.53407946315254E-034</v>
      </c>
      <c r="CI67" s="1" t="n">
        <f aca="false">EXP($BU67/CE67)*CF67</f>
        <v>0</v>
      </c>
      <c r="CJ67" s="1" t="n">
        <f aca="false">EXP($BU67/CE67)*(-1)^$BU67*CF67</f>
        <v>-0</v>
      </c>
      <c r="CK67" s="1" t="n">
        <f aca="false">(-1)^CE67*CF67</f>
        <v>-0</v>
      </c>
      <c r="CM67" s="1" t="n">
        <f aca="false">$V67</f>
        <v>57</v>
      </c>
      <c r="CN67" s="1" t="n">
        <f aca="false">BZ67</f>
        <v>0</v>
      </c>
      <c r="CO67" s="1" t="n">
        <f aca="false">CO$6*(1+CO$5*(-1)^$BU67)*EXP(-$BU67/CO$4)</f>
        <v>1.23857961518529E-017</v>
      </c>
      <c r="CP67" s="1" t="n">
        <f aca="false">(CN67-CO67)^2</f>
        <v>1.53407946315254E-034</v>
      </c>
      <c r="CQ67" s="1" t="n">
        <f aca="false">EXP($BU67/CM67)*CN67</f>
        <v>0</v>
      </c>
      <c r="CR67" s="1" t="n">
        <f aca="false">EXP($BU67/CM67)*(-1)^$BU67*CN67</f>
        <v>-0</v>
      </c>
      <c r="CS67" s="1" t="n">
        <f aca="false">(-1)^CM67*CN67</f>
        <v>-0</v>
      </c>
      <c r="CU67" s="1" t="n">
        <f aca="false">$V67</f>
        <v>57</v>
      </c>
      <c r="CV67" s="1" t="n">
        <f aca="false">CB67</f>
        <v>0</v>
      </c>
      <c r="CW67" s="1" t="n">
        <f aca="false">CW$6*(1+CW$5*(-1)^$BU67)*EXP(-$BU67/CW$4)</f>
        <v>1.59133858178369E-007</v>
      </c>
      <c r="CX67" s="1" t="n">
        <f aca="false">(CV67-CW67)^2</f>
        <v>2.53235848187333E-014</v>
      </c>
      <c r="CY67" s="1" t="n">
        <f aca="false">EXP($BU67/CU67)*CV67</f>
        <v>0</v>
      </c>
      <c r="CZ67" s="1" t="n">
        <f aca="false">EXP($BU67/CU67)*(-1)^$BU67*CV67</f>
        <v>-0</v>
      </c>
      <c r="DA67" s="1" t="n">
        <f aca="false">(-1)^CU67*CV67</f>
        <v>-0</v>
      </c>
      <c r="DB67" s="1" t="n">
        <v>0</v>
      </c>
    </row>
    <row r="68" customFormat="false" ht="16" hidden="false" customHeight="false" outlineLevel="0" collapsed="false">
      <c r="C68" s="1" t="n">
        <f aca="false">B68-A68</f>
        <v>0</v>
      </c>
      <c r="D68" s="1" t="n">
        <v>1</v>
      </c>
      <c r="E68" s="1" t="n">
        <v>2</v>
      </c>
      <c r="F68" s="1" t="n">
        <f aca="false">E68-D68</f>
        <v>1</v>
      </c>
      <c r="G68" s="1" t="n">
        <v>2</v>
      </c>
      <c r="H68" s="1" t="n">
        <v>4</v>
      </c>
      <c r="I68" s="1" t="n">
        <f aca="false">H68-G68</f>
        <v>2</v>
      </c>
      <c r="V68" s="1" t="n">
        <v>58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K68" s="1" t="n">
        <f aca="false">V68</f>
        <v>58</v>
      </c>
      <c r="AN68" s="1" t="n">
        <f aca="false">MAX(AN67-W68/W$9*100,0)</f>
        <v>0</v>
      </c>
      <c r="AO68" s="1" t="n">
        <f aca="false">MAX(AO67-X68/X$9*100,0)</f>
        <v>0</v>
      </c>
      <c r="AP68" s="1" t="n">
        <f aca="false">MAX(AP67-Z68/Z$9*100,0)</f>
        <v>0</v>
      </c>
      <c r="AQ68" s="1" t="n">
        <f aca="false">MAX(AQ67-AA68/AA$9*100,0)</f>
        <v>0</v>
      </c>
      <c r="AR68" s="1" t="n">
        <f aca="false">MAX(AR67-AC68/AC$9*100,0)</f>
        <v>0</v>
      </c>
      <c r="AS68" s="1" t="n">
        <f aca="false">MAX(AS67-AD68/AD$9*100,0)</f>
        <v>0</v>
      </c>
      <c r="AT68" s="1" t="n">
        <f aca="false">MAX(AT67-AF68/AF$9*100,0)</f>
        <v>0</v>
      </c>
      <c r="AU68" s="1" t="n">
        <f aca="false">MAX(AU67-AG68/AG$9*100,0)</f>
        <v>0</v>
      </c>
      <c r="AY68" s="1" t="n">
        <f aca="false">$V68</f>
        <v>58</v>
      </c>
      <c r="AZ68" s="1" t="n">
        <f aca="false">AO68</f>
        <v>0</v>
      </c>
      <c r="BA68" s="1" t="n">
        <f aca="false">BA$7*EXP(-AY68/BA$8)</f>
        <v>1.75413875692837E-024</v>
      </c>
      <c r="BB68" s="1" t="n">
        <f aca="false">(AZ68-BA68)^2</f>
        <v>3.07700277855821E-048</v>
      </c>
      <c r="BD68" s="1" t="n">
        <f aca="false">$V68</f>
        <v>58</v>
      </c>
      <c r="BE68" s="1" t="n">
        <f aca="false">AT68</f>
        <v>0</v>
      </c>
      <c r="BF68" s="1" t="n">
        <f aca="false">BF$7*EXP(-BD68/BF$8)</f>
        <v>1.11554880546845E-012</v>
      </c>
      <c r="BG68" s="1" t="n">
        <f aca="false">(BE68-BF68)^2</f>
        <v>1.24444913738209E-024</v>
      </c>
      <c r="BI68" s="1" t="n">
        <f aca="false">$V68</f>
        <v>58</v>
      </c>
      <c r="BJ68" s="1" t="n">
        <f aca="false">AN68</f>
        <v>0</v>
      </c>
      <c r="BK68" s="1" t="n">
        <f aca="false">BK$7*EXP(-BI68/BK$8)</f>
        <v>1.88560685683822E-028</v>
      </c>
      <c r="BL68" s="1" t="n">
        <f aca="false">(BJ68-BK68)^2</f>
        <v>3.55551321855531E-056</v>
      </c>
      <c r="BN68" s="1" t="n">
        <f aca="false">$V68</f>
        <v>58</v>
      </c>
      <c r="BO68" s="1" t="n">
        <f aca="false">AR68</f>
        <v>0</v>
      </c>
      <c r="BP68" s="1" t="n">
        <f aca="false">BP$7*EXP(-BN68/BP$8)</f>
        <v>5.11515085750063E-026</v>
      </c>
      <c r="BQ68" s="1" t="n">
        <f aca="false">(BO68-BP68)^2</f>
        <v>2.61647682949894E-051</v>
      </c>
      <c r="BU68" s="1" t="n">
        <f aca="false">V68</f>
        <v>58</v>
      </c>
      <c r="BV68" s="1" t="n">
        <f aca="false">W68/W$9*100</f>
        <v>0</v>
      </c>
      <c r="BW68" s="1" t="n">
        <f aca="false">X68/X$9*100</f>
        <v>0</v>
      </c>
      <c r="BX68" s="1" t="n">
        <f aca="false">Z68/Z$9*100</f>
        <v>0</v>
      </c>
      <c r="BY68" s="1" t="n">
        <f aca="false">AA68/AA$9*100</f>
        <v>0</v>
      </c>
      <c r="BZ68" s="1" t="n">
        <f aca="false">AC68/AC$9*100</f>
        <v>0</v>
      </c>
      <c r="CA68" s="1" t="n">
        <f aca="false">AD68/AD$9*100</f>
        <v>0</v>
      </c>
      <c r="CB68" s="1" t="n">
        <f aca="false">AF68/AF$9*100</f>
        <v>0</v>
      </c>
      <c r="CC68" s="1" t="n">
        <f aca="false">AG68/AG$9*100</f>
        <v>0</v>
      </c>
      <c r="CE68" s="1" t="n">
        <f aca="false">$V68</f>
        <v>58</v>
      </c>
      <c r="CF68" s="1" t="n">
        <f aca="false">BV68</f>
        <v>0</v>
      </c>
      <c r="CG68" s="1" t="n">
        <f aca="false">CG$6*(1+CG$5*(-1)^$BU68)*EXP(-$BU68/CG$4)</f>
        <v>1.69640306788316E-017</v>
      </c>
      <c r="CH68" s="1" t="n">
        <f aca="false">(CF68-CG68)^2</f>
        <v>2.8777833687234E-034</v>
      </c>
      <c r="CI68" s="1" t="n">
        <f aca="false">EXP($BU68/CE68)*CF68</f>
        <v>0</v>
      </c>
      <c r="CJ68" s="1" t="n">
        <f aca="false">EXP($BU68/CE68)*(-1)^$BU68*CF68</f>
        <v>0</v>
      </c>
      <c r="CK68" s="1" t="n">
        <f aca="false">(-1)^CE68*CF68</f>
        <v>0</v>
      </c>
      <c r="CM68" s="1" t="n">
        <f aca="false">$V68</f>
        <v>58</v>
      </c>
      <c r="CN68" s="1" t="n">
        <f aca="false">BZ68</f>
        <v>0</v>
      </c>
      <c r="CO68" s="1" t="n">
        <f aca="false">CO$6*(1+CO$5*(-1)^$BU68)*EXP(-$BU68/CO$4)</f>
        <v>1.69640306788316E-017</v>
      </c>
      <c r="CP68" s="1" t="n">
        <f aca="false">(CN68-CO68)^2</f>
        <v>2.8777833687234E-034</v>
      </c>
      <c r="CQ68" s="1" t="n">
        <f aca="false">EXP($BU68/CM68)*CN68</f>
        <v>0</v>
      </c>
      <c r="CR68" s="1" t="n">
        <f aca="false">EXP($BU68/CM68)*(-1)^$BU68*CN68</f>
        <v>0</v>
      </c>
      <c r="CS68" s="1" t="n">
        <f aca="false">(-1)^CM68*CN68</f>
        <v>0</v>
      </c>
      <c r="CU68" s="1" t="n">
        <f aca="false">$V68</f>
        <v>58</v>
      </c>
      <c r="CV68" s="1" t="n">
        <f aca="false">CB68</f>
        <v>0</v>
      </c>
      <c r="CW68" s="1" t="n">
        <f aca="false">CW$6*(1+CW$5*(-1)^$BU68)*EXP(-$BU68/CW$4)</f>
        <v>2.21341466740467E-007</v>
      </c>
      <c r="CX68" s="1" t="n">
        <f aca="false">(CV68-CW68)^2</f>
        <v>4.89920448988213E-014</v>
      </c>
      <c r="CY68" s="1" t="n">
        <f aca="false">EXP($BU68/CU68)*CV68</f>
        <v>0</v>
      </c>
      <c r="CZ68" s="1" t="n">
        <f aca="false">EXP($BU68/CU68)*(-1)^$BU68*CV68</f>
        <v>0</v>
      </c>
      <c r="DA68" s="1" t="n">
        <f aca="false">(-1)^CU68*CV68</f>
        <v>0</v>
      </c>
      <c r="DB68" s="1" t="n">
        <v>0</v>
      </c>
    </row>
    <row r="69" customFormat="false" ht="16" hidden="false" customHeight="false" outlineLevel="0" collapsed="false">
      <c r="C69" s="1" t="n">
        <f aca="false">B69-A69</f>
        <v>0</v>
      </c>
      <c r="D69" s="1" t="n">
        <v>2</v>
      </c>
      <c r="E69" s="1" t="n">
        <v>1</v>
      </c>
      <c r="F69" s="1" t="n">
        <f aca="false">E69-D69</f>
        <v>-1</v>
      </c>
      <c r="G69" s="1" t="n">
        <v>1</v>
      </c>
      <c r="H69" s="1" t="n">
        <v>2</v>
      </c>
      <c r="I69" s="1" t="n">
        <f aca="false">H69-G69</f>
        <v>1</v>
      </c>
      <c r="V69" s="1" t="n">
        <v>59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K69" s="1" t="n">
        <f aca="false">V69</f>
        <v>59</v>
      </c>
      <c r="AN69" s="1" t="n">
        <f aca="false">MAX(AN68-W69/W$9*100,0)</f>
        <v>0</v>
      </c>
      <c r="AO69" s="1" t="n">
        <f aca="false">MAX(AO68-X69/X$9*100,0)</f>
        <v>0</v>
      </c>
      <c r="AP69" s="1" t="n">
        <f aca="false">MAX(AP68-Z69/Z$9*100,0)</f>
        <v>0</v>
      </c>
      <c r="AQ69" s="1" t="n">
        <f aca="false">MAX(AQ68-AA69/AA$9*100,0)</f>
        <v>0</v>
      </c>
      <c r="AR69" s="1" t="n">
        <f aca="false">MAX(AR68-AC69/AC$9*100,0)</f>
        <v>0</v>
      </c>
      <c r="AS69" s="1" t="n">
        <f aca="false">MAX(AS68-AD69/AD$9*100,0)</f>
        <v>0</v>
      </c>
      <c r="AT69" s="1" t="n">
        <f aca="false">MAX(AT68-AF69/AF$9*100,0)</f>
        <v>0</v>
      </c>
      <c r="AU69" s="1" t="n">
        <f aca="false">MAX(AU68-AG69/AG$9*100,0)</f>
        <v>0</v>
      </c>
      <c r="AY69" s="1" t="n">
        <f aca="false">$V69</f>
        <v>59</v>
      </c>
      <c r="AZ69" s="1" t="n">
        <f aca="false">AO69</f>
        <v>0</v>
      </c>
      <c r="BA69" s="1" t="n">
        <f aca="false">BA$7*EXP(-AY69/BA$8)</f>
        <v>6.25658968315125E-025</v>
      </c>
      <c r="BB69" s="1" t="n">
        <f aca="false">(AZ69-BA69)^2</f>
        <v>3.91449144633147E-049</v>
      </c>
      <c r="BD69" s="1" t="n">
        <f aca="false">$V69</f>
        <v>59</v>
      </c>
      <c r="BE69" s="1" t="n">
        <f aca="false">AT69</f>
        <v>0</v>
      </c>
      <c r="BF69" s="1" t="n">
        <f aca="false">BF$7*EXP(-BD69/BF$8)</f>
        <v>6.36067069015649E-013</v>
      </c>
      <c r="BG69" s="1" t="n">
        <f aca="false">(BE69-BF69)^2</f>
        <v>4.04581316286158E-025</v>
      </c>
      <c r="BI69" s="1" t="n">
        <f aca="false">$V69</f>
        <v>59</v>
      </c>
      <c r="BJ69" s="1" t="n">
        <f aca="false">AN69</f>
        <v>0</v>
      </c>
      <c r="BK69" s="1" t="n">
        <f aca="false">BK$7*EXP(-BI69/BK$8)</f>
        <v>5.73368603833579E-029</v>
      </c>
      <c r="BL69" s="1" t="n">
        <f aca="false">(BJ69-BK69)^2</f>
        <v>3.28751555862068E-057</v>
      </c>
      <c r="BN69" s="1" t="n">
        <f aca="false">$V69</f>
        <v>59</v>
      </c>
      <c r="BO69" s="1" t="n">
        <f aca="false">AR69</f>
        <v>0</v>
      </c>
      <c r="BP69" s="1" t="n">
        <f aca="false">BP$7*EXP(-BN69/BP$8)</f>
        <v>1.70455792096667E-026</v>
      </c>
      <c r="BQ69" s="1" t="n">
        <f aca="false">(BO69-BP69)^2</f>
        <v>2.90551770593022E-052</v>
      </c>
      <c r="BU69" s="1" t="n">
        <f aca="false">V69</f>
        <v>59</v>
      </c>
      <c r="BV69" s="1" t="n">
        <f aca="false">W69/W$9*100</f>
        <v>0</v>
      </c>
      <c r="BW69" s="1" t="n">
        <f aca="false">X69/X$9*100</f>
        <v>0</v>
      </c>
      <c r="BX69" s="1" t="n">
        <f aca="false">Z69/Z$9*100</f>
        <v>0</v>
      </c>
      <c r="BY69" s="1" t="n">
        <f aca="false">AA69/AA$9*100</f>
        <v>0</v>
      </c>
      <c r="BZ69" s="1" t="n">
        <f aca="false">AC69/AC$9*100</f>
        <v>0</v>
      </c>
      <c r="CA69" s="1" t="n">
        <f aca="false">AD69/AD$9*100</f>
        <v>0</v>
      </c>
      <c r="CB69" s="1" t="n">
        <f aca="false">AF69/AF$9*100</f>
        <v>0</v>
      </c>
      <c r="CC69" s="1" t="n">
        <f aca="false">AG69/AG$9*100</f>
        <v>0</v>
      </c>
      <c r="CE69" s="1" t="n">
        <f aca="false">$V69</f>
        <v>59</v>
      </c>
      <c r="CF69" s="1" t="n">
        <f aca="false">BV69</f>
        <v>0</v>
      </c>
      <c r="CG69" s="1" t="n">
        <f aca="false">CG$6*(1+CG$5*(-1)^$BU69)*EXP(-$BU69/CG$4)</f>
        <v>2.72208690137704E-018</v>
      </c>
      <c r="CH69" s="1" t="n">
        <f aca="false">(CF69-CG69)^2</f>
        <v>7.40975709864846E-036</v>
      </c>
      <c r="CI69" s="1" t="n">
        <f aca="false">EXP($BU69/CE69)*CF69</f>
        <v>0</v>
      </c>
      <c r="CJ69" s="1" t="n">
        <f aca="false">EXP($BU69/CE69)*(-1)^$BU69*CF69</f>
        <v>-0</v>
      </c>
      <c r="CK69" s="1" t="n">
        <f aca="false">(-1)^CE69*CF69</f>
        <v>-0</v>
      </c>
      <c r="CM69" s="1" t="n">
        <f aca="false">$V69</f>
        <v>59</v>
      </c>
      <c r="CN69" s="1" t="n">
        <f aca="false">BZ69</f>
        <v>0</v>
      </c>
      <c r="CO69" s="1" t="n">
        <f aca="false">CO$6*(1+CO$5*(-1)^$BU69)*EXP(-$BU69/CO$4)</f>
        <v>2.72208690137704E-018</v>
      </c>
      <c r="CP69" s="1" t="n">
        <f aca="false">(CN69-CO69)^2</f>
        <v>7.40975709864846E-036</v>
      </c>
      <c r="CQ69" s="1" t="n">
        <f aca="false">EXP($BU69/CM69)*CN69</f>
        <v>0</v>
      </c>
      <c r="CR69" s="1" t="n">
        <f aca="false">EXP($BU69/CM69)*(-1)^$BU69*CN69</f>
        <v>-0</v>
      </c>
      <c r="CS69" s="1" t="n">
        <f aca="false">(-1)^CM69*CN69</f>
        <v>-0</v>
      </c>
      <c r="CU69" s="1" t="n">
        <f aca="false">$V69</f>
        <v>59</v>
      </c>
      <c r="CV69" s="1" t="n">
        <f aca="false">CB69</f>
        <v>0</v>
      </c>
      <c r="CW69" s="1" t="n">
        <f aca="false">CW$6*(1+CW$5*(-1)^$BU69)*EXP(-$BU69/CW$4)</f>
        <v>8.17020470064791E-008</v>
      </c>
      <c r="CX69" s="1" t="n">
        <f aca="false">(CV69-CW69)^2</f>
        <v>6.67522448504892E-015</v>
      </c>
      <c r="CY69" s="1" t="n">
        <f aca="false">EXP($BU69/CU69)*CV69</f>
        <v>0</v>
      </c>
      <c r="CZ69" s="1" t="n">
        <f aca="false">EXP($BU69/CU69)*(-1)^$BU69*CV69</f>
        <v>-0</v>
      </c>
      <c r="DA69" s="1" t="n">
        <f aca="false">(-1)^CU69*CV69</f>
        <v>-0</v>
      </c>
      <c r="DB69" s="1" t="n">
        <v>0</v>
      </c>
    </row>
    <row r="70" customFormat="false" ht="16" hidden="false" customHeight="false" outlineLevel="0" collapsed="false">
      <c r="C70" s="1" t="n">
        <f aca="false">B70-A70</f>
        <v>0</v>
      </c>
      <c r="D70" s="1" t="n">
        <v>1</v>
      </c>
      <c r="E70" s="1" t="n">
        <v>2</v>
      </c>
      <c r="F70" s="1" t="n">
        <f aca="false">E70-D70</f>
        <v>1</v>
      </c>
      <c r="G70" s="1" t="n">
        <v>1</v>
      </c>
      <c r="H70" s="1" t="n">
        <v>2</v>
      </c>
      <c r="I70" s="1" t="n">
        <f aca="false">H70-G70</f>
        <v>1</v>
      </c>
      <c r="V70" s="1" t="n">
        <v>60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K70" s="1" t="n">
        <f aca="false">V70</f>
        <v>60</v>
      </c>
      <c r="AN70" s="1" t="n">
        <f aca="false">MAX(AN69-W70/W$9*100,0)</f>
        <v>0</v>
      </c>
      <c r="AO70" s="1" t="n">
        <f aca="false">MAX(AO69-X70/X$9*100,0)</f>
        <v>0</v>
      </c>
      <c r="AP70" s="1" t="n">
        <f aca="false">MAX(AP69-Z70/Z$9*100,0)</f>
        <v>0</v>
      </c>
      <c r="AQ70" s="1" t="n">
        <f aca="false">MAX(AQ69-AA70/AA$9*100,0)</f>
        <v>0</v>
      </c>
      <c r="AR70" s="1" t="n">
        <f aca="false">MAX(AR69-AC70/AC$9*100,0)</f>
        <v>0</v>
      </c>
      <c r="AS70" s="1" t="n">
        <f aca="false">MAX(AS69-AD70/AD$9*100,0)</f>
        <v>0</v>
      </c>
      <c r="AT70" s="1" t="n">
        <f aca="false">MAX(AT69-AF70/AF$9*100,0)</f>
        <v>0</v>
      </c>
      <c r="AU70" s="1" t="n">
        <f aca="false">MAX(AU69-AG70/AG$9*100,0)</f>
        <v>0</v>
      </c>
      <c r="AY70" s="1" t="n">
        <f aca="false">$V70</f>
        <v>60</v>
      </c>
      <c r="AZ70" s="1" t="n">
        <f aca="false">AO70</f>
        <v>0</v>
      </c>
      <c r="BA70" s="1" t="n">
        <f aca="false">BA$7*EXP(-AY70/BA$8)</f>
        <v>2.23157457234801E-025</v>
      </c>
      <c r="BB70" s="1" t="n">
        <f aca="false">(AZ70-BA70)^2</f>
        <v>4.9799250719502E-050</v>
      </c>
      <c r="BD70" s="1" t="n">
        <f aca="false">$V70</f>
        <v>60</v>
      </c>
      <c r="BE70" s="1" t="n">
        <f aca="false">AT70</f>
        <v>0</v>
      </c>
      <c r="BF70" s="1" t="n">
        <f aca="false">BF$7*EXP(-BD70/BF$8)</f>
        <v>3.62674689177996E-013</v>
      </c>
      <c r="BG70" s="1" t="n">
        <f aca="false">(BE70-BF70)^2</f>
        <v>1.31532930170356E-025</v>
      </c>
      <c r="BI70" s="1" t="n">
        <f aca="false">$V70</f>
        <v>60</v>
      </c>
      <c r="BJ70" s="1" t="n">
        <f aca="false">AN70</f>
        <v>0</v>
      </c>
      <c r="BK70" s="1" t="n">
        <f aca="false">BK$7*EXP(-BI70/BK$8)</f>
        <v>1.74347878864482E-029</v>
      </c>
      <c r="BL70" s="1" t="n">
        <f aca="false">(BJ70-BK70)^2</f>
        <v>3.03971828645441E-058</v>
      </c>
      <c r="BN70" s="1" t="n">
        <f aca="false">$V70</f>
        <v>60</v>
      </c>
      <c r="BO70" s="1" t="n">
        <f aca="false">AR70</f>
        <v>0</v>
      </c>
      <c r="BP70" s="1" t="n">
        <f aca="false">BP$7*EXP(-BN70/BP$8)</f>
        <v>5.68021899426424E-027</v>
      </c>
      <c r="BQ70" s="1" t="n">
        <f aca="false">(BO70-BP70)^2</f>
        <v>3.22648878228003E-053</v>
      </c>
      <c r="BU70" s="1" t="n">
        <f aca="false">V70</f>
        <v>60</v>
      </c>
      <c r="BV70" s="1" t="n">
        <f aca="false">W70/W$9*100</f>
        <v>0</v>
      </c>
      <c r="BW70" s="1" t="n">
        <f aca="false">X70/X$9*100</f>
        <v>0</v>
      </c>
      <c r="BX70" s="1" t="n">
        <f aca="false">Z70/Z$9*100</f>
        <v>0</v>
      </c>
      <c r="BY70" s="1" t="n">
        <f aca="false">AA70/AA$9*100</f>
        <v>0</v>
      </c>
      <c r="BZ70" s="1" t="n">
        <f aca="false">AC70/AC$9*100</f>
        <v>0</v>
      </c>
      <c r="CA70" s="1" t="n">
        <f aca="false">AD70/AD$9*100</f>
        <v>0</v>
      </c>
      <c r="CB70" s="1" t="n">
        <f aca="false">AF70/AF$9*100</f>
        <v>0</v>
      </c>
      <c r="CC70" s="1" t="n">
        <f aca="false">AG70/AG$9*100</f>
        <v>0</v>
      </c>
      <c r="CE70" s="1" t="n">
        <f aca="false">$V70</f>
        <v>60</v>
      </c>
      <c r="CF70" s="1" t="n">
        <f aca="false">BV70</f>
        <v>0</v>
      </c>
      <c r="CG70" s="1" t="n">
        <f aca="false">CG$6*(1+CG$5*(-1)^$BU70)*EXP(-$BU70/CG$4)</f>
        <v>3.72826785934932E-018</v>
      </c>
      <c r="CH70" s="1" t="n">
        <f aca="false">(CF70-CG70)^2</f>
        <v>1.38999812310572E-035</v>
      </c>
      <c r="CI70" s="1" t="n">
        <f aca="false">EXP($BU70/CE70)*CF70</f>
        <v>0</v>
      </c>
      <c r="CJ70" s="1" t="n">
        <f aca="false">EXP($BU70/CE70)*(-1)^$BU70*CF70</f>
        <v>0</v>
      </c>
      <c r="CK70" s="1" t="n">
        <f aca="false">(-1)^CE70*CF70</f>
        <v>0</v>
      </c>
      <c r="CM70" s="1" t="n">
        <f aca="false">$V70</f>
        <v>60</v>
      </c>
      <c r="CN70" s="1" t="n">
        <f aca="false">BZ70</f>
        <v>0</v>
      </c>
      <c r="CO70" s="1" t="n">
        <f aca="false">CO$6*(1+CO$5*(-1)^$BU70)*EXP(-$BU70/CO$4)</f>
        <v>3.72826785934932E-018</v>
      </c>
      <c r="CP70" s="1" t="n">
        <f aca="false">(CN70-CO70)^2</f>
        <v>1.38999812310572E-035</v>
      </c>
      <c r="CQ70" s="1" t="n">
        <f aca="false">EXP($BU70/CM70)*CN70</f>
        <v>0</v>
      </c>
      <c r="CR70" s="1" t="n">
        <f aca="false">EXP($BU70/CM70)*(-1)^$BU70*CN70</f>
        <v>0</v>
      </c>
      <c r="CS70" s="1" t="n">
        <f aca="false">(-1)^CM70*CN70</f>
        <v>0</v>
      </c>
      <c r="CU70" s="1" t="n">
        <f aca="false">$V70</f>
        <v>60</v>
      </c>
      <c r="CV70" s="1" t="n">
        <f aca="false">CB70</f>
        <v>0</v>
      </c>
      <c r="CW70" s="1" t="n">
        <f aca="false">CW$6*(1+CW$5*(-1)^$BU70)*EXP(-$BU70/CW$4)</f>
        <v>1.13640498176339E-007</v>
      </c>
      <c r="CX70" s="1" t="n">
        <f aca="false">(CV70-CW70)^2</f>
        <v>1.29141628257665E-014</v>
      </c>
      <c r="CY70" s="1" t="n">
        <f aca="false">EXP($BU70/CU70)*CV70</f>
        <v>0</v>
      </c>
      <c r="CZ70" s="1" t="n">
        <f aca="false">EXP($BU70/CU70)*(-1)^$BU70*CV70</f>
        <v>0</v>
      </c>
      <c r="DA70" s="1" t="n">
        <f aca="false">(-1)^CU70*CV70</f>
        <v>0</v>
      </c>
      <c r="DB70" s="1" t="n">
        <v>0</v>
      </c>
    </row>
    <row r="71" customFormat="false" ht="16" hidden="false" customHeight="false" outlineLevel="0" collapsed="false">
      <c r="C71" s="1" t="n">
        <f aca="false">B71-A71</f>
        <v>0</v>
      </c>
      <c r="D71" s="1" t="n">
        <v>2</v>
      </c>
      <c r="E71" s="1" t="n">
        <v>4</v>
      </c>
      <c r="F71" s="1" t="n">
        <f aca="false">E71-D71</f>
        <v>2</v>
      </c>
      <c r="G71" s="1" t="n">
        <v>2</v>
      </c>
      <c r="H71" s="1" t="n">
        <v>6</v>
      </c>
      <c r="I71" s="1" t="n">
        <f aca="false">H71-G71</f>
        <v>4</v>
      </c>
      <c r="V71" s="1" t="n">
        <v>61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K71" s="1" t="n">
        <f aca="false">V71</f>
        <v>61</v>
      </c>
      <c r="AN71" s="1" t="n">
        <f aca="false">MAX(AN70-W71/W$9*100,0)</f>
        <v>0</v>
      </c>
      <c r="AO71" s="1" t="n">
        <f aca="false">MAX(AO70-X71/X$9*100,0)</f>
        <v>0</v>
      </c>
      <c r="AP71" s="1" t="n">
        <f aca="false">MAX(AP70-Z71/Z$9*100,0)</f>
        <v>0</v>
      </c>
      <c r="AQ71" s="1" t="n">
        <f aca="false">MAX(AQ70-AA71/AA$9*100,0)</f>
        <v>0</v>
      </c>
      <c r="AR71" s="1" t="n">
        <f aca="false">MAX(AR70-AC71/AC$9*100,0)</f>
        <v>0</v>
      </c>
      <c r="AS71" s="1" t="n">
        <f aca="false">MAX(AS70-AD71/AD$9*100,0)</f>
        <v>0</v>
      </c>
      <c r="AT71" s="1" t="n">
        <f aca="false">MAX(AT70-AF71/AF$9*100,0)</f>
        <v>0</v>
      </c>
      <c r="AU71" s="1" t="n">
        <f aca="false">MAX(AU70-AG71/AG$9*100,0)</f>
        <v>0</v>
      </c>
      <c r="AY71" s="1" t="n">
        <f aca="false">$V71</f>
        <v>61</v>
      </c>
      <c r="AZ71" s="1" t="n">
        <f aca="false">AO71</f>
        <v>0</v>
      </c>
      <c r="BA71" s="1" t="n">
        <f aca="false">BA$7*EXP(-AY71/BA$8)</f>
        <v>7.95948803444937E-026</v>
      </c>
      <c r="BB71" s="1" t="n">
        <f aca="false">(AZ71-BA71)^2</f>
        <v>6.33534497705427E-051</v>
      </c>
      <c r="BD71" s="1" t="n">
        <f aca="false">$V71</f>
        <v>61</v>
      </c>
      <c r="BE71" s="1" t="n">
        <f aca="false">AT71</f>
        <v>0</v>
      </c>
      <c r="BF71" s="1" t="n">
        <f aca="false">BF$7*EXP(-BD71/BF$8)</f>
        <v>2.06790976262789E-013</v>
      </c>
      <c r="BG71" s="1" t="n">
        <f aca="false">(BE71-BF71)^2</f>
        <v>4.27625078637174E-026</v>
      </c>
      <c r="BI71" s="1" t="n">
        <f aca="false">$V71</f>
        <v>61</v>
      </c>
      <c r="BJ71" s="1" t="n">
        <f aca="false">AN71</f>
        <v>0</v>
      </c>
      <c r="BK71" s="1" t="n">
        <f aca="false">BK$7*EXP(-BI71/BK$8)</f>
        <v>5.30150808071922E-030</v>
      </c>
      <c r="BL71" s="1" t="n">
        <f aca="false">(BJ71-BK71)^2</f>
        <v>2.81059879299312E-059</v>
      </c>
      <c r="BN71" s="1" t="n">
        <f aca="false">$V71</f>
        <v>61</v>
      </c>
      <c r="BO71" s="1" t="n">
        <f aca="false">AR71</f>
        <v>0</v>
      </c>
      <c r="BP71" s="1" t="n">
        <f aca="false">BP$7*EXP(-BN71/BP$8)</f>
        <v>1.89285957525586E-027</v>
      </c>
      <c r="BQ71" s="1" t="n">
        <f aca="false">(BO71-BP71)^2</f>
        <v>3.58291737163779E-054</v>
      </c>
      <c r="BU71" s="1" t="n">
        <f aca="false">V71</f>
        <v>61</v>
      </c>
      <c r="BV71" s="1" t="n">
        <f aca="false">W71/W$9*100</f>
        <v>0</v>
      </c>
      <c r="BW71" s="1" t="n">
        <f aca="false">X71/X$9*100</f>
        <v>0</v>
      </c>
      <c r="BX71" s="1" t="n">
        <f aca="false">Z71/Z$9*100</f>
        <v>0</v>
      </c>
      <c r="BY71" s="1" t="n">
        <f aca="false">AA71/AA$9*100</f>
        <v>0</v>
      </c>
      <c r="BZ71" s="1" t="n">
        <f aca="false">AC71/AC$9*100</f>
        <v>0</v>
      </c>
      <c r="CA71" s="1" t="n">
        <f aca="false">AD71/AD$9*100</f>
        <v>0</v>
      </c>
      <c r="CB71" s="1" t="n">
        <f aca="false">AF71/AF$9*100</f>
        <v>0</v>
      </c>
      <c r="CC71" s="1" t="n">
        <f aca="false">AG71/AG$9*100</f>
        <v>0</v>
      </c>
      <c r="CE71" s="1" t="n">
        <f aca="false">$V71</f>
        <v>61</v>
      </c>
      <c r="CF71" s="1" t="n">
        <f aca="false">BV71</f>
        <v>0</v>
      </c>
      <c r="CG71" s="1" t="n">
        <f aca="false">CG$6*(1+CG$5*(-1)^$BU71)*EXP(-$BU71/CG$4)</f>
        <v>5.9824633053887E-019</v>
      </c>
      <c r="CH71" s="1" t="n">
        <f aca="false">(CF71-CG71)^2</f>
        <v>3.57898672003223E-037</v>
      </c>
      <c r="CI71" s="1" t="n">
        <f aca="false">EXP($BU71/CE71)*CF71</f>
        <v>0</v>
      </c>
      <c r="CJ71" s="1" t="n">
        <f aca="false">EXP($BU71/CE71)*(-1)^$BU71*CF71</f>
        <v>-0</v>
      </c>
      <c r="CK71" s="1" t="n">
        <f aca="false">(-1)^CE71*CF71</f>
        <v>-0</v>
      </c>
      <c r="CM71" s="1" t="n">
        <f aca="false">$V71</f>
        <v>61</v>
      </c>
      <c r="CN71" s="1" t="n">
        <f aca="false">BZ71</f>
        <v>0</v>
      </c>
      <c r="CO71" s="1" t="n">
        <f aca="false">CO$6*(1+CO$5*(-1)^$BU71)*EXP(-$BU71/CO$4)</f>
        <v>5.9824633053887E-019</v>
      </c>
      <c r="CP71" s="1" t="n">
        <f aca="false">(CN71-CO71)^2</f>
        <v>3.57898672003223E-037</v>
      </c>
      <c r="CQ71" s="1" t="n">
        <f aca="false">EXP($BU71/CM71)*CN71</f>
        <v>0</v>
      </c>
      <c r="CR71" s="1" t="n">
        <f aca="false">EXP($BU71/CM71)*(-1)^$BU71*CN71</f>
        <v>-0</v>
      </c>
      <c r="CS71" s="1" t="n">
        <f aca="false">(-1)^CM71*CN71</f>
        <v>-0</v>
      </c>
      <c r="CU71" s="1" t="n">
        <f aca="false">$V71</f>
        <v>61</v>
      </c>
      <c r="CV71" s="1" t="n">
        <f aca="false">CB71</f>
        <v>0</v>
      </c>
      <c r="CW71" s="1" t="n">
        <f aca="false">CW$6*(1+CW$5*(-1)^$BU71)*EXP(-$BU71/CW$4)</f>
        <v>4.1947229593132E-008</v>
      </c>
      <c r="CX71" s="1" t="n">
        <f aca="false">(CV71-CW71)^2</f>
        <v>1.75957007053893E-015</v>
      </c>
      <c r="CY71" s="1" t="n">
        <f aca="false">EXP($BU71/CU71)*CV71</f>
        <v>0</v>
      </c>
      <c r="CZ71" s="1" t="n">
        <f aca="false">EXP($BU71/CU71)*(-1)^$BU71*CV71</f>
        <v>-0</v>
      </c>
      <c r="DA71" s="1" t="n">
        <f aca="false">(-1)^CU71*CV71</f>
        <v>-0</v>
      </c>
      <c r="DB71" s="1" t="n">
        <v>0</v>
      </c>
    </row>
    <row r="72" customFormat="false" ht="16" hidden="false" customHeight="false" outlineLevel="0" collapsed="false">
      <c r="C72" s="1" t="n">
        <f aca="false">B72-A72</f>
        <v>0</v>
      </c>
      <c r="D72" s="1" t="n">
        <v>2</v>
      </c>
      <c r="E72" s="1" t="n">
        <v>4</v>
      </c>
      <c r="F72" s="1" t="n">
        <f aca="false">E72-D72</f>
        <v>2</v>
      </c>
      <c r="G72" s="1" t="n">
        <v>2</v>
      </c>
      <c r="H72" s="1" t="n">
        <v>5</v>
      </c>
      <c r="I72" s="1" t="n">
        <f aca="false">H72-G72</f>
        <v>3</v>
      </c>
      <c r="V72" s="1" t="n">
        <v>62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K72" s="1" t="n">
        <f aca="false">V72</f>
        <v>62</v>
      </c>
      <c r="AN72" s="1" t="n">
        <f aca="false">MAX(AN71-W72/W$9*100,0)</f>
        <v>0</v>
      </c>
      <c r="AO72" s="1" t="n">
        <f aca="false">MAX(AO71-X72/X$9*100,0)</f>
        <v>0</v>
      </c>
      <c r="AP72" s="1" t="n">
        <f aca="false">MAX(AP71-Z72/Z$9*100,0)</f>
        <v>0</v>
      </c>
      <c r="AQ72" s="1" t="n">
        <f aca="false">MAX(AQ71-AA72/AA$9*100,0)</f>
        <v>0</v>
      </c>
      <c r="AR72" s="1" t="n">
        <f aca="false">MAX(AR71-AC72/AC$9*100,0)</f>
        <v>0</v>
      </c>
      <c r="AS72" s="1" t="n">
        <f aca="false">MAX(AS71-AD72/AD$9*100,0)</f>
        <v>0</v>
      </c>
      <c r="AT72" s="1" t="n">
        <f aca="false">MAX(AT71-AF72/AF$9*100,0)</f>
        <v>0</v>
      </c>
      <c r="AU72" s="1" t="n">
        <f aca="false">MAX(AU71-AG72/AG$9*100,0)</f>
        <v>0</v>
      </c>
      <c r="AY72" s="1" t="n">
        <f aca="false">$V72</f>
        <v>62</v>
      </c>
      <c r="AZ72" s="1" t="n">
        <f aca="false">AO72</f>
        <v>0</v>
      </c>
      <c r="BA72" s="1" t="n">
        <f aca="false">BA$7*EXP(-AY72/BA$8)</f>
        <v>2.83895732437407E-026</v>
      </c>
      <c r="BB72" s="1" t="n">
        <f aca="false">(AZ72-BA72)^2</f>
        <v>8.05967868961718E-052</v>
      </c>
      <c r="BD72" s="1" t="n">
        <f aca="false">$V72</f>
        <v>62</v>
      </c>
      <c r="BE72" s="1" t="n">
        <f aca="false">AT72</f>
        <v>0</v>
      </c>
      <c r="BF72" s="1" t="n">
        <f aca="false">BF$7*EXP(-BD72/BF$8)</f>
        <v>1.17908718583694E-013</v>
      </c>
      <c r="BG72" s="1" t="n">
        <f aca="false">(BE72-BF72)^2</f>
        <v>1.39024659180487E-026</v>
      </c>
      <c r="BI72" s="1" t="n">
        <f aca="false">$V72</f>
        <v>62</v>
      </c>
      <c r="BJ72" s="1" t="n">
        <f aca="false">AN72</f>
        <v>0</v>
      </c>
      <c r="BK72" s="1" t="n">
        <f aca="false">BK$7*EXP(-BI72/BK$8)</f>
        <v>1.61206365761281E-030</v>
      </c>
      <c r="BL72" s="1" t="n">
        <f aca="false">(BJ72-BK72)^2</f>
        <v>2.59874923619599E-060</v>
      </c>
      <c r="BN72" s="1" t="n">
        <f aca="false">$V72</f>
        <v>62</v>
      </c>
      <c r="BO72" s="1" t="n">
        <f aca="false">AR72</f>
        <v>0</v>
      </c>
      <c r="BP72" s="1" t="n">
        <f aca="false">BP$7*EXP(-BN72/BP$8)</f>
        <v>6.30770992325437E-028</v>
      </c>
      <c r="BQ72" s="1" t="n">
        <f aca="false">(BO72-BP72)^2</f>
        <v>3.97872044759217E-055</v>
      </c>
      <c r="BU72" s="1" t="n">
        <f aca="false">V72</f>
        <v>62</v>
      </c>
      <c r="BV72" s="1" t="n">
        <f aca="false">W72/W$9*100</f>
        <v>0</v>
      </c>
      <c r="BW72" s="1" t="n">
        <f aca="false">X72/X$9*100</f>
        <v>0</v>
      </c>
      <c r="BX72" s="1" t="n">
        <f aca="false">Z72/Z$9*100</f>
        <v>0</v>
      </c>
      <c r="BY72" s="1" t="n">
        <f aca="false">AA72/AA$9*100</f>
        <v>0</v>
      </c>
      <c r="BZ72" s="1" t="n">
        <f aca="false">AC72/AC$9*100</f>
        <v>0</v>
      </c>
      <c r="CA72" s="1" t="n">
        <f aca="false">AD72/AD$9*100</f>
        <v>0</v>
      </c>
      <c r="CB72" s="1" t="n">
        <f aca="false">AF72/AF$9*100</f>
        <v>0</v>
      </c>
      <c r="CC72" s="1" t="n">
        <f aca="false">AG72/AG$9*100</f>
        <v>0</v>
      </c>
      <c r="CE72" s="1" t="n">
        <f aca="false">$V72</f>
        <v>62</v>
      </c>
      <c r="CF72" s="1" t="n">
        <f aca="false">BV72</f>
        <v>0</v>
      </c>
      <c r="CG72" s="1" t="n">
        <f aca="false">CG$6*(1+CG$5*(-1)^$BU72)*EXP(-$BU72/CG$4)</f>
        <v>8.19379632954929E-019</v>
      </c>
      <c r="CH72" s="1" t="n">
        <f aca="false">(CF72-CG72)^2</f>
        <v>6.71382982901354E-037</v>
      </c>
      <c r="CI72" s="1" t="n">
        <f aca="false">EXP($BU72/CE72)*CF72</f>
        <v>0</v>
      </c>
      <c r="CJ72" s="1" t="n">
        <f aca="false">EXP($BU72/CE72)*(-1)^$BU72*CF72</f>
        <v>0</v>
      </c>
      <c r="CK72" s="1" t="n">
        <f aca="false">(-1)^CE72*CF72</f>
        <v>0</v>
      </c>
      <c r="CM72" s="1" t="n">
        <f aca="false">$V72</f>
        <v>62</v>
      </c>
      <c r="CN72" s="1" t="n">
        <f aca="false">BZ72</f>
        <v>0</v>
      </c>
      <c r="CO72" s="1" t="n">
        <f aca="false">CO$6*(1+CO$5*(-1)^$BU72)*EXP(-$BU72/CO$4)</f>
        <v>8.19379632954929E-019</v>
      </c>
      <c r="CP72" s="1" t="n">
        <f aca="false">(CN72-CO72)^2</f>
        <v>6.71382982901354E-037</v>
      </c>
      <c r="CQ72" s="1" t="n">
        <f aca="false">EXP($BU72/CM72)*CN72</f>
        <v>0</v>
      </c>
      <c r="CR72" s="1" t="n">
        <f aca="false">EXP($BU72/CM72)*(-1)^$BU72*CN72</f>
        <v>0</v>
      </c>
      <c r="CS72" s="1" t="n">
        <f aca="false">(-1)^CM72*CN72</f>
        <v>0</v>
      </c>
      <c r="CU72" s="1" t="n">
        <f aca="false">$V72</f>
        <v>62</v>
      </c>
      <c r="CV72" s="1" t="n">
        <f aca="false">CB72</f>
        <v>0</v>
      </c>
      <c r="CW72" s="1" t="n">
        <f aca="false">CW$6*(1+CW$5*(-1)^$BU72)*EXP(-$BU72/CW$4)</f>
        <v>5.83449771791242E-008</v>
      </c>
      <c r="CX72" s="1" t="n">
        <f aca="false">(CV72-CW72)^2</f>
        <v>3.40413636203252E-015</v>
      </c>
      <c r="CY72" s="1" t="n">
        <f aca="false">EXP($BU72/CU72)*CV72</f>
        <v>0</v>
      </c>
      <c r="CZ72" s="1" t="n">
        <f aca="false">EXP($BU72/CU72)*(-1)^$BU72*CV72</f>
        <v>0</v>
      </c>
      <c r="DA72" s="1" t="n">
        <f aca="false">(-1)^CU72*CV72</f>
        <v>0</v>
      </c>
      <c r="DB72" s="1" t="n">
        <v>0</v>
      </c>
    </row>
    <row r="73" customFormat="false" ht="16" hidden="false" customHeight="false" outlineLevel="0" collapsed="false">
      <c r="C73" s="1" t="n">
        <f aca="false">B73-A73</f>
        <v>0</v>
      </c>
      <c r="D73" s="1" t="n">
        <v>2</v>
      </c>
      <c r="E73" s="1" t="n">
        <v>2</v>
      </c>
      <c r="F73" s="1" t="n">
        <f aca="false">E73-D73</f>
        <v>0</v>
      </c>
      <c r="G73" s="1" t="n">
        <v>1</v>
      </c>
      <c r="H73" s="1" t="n">
        <v>3</v>
      </c>
      <c r="I73" s="1" t="n">
        <f aca="false">H73-G73</f>
        <v>2</v>
      </c>
      <c r="V73" s="1" t="n">
        <v>63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K73" s="1" t="n">
        <f aca="false">V73</f>
        <v>63</v>
      </c>
      <c r="AN73" s="1" t="n">
        <f aca="false">MAX(AN72-W73/W$9*100,0)</f>
        <v>0</v>
      </c>
      <c r="AO73" s="1" t="n">
        <f aca="false">MAX(AO72-X73/X$9*100,0)</f>
        <v>0</v>
      </c>
      <c r="AP73" s="1" t="n">
        <f aca="false">MAX(AP72-Z73/Z$9*100,0)</f>
        <v>0</v>
      </c>
      <c r="AQ73" s="1" t="n">
        <f aca="false">MAX(AQ72-AA73/AA$9*100,0)</f>
        <v>0</v>
      </c>
      <c r="AR73" s="1" t="n">
        <f aca="false">MAX(AR72-AC73/AC$9*100,0)</f>
        <v>0</v>
      </c>
      <c r="AS73" s="1" t="n">
        <f aca="false">MAX(AS72-AD73/AD$9*100,0)</f>
        <v>0</v>
      </c>
      <c r="AT73" s="1" t="n">
        <f aca="false">MAX(AT72-AF73/AF$9*100,0)</f>
        <v>0</v>
      </c>
      <c r="AU73" s="1" t="n">
        <f aca="false">MAX(AU72-AG73/AG$9*100,0)</f>
        <v>0</v>
      </c>
      <c r="AY73" s="1" t="n">
        <f aca="false">$V73</f>
        <v>63</v>
      </c>
      <c r="AZ73" s="1" t="n">
        <f aca="false">AO73</f>
        <v>0</v>
      </c>
      <c r="BA73" s="1" t="n">
        <f aca="false">BA$7*EXP(-AY73/BA$8)</f>
        <v>1.01258757532321E-026</v>
      </c>
      <c r="BB73" s="1" t="n">
        <f aca="false">(AZ73-BA73)^2</f>
        <v>1.02533359769894E-052</v>
      </c>
      <c r="BD73" s="1" t="n">
        <f aca="false">$V73</f>
        <v>63</v>
      </c>
      <c r="BE73" s="1" t="n">
        <f aca="false">AT73</f>
        <v>0</v>
      </c>
      <c r="BF73" s="1" t="n">
        <f aca="false">BF$7*EXP(-BD73/BF$8)</f>
        <v>6.72295579299441E-014</v>
      </c>
      <c r="BG73" s="1" t="n">
        <f aca="false">(BE73-BF73)^2</f>
        <v>4.51981345945571E-027</v>
      </c>
      <c r="BI73" s="1" t="n">
        <f aca="false">$V73</f>
        <v>63</v>
      </c>
      <c r="BJ73" s="1" t="n">
        <f aca="false">AN73</f>
        <v>0</v>
      </c>
      <c r="BK73" s="1" t="n">
        <f aca="false">BK$7*EXP(-BI73/BK$8)</f>
        <v>4.90190564010878E-031</v>
      </c>
      <c r="BL73" s="1" t="n">
        <f aca="false">(BJ73-BK73)^2</f>
        <v>2.40286789045303E-061</v>
      </c>
      <c r="BN73" s="1" t="n">
        <f aca="false">$V73</f>
        <v>63</v>
      </c>
      <c r="BO73" s="1" t="n">
        <f aca="false">AR73</f>
        <v>0</v>
      </c>
      <c r="BP73" s="1" t="n">
        <f aca="false">BP$7*EXP(-BN73/BP$8)</f>
        <v>2.1019628183746E-028</v>
      </c>
      <c r="BQ73" s="1" t="n">
        <f aca="false">(BO73-BP73)^2</f>
        <v>4.41824768982929E-056</v>
      </c>
      <c r="BU73" s="1" t="n">
        <f aca="false">V73</f>
        <v>63</v>
      </c>
      <c r="BV73" s="1" t="n">
        <f aca="false">W73/W$9*100</f>
        <v>0</v>
      </c>
      <c r="BW73" s="1" t="n">
        <f aca="false">X73/X$9*100</f>
        <v>0</v>
      </c>
      <c r="BX73" s="1" t="n">
        <f aca="false">Z73/Z$9*100</f>
        <v>0</v>
      </c>
      <c r="BY73" s="1" t="n">
        <f aca="false">AA73/AA$9*100</f>
        <v>0</v>
      </c>
      <c r="BZ73" s="1" t="n">
        <f aca="false">AC73/AC$9*100</f>
        <v>0</v>
      </c>
      <c r="CA73" s="1" t="n">
        <f aca="false">AD73/AD$9*100</f>
        <v>0</v>
      </c>
      <c r="CB73" s="1" t="n">
        <f aca="false">AF73/AF$9*100</f>
        <v>0</v>
      </c>
      <c r="CC73" s="1" t="n">
        <f aca="false">AG73/AG$9*100</f>
        <v>0</v>
      </c>
      <c r="CE73" s="1" t="n">
        <f aca="false">$V73</f>
        <v>63</v>
      </c>
      <c r="CF73" s="1" t="n">
        <f aca="false">BV73</f>
        <v>0</v>
      </c>
      <c r="CG73" s="1" t="n">
        <f aca="false">CG$6*(1+CG$5*(-1)^$BU73)*EXP(-$BU73/CG$4)</f>
        <v>1.31479517359336E-019</v>
      </c>
      <c r="CH73" s="1" t="n">
        <f aca="false">(CF73-CG73)^2</f>
        <v>1.72868634850439E-038</v>
      </c>
      <c r="CI73" s="1" t="n">
        <f aca="false">EXP($BU73/CE73)*CF73</f>
        <v>0</v>
      </c>
      <c r="CJ73" s="1" t="n">
        <f aca="false">EXP($BU73/CE73)*(-1)^$BU73*CF73</f>
        <v>-0</v>
      </c>
      <c r="CK73" s="1" t="n">
        <f aca="false">(-1)^CE73*CF73</f>
        <v>-0</v>
      </c>
      <c r="CM73" s="1" t="n">
        <f aca="false">$V73</f>
        <v>63</v>
      </c>
      <c r="CN73" s="1" t="n">
        <f aca="false">BZ73</f>
        <v>0</v>
      </c>
      <c r="CO73" s="1" t="n">
        <f aca="false">CO$6*(1+CO$5*(-1)^$BU73)*EXP(-$BU73/CO$4)</f>
        <v>1.31479517359336E-019</v>
      </c>
      <c r="CP73" s="1" t="n">
        <f aca="false">(CN73-CO73)^2</f>
        <v>1.72868634850439E-038</v>
      </c>
      <c r="CQ73" s="1" t="n">
        <f aca="false">EXP($BU73/CM73)*CN73</f>
        <v>0</v>
      </c>
      <c r="CR73" s="1" t="n">
        <f aca="false">EXP($BU73/CM73)*(-1)^$BU73*CN73</f>
        <v>-0</v>
      </c>
      <c r="CS73" s="1" t="n">
        <f aca="false">(-1)^CM73*CN73</f>
        <v>-0</v>
      </c>
      <c r="CU73" s="1" t="n">
        <f aca="false">$V73</f>
        <v>63</v>
      </c>
      <c r="CV73" s="1" t="n">
        <f aca="false">CB73</f>
        <v>0</v>
      </c>
      <c r="CW73" s="1" t="n">
        <f aca="false">CW$6*(1+CW$5*(-1)^$BU73)*EXP(-$BU73/CW$4)</f>
        <v>2.15364257691045E-008</v>
      </c>
      <c r="CX73" s="1" t="n">
        <f aca="false">(CV73-CW73)^2</f>
        <v>4.63817634908148E-016</v>
      </c>
      <c r="CY73" s="1" t="n">
        <f aca="false">EXP($BU73/CU73)*CV73</f>
        <v>0</v>
      </c>
      <c r="CZ73" s="1" t="n">
        <f aca="false">EXP($BU73/CU73)*(-1)^$BU73*CV73</f>
        <v>-0</v>
      </c>
      <c r="DA73" s="1" t="n">
        <f aca="false">(-1)^CU73*CV73</f>
        <v>-0</v>
      </c>
      <c r="DB73" s="1" t="n">
        <v>0</v>
      </c>
    </row>
    <row r="74" customFormat="false" ht="16" hidden="false" customHeight="false" outlineLevel="0" collapsed="false">
      <c r="C74" s="1" t="n">
        <f aca="false">B74-A74</f>
        <v>0</v>
      </c>
      <c r="D74" s="1" t="n">
        <v>1</v>
      </c>
      <c r="E74" s="1" t="n">
        <v>2</v>
      </c>
      <c r="F74" s="1" t="n">
        <f aca="false">E74-D74</f>
        <v>1</v>
      </c>
      <c r="G74" s="1" t="n">
        <v>3</v>
      </c>
      <c r="H74" s="1" t="n">
        <v>4</v>
      </c>
      <c r="I74" s="1" t="n">
        <f aca="false">H74-G74</f>
        <v>1</v>
      </c>
      <c r="V74" s="1" t="n">
        <v>64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K74" s="1" t="n">
        <f aca="false">V74</f>
        <v>64</v>
      </c>
      <c r="AN74" s="1" t="n">
        <f aca="false">MAX(AN73-W74/W$9*100,0)</f>
        <v>0</v>
      </c>
      <c r="AO74" s="1" t="n">
        <f aca="false">MAX(AO73-X74/X$9*100,0)</f>
        <v>0</v>
      </c>
      <c r="AP74" s="1" t="n">
        <f aca="false">MAX(AP73-Z74/Z$9*100,0)</f>
        <v>0</v>
      </c>
      <c r="AQ74" s="1" t="n">
        <f aca="false">MAX(AQ73-AA74/AA$9*100,0)</f>
        <v>0</v>
      </c>
      <c r="AR74" s="1" t="n">
        <f aca="false">MAX(AR73-AC74/AC$9*100,0)</f>
        <v>0</v>
      </c>
      <c r="AS74" s="1" t="n">
        <f aca="false">MAX(AS73-AD74/AD$9*100,0)</f>
        <v>0</v>
      </c>
      <c r="AT74" s="1" t="n">
        <f aca="false">MAX(AT73-AF74/AF$9*100,0)</f>
        <v>0</v>
      </c>
      <c r="AU74" s="1" t="n">
        <f aca="false">MAX(AU73-AG74/AG$9*100,0)</f>
        <v>0</v>
      </c>
      <c r="AY74" s="1" t="n">
        <f aca="false">$V74</f>
        <v>64</v>
      </c>
      <c r="AZ74" s="1" t="n">
        <f aca="false">AO74</f>
        <v>0</v>
      </c>
      <c r="BA74" s="1" t="n">
        <f aca="false">BA$7*EXP(-AY74/BA$8)</f>
        <v>3.61165555007059E-027</v>
      </c>
      <c r="BB74" s="1" t="n">
        <f aca="false">(AZ74-BA74)^2</f>
        <v>1.30440558123557E-053</v>
      </c>
      <c r="BD74" s="1" t="n">
        <f aca="false">$V74</f>
        <v>64</v>
      </c>
      <c r="BE74" s="1" t="n">
        <f aca="false">AT74</f>
        <v>0</v>
      </c>
      <c r="BF74" s="1" t="n">
        <f aca="false">BF$7*EXP(-BD74/BF$8)</f>
        <v>3.83331573249812E-014</v>
      </c>
      <c r="BG74" s="1" t="n">
        <f aca="false">(BE74-BF74)^2</f>
        <v>1.46943095050176E-027</v>
      </c>
      <c r="BI74" s="1" t="n">
        <f aca="false">$V74</f>
        <v>64</v>
      </c>
      <c r="BJ74" s="1" t="n">
        <f aca="false">AN74</f>
        <v>0</v>
      </c>
      <c r="BK74" s="1" t="n">
        <f aca="false">BK$7*EXP(-BI74/BK$8)</f>
        <v>1.49055397353928E-031</v>
      </c>
      <c r="BL74" s="1" t="n">
        <f aca="false">(BJ74-BK74)^2</f>
        <v>2.22175114803374E-062</v>
      </c>
      <c r="BN74" s="1" t="n">
        <f aca="false">$V74</f>
        <v>64</v>
      </c>
      <c r="BO74" s="1" t="n">
        <f aca="false">AR74</f>
        <v>0</v>
      </c>
      <c r="BP74" s="1" t="n">
        <f aca="false">BP$7*EXP(-BN74/BP$8)</f>
        <v>7.00451945886214E-029</v>
      </c>
      <c r="BQ74" s="1" t="n">
        <f aca="false">(BO74-BP74)^2</f>
        <v>4.90632928495784E-057</v>
      </c>
      <c r="BU74" s="1" t="n">
        <f aca="false">V74</f>
        <v>64</v>
      </c>
      <c r="BV74" s="1" t="n">
        <f aca="false">W74/W$9*100</f>
        <v>0</v>
      </c>
      <c r="BW74" s="1" t="n">
        <f aca="false">X74/X$9*100</f>
        <v>0</v>
      </c>
      <c r="BX74" s="1" t="n">
        <f aca="false">Z74/Z$9*100</f>
        <v>0</v>
      </c>
      <c r="BY74" s="1" t="n">
        <f aca="false">AA74/AA$9*100</f>
        <v>0</v>
      </c>
      <c r="BZ74" s="1" t="n">
        <f aca="false">AC74/AC$9*100</f>
        <v>0</v>
      </c>
      <c r="CA74" s="1" t="n">
        <f aca="false">AD74/AD$9*100</f>
        <v>0</v>
      </c>
      <c r="CB74" s="1" t="n">
        <f aca="false">AF74/AF$9*100</f>
        <v>0</v>
      </c>
      <c r="CC74" s="1" t="n">
        <f aca="false">AG74/AG$9*100</f>
        <v>0</v>
      </c>
      <c r="CE74" s="1" t="n">
        <f aca="false">$V74</f>
        <v>64</v>
      </c>
      <c r="CF74" s="1" t="n">
        <f aca="false">BV74</f>
        <v>0</v>
      </c>
      <c r="CG74" s="1" t="n">
        <f aca="false">CG$6*(1+CG$5*(-1)^$BU74)*EXP(-$BU74/CG$4)</f>
        <v>1.80079063047398E-019</v>
      </c>
      <c r="CH74" s="1" t="n">
        <f aca="false">(CF74-CG74)^2</f>
        <v>3.24284689480287E-038</v>
      </c>
      <c r="CI74" s="1" t="n">
        <f aca="false">EXP($BU74/CE74)*CF74</f>
        <v>0</v>
      </c>
      <c r="CJ74" s="1" t="n">
        <f aca="false">EXP($BU74/CE74)*(-1)^$BU74*CF74</f>
        <v>0</v>
      </c>
      <c r="CK74" s="1" t="n">
        <f aca="false">(-1)^CE74*CF74</f>
        <v>0</v>
      </c>
      <c r="CM74" s="1" t="n">
        <f aca="false">$V74</f>
        <v>64</v>
      </c>
      <c r="CN74" s="1" t="n">
        <f aca="false">BZ74</f>
        <v>0</v>
      </c>
      <c r="CO74" s="1" t="n">
        <f aca="false">CO$6*(1+CO$5*(-1)^$BU74)*EXP(-$BU74/CO$4)</f>
        <v>1.80079063047398E-019</v>
      </c>
      <c r="CP74" s="1" t="n">
        <f aca="false">(CN74-CO74)^2</f>
        <v>3.24284689480287E-038</v>
      </c>
      <c r="CQ74" s="1" t="n">
        <f aca="false">EXP($BU74/CM74)*CN74</f>
        <v>0</v>
      </c>
      <c r="CR74" s="1" t="n">
        <f aca="false">EXP($BU74/CM74)*(-1)^$BU74*CN74</f>
        <v>0</v>
      </c>
      <c r="CS74" s="1" t="n">
        <f aca="false">(-1)^CM74*CN74</f>
        <v>0</v>
      </c>
      <c r="CU74" s="1" t="n">
        <f aca="false">$V74</f>
        <v>64</v>
      </c>
      <c r="CV74" s="1" t="n">
        <f aca="false">CB74</f>
        <v>0</v>
      </c>
      <c r="CW74" s="1" t="n">
        <f aca="false">CW$6*(1+CW$5*(-1)^$BU74)*EXP(-$BU74/CW$4)</f>
        <v>2.99553100933284E-008</v>
      </c>
      <c r="CX74" s="1" t="n">
        <f aca="false">(CV74-CW74)^2</f>
        <v>8.97320602787462E-016</v>
      </c>
      <c r="CY74" s="1" t="n">
        <f aca="false">EXP($BU74/CU74)*CV74</f>
        <v>0</v>
      </c>
      <c r="CZ74" s="1" t="n">
        <f aca="false">EXP($BU74/CU74)*(-1)^$BU74*CV74</f>
        <v>0</v>
      </c>
      <c r="DA74" s="1" t="n">
        <f aca="false">(-1)^CU74*CV74</f>
        <v>0</v>
      </c>
      <c r="DB74" s="1" t="n">
        <v>0</v>
      </c>
    </row>
    <row r="75" customFormat="false" ht="16" hidden="false" customHeight="false" outlineLevel="0" collapsed="false">
      <c r="C75" s="1" t="n">
        <f aca="false">B75-A75</f>
        <v>0</v>
      </c>
      <c r="D75" s="1" t="n">
        <v>2</v>
      </c>
      <c r="E75" s="1" t="n">
        <v>3</v>
      </c>
      <c r="F75" s="1" t="n">
        <f aca="false">E75-D75</f>
        <v>1</v>
      </c>
      <c r="G75" s="1" t="n">
        <v>1</v>
      </c>
      <c r="H75" s="1" t="n">
        <v>2</v>
      </c>
      <c r="I75" s="1" t="n">
        <f aca="false">H75-G75</f>
        <v>1</v>
      </c>
      <c r="V75" s="1" t="n">
        <v>65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K75" s="1" t="n">
        <f aca="false">V75</f>
        <v>65</v>
      </c>
      <c r="AN75" s="1" t="n">
        <f aca="false">MAX(AN74-W75/W$9*100,0)</f>
        <v>0</v>
      </c>
      <c r="AO75" s="1" t="n">
        <f aca="false">MAX(AO74-X75/X$9*100,0)</f>
        <v>0</v>
      </c>
      <c r="AP75" s="1" t="n">
        <f aca="false">MAX(AP74-Z75/Z$9*100,0)</f>
        <v>0</v>
      </c>
      <c r="AQ75" s="1" t="n">
        <f aca="false">MAX(AQ74-AA75/AA$9*100,0)</f>
        <v>0</v>
      </c>
      <c r="AR75" s="1" t="n">
        <f aca="false">MAX(AR74-AC75/AC$9*100,0)</f>
        <v>0</v>
      </c>
      <c r="AS75" s="1" t="n">
        <f aca="false">MAX(AS74-AD75/AD$9*100,0)</f>
        <v>0</v>
      </c>
      <c r="AT75" s="1" t="n">
        <f aca="false">MAX(AT74-AF75/AF$9*100,0)</f>
        <v>0</v>
      </c>
      <c r="AU75" s="1" t="n">
        <f aca="false">MAX(AU74-AG75/AG$9*100,0)</f>
        <v>0</v>
      </c>
      <c r="AY75" s="1" t="n">
        <f aca="false">$V75</f>
        <v>65</v>
      </c>
      <c r="AZ75" s="1" t="n">
        <f aca="false">AO75</f>
        <v>0</v>
      </c>
      <c r="BA75" s="1" t="n">
        <f aca="false">BA$7*EXP(-AY75/BA$8)</f>
        <v>1.28819038769979E-027</v>
      </c>
      <c r="BB75" s="1" t="n">
        <f aca="false">(AZ75-BA75)^2</f>
        <v>1.65943447496214E-054</v>
      </c>
      <c r="BD75" s="1" t="n">
        <f aca="false">$V75</f>
        <v>65</v>
      </c>
      <c r="BE75" s="1" t="n">
        <f aca="false">AT75</f>
        <v>0</v>
      </c>
      <c r="BF75" s="1" t="n">
        <f aca="false">BF$7*EXP(-BD75/BF$8)</f>
        <v>2.18569182327954E-014</v>
      </c>
      <c r="BG75" s="1" t="n">
        <f aca="false">(BE75-BF75)^2</f>
        <v>4.77724874635104E-028</v>
      </c>
      <c r="BI75" s="1" t="n">
        <f aca="false">$V75</f>
        <v>65</v>
      </c>
      <c r="BJ75" s="1" t="n">
        <f aca="false">AN75</f>
        <v>0</v>
      </c>
      <c r="BK75" s="1" t="n">
        <f aca="false">BK$7*EXP(-BI75/BK$8)</f>
        <v>4.53242332911251E-032</v>
      </c>
      <c r="BL75" s="1" t="n">
        <f aca="false">(BJ75-BK75)^2</f>
        <v>2.05428612342833E-063</v>
      </c>
      <c r="BN75" s="1" t="n">
        <f aca="false">$V75</f>
        <v>65</v>
      </c>
      <c r="BO75" s="1" t="n">
        <f aca="false">AR75</f>
        <v>0</v>
      </c>
      <c r="BP75" s="1" t="n">
        <f aca="false">BP$7*EXP(-BN75/BP$8)</f>
        <v>2.33416559135509E-029</v>
      </c>
      <c r="BQ75" s="1" t="n">
        <f aca="false">(BO75-BP75)^2</f>
        <v>5.44832900786606E-058</v>
      </c>
      <c r="BU75" s="1" t="n">
        <f aca="false">V75</f>
        <v>65</v>
      </c>
      <c r="BV75" s="1" t="n">
        <f aca="false">W75/W$9*100</f>
        <v>0</v>
      </c>
      <c r="BW75" s="1" t="n">
        <f aca="false">X75/X$9*100</f>
        <v>0</v>
      </c>
      <c r="BX75" s="1" t="n">
        <f aca="false">Z75/Z$9*100</f>
        <v>0</v>
      </c>
      <c r="BY75" s="1" t="n">
        <f aca="false">AA75/AA$9*100</f>
        <v>0</v>
      </c>
      <c r="BZ75" s="1" t="n">
        <f aca="false">AC75/AC$9*100</f>
        <v>0</v>
      </c>
      <c r="CA75" s="1" t="n">
        <f aca="false">AD75/AD$9*100</f>
        <v>0</v>
      </c>
      <c r="CB75" s="1" t="n">
        <f aca="false">AF75/AF$9*100</f>
        <v>0</v>
      </c>
      <c r="CC75" s="1" t="n">
        <f aca="false">AG75/AG$9*100</f>
        <v>0</v>
      </c>
      <c r="CE75" s="1" t="n">
        <f aca="false">$V75</f>
        <v>65</v>
      </c>
      <c r="CF75" s="1" t="n">
        <f aca="false">BV75</f>
        <v>0</v>
      </c>
      <c r="CG75" s="1" t="n">
        <f aca="false">CG$6*(1+CG$5*(-1)^$BU75)*EXP(-$BU75/CG$4)</f>
        <v>2.88958955577257E-020</v>
      </c>
      <c r="CH75" s="1" t="n">
        <f aca="false">(CF75-CG75)^2</f>
        <v>8.34972780082992E-040</v>
      </c>
      <c r="CI75" s="1" t="n">
        <f aca="false">EXP($BU75/CE75)*CF75</f>
        <v>0</v>
      </c>
      <c r="CJ75" s="1" t="n">
        <f aca="false">EXP($BU75/CE75)*(-1)^$BU75*CF75</f>
        <v>-0</v>
      </c>
      <c r="CK75" s="1" t="n">
        <f aca="false">(-1)^CE75*CF75</f>
        <v>-0</v>
      </c>
      <c r="CM75" s="1" t="n">
        <f aca="false">$V75</f>
        <v>65</v>
      </c>
      <c r="CN75" s="1" t="n">
        <f aca="false">BZ75</f>
        <v>0</v>
      </c>
      <c r="CO75" s="1" t="n">
        <f aca="false">CO$6*(1+CO$5*(-1)^$BU75)*EXP(-$BU75/CO$4)</f>
        <v>2.88958955577257E-020</v>
      </c>
      <c r="CP75" s="1" t="n">
        <f aca="false">(CN75-CO75)^2</f>
        <v>8.34972780082992E-040</v>
      </c>
      <c r="CQ75" s="1" t="n">
        <f aca="false">EXP($BU75/CM75)*CN75</f>
        <v>0</v>
      </c>
      <c r="CR75" s="1" t="n">
        <f aca="false">EXP($BU75/CM75)*(-1)^$BU75*CN75</f>
        <v>-0</v>
      </c>
      <c r="CS75" s="1" t="n">
        <f aca="false">(-1)^CM75*CN75</f>
        <v>-0</v>
      </c>
      <c r="CU75" s="1" t="n">
        <f aca="false">$V75</f>
        <v>65</v>
      </c>
      <c r="CV75" s="1" t="n">
        <f aca="false">CB75</f>
        <v>0</v>
      </c>
      <c r="CW75" s="1" t="n">
        <f aca="false">CW$6*(1+CW$5*(-1)^$BU75)*EXP(-$BU75/CW$4)</f>
        <v>1.10571696726329E-008</v>
      </c>
      <c r="CX75" s="1" t="n">
        <f aca="false">(CV75-CW75)^2</f>
        <v>1.22261001169393E-016</v>
      </c>
      <c r="CY75" s="1" t="n">
        <f aca="false">EXP($BU75/CU75)*CV75</f>
        <v>0</v>
      </c>
      <c r="CZ75" s="1" t="n">
        <f aca="false">EXP($BU75/CU75)*(-1)^$BU75*CV75</f>
        <v>-0</v>
      </c>
      <c r="DA75" s="1" t="n">
        <f aca="false">(-1)^CU75*CV75</f>
        <v>-0</v>
      </c>
      <c r="DB75" s="1" t="n">
        <v>0</v>
      </c>
    </row>
    <row r="76" customFormat="false" ht="16" hidden="false" customHeight="false" outlineLevel="0" collapsed="false">
      <c r="C76" s="1" t="n">
        <f aca="false">B76-A76</f>
        <v>0</v>
      </c>
      <c r="D76" s="1" t="n">
        <v>2</v>
      </c>
      <c r="E76" s="1" t="n">
        <v>2</v>
      </c>
      <c r="F76" s="1" t="n">
        <f aca="false">E76-D76</f>
        <v>0</v>
      </c>
      <c r="G76" s="1" t="n">
        <v>1</v>
      </c>
      <c r="H76" s="1" t="n">
        <v>3</v>
      </c>
      <c r="I76" s="1" t="n">
        <f aca="false">H76-G76</f>
        <v>2</v>
      </c>
      <c r="V76" s="1" t="n">
        <v>66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K76" s="1" t="n">
        <f aca="false">V76</f>
        <v>66</v>
      </c>
      <c r="AN76" s="1" t="n">
        <f aca="false">MAX(AN75-W76/W$9*100,0)</f>
        <v>0</v>
      </c>
      <c r="AO76" s="1" t="n">
        <f aca="false">MAX(AO75-X76/X$9*100,0)</f>
        <v>0</v>
      </c>
      <c r="AP76" s="1" t="n">
        <f aca="false">MAX(AP75-Z76/Z$9*100,0)</f>
        <v>0</v>
      </c>
      <c r="AQ76" s="1" t="n">
        <f aca="false">MAX(AQ75-AA76/AA$9*100,0)</f>
        <v>0</v>
      </c>
      <c r="AR76" s="1" t="n">
        <f aca="false">MAX(AR75-AC76/AC$9*100,0)</f>
        <v>0</v>
      </c>
      <c r="AS76" s="1" t="n">
        <f aca="false">MAX(AS75-AD76/AD$9*100,0)</f>
        <v>0</v>
      </c>
      <c r="AT76" s="1" t="n">
        <f aca="false">MAX(AT75-AF76/AF$9*100,0)</f>
        <v>0</v>
      </c>
      <c r="AU76" s="1" t="n">
        <f aca="false">MAX(AU75-AG76/AG$9*100,0)</f>
        <v>0</v>
      </c>
      <c r="AY76" s="1" t="n">
        <f aca="false">$V76</f>
        <v>66</v>
      </c>
      <c r="AZ76" s="1" t="n">
        <f aca="false">AO76</f>
        <v>0</v>
      </c>
      <c r="BA76" s="1" t="n">
        <f aca="false">BA$7*EXP(-AY76/BA$8)</f>
        <v>4.59466428056711E-028</v>
      </c>
      <c r="BB76" s="1" t="n">
        <f aca="false">(AZ76-BA76)^2</f>
        <v>2.11109398511193E-055</v>
      </c>
      <c r="BD76" s="1" t="n">
        <f aca="false">$V76</f>
        <v>66</v>
      </c>
      <c r="BE76" s="1" t="n">
        <f aca="false">AT76</f>
        <v>0</v>
      </c>
      <c r="BF76" s="1" t="n">
        <f aca="false">BF$7*EXP(-BD76/BF$8)</f>
        <v>1.24624452555536E-014</v>
      </c>
      <c r="BG76" s="1" t="n">
        <f aca="false">(BE76-BF76)^2</f>
        <v>1.5531254174767E-028</v>
      </c>
      <c r="BI76" s="1" t="n">
        <f aca="false">$V76</f>
        <v>66</v>
      </c>
      <c r="BJ76" s="1" t="n">
        <f aca="false">AN76</f>
        <v>0</v>
      </c>
      <c r="BK76" s="1" t="n">
        <f aca="false">BK$7*EXP(-BI76/BK$8)</f>
        <v>1.37820311098866E-032</v>
      </c>
      <c r="BL76" s="1" t="n">
        <f aca="false">(BJ76-BK76)^2</f>
        <v>1.89944381513882E-064</v>
      </c>
      <c r="BN76" s="1" t="n">
        <f aca="false">$V76</f>
        <v>66</v>
      </c>
      <c r="BO76" s="1" t="n">
        <f aca="false">AR76</f>
        <v>0</v>
      </c>
      <c r="BP76" s="1" t="n">
        <f aca="false">BP$7*EXP(-BN76/BP$8)</f>
        <v>7.77830519261801E-030</v>
      </c>
      <c r="BQ76" s="1" t="n">
        <f aca="false">(BO76-BP76)^2</f>
        <v>6.05020316695083E-059</v>
      </c>
      <c r="BU76" s="1" t="n">
        <f aca="false">V76</f>
        <v>66</v>
      </c>
      <c r="BV76" s="1" t="n">
        <f aca="false">W76/W$9*100</f>
        <v>0</v>
      </c>
      <c r="BW76" s="1" t="n">
        <f aca="false">X76/X$9*100</f>
        <v>0</v>
      </c>
      <c r="BX76" s="1" t="n">
        <f aca="false">Z76/Z$9*100</f>
        <v>0</v>
      </c>
      <c r="BY76" s="1" t="n">
        <f aca="false">AA76/AA$9*100</f>
        <v>0</v>
      </c>
      <c r="BZ76" s="1" t="n">
        <f aca="false">AC76/AC$9*100</f>
        <v>0</v>
      </c>
      <c r="CA76" s="1" t="n">
        <f aca="false">AD76/AD$9*100</f>
        <v>0</v>
      </c>
      <c r="CB76" s="1" t="n">
        <f aca="false">AF76/AF$9*100</f>
        <v>0</v>
      </c>
      <c r="CC76" s="1" t="n">
        <f aca="false">AG76/AG$9*100</f>
        <v>0</v>
      </c>
      <c r="CE76" s="1" t="n">
        <f aca="false">$V76</f>
        <v>66</v>
      </c>
      <c r="CF76" s="1" t="n">
        <f aca="false">BV76</f>
        <v>0</v>
      </c>
      <c r="CG76" s="1" t="n">
        <f aca="false">CG$6*(1+CG$5*(-1)^$BU76)*EXP(-$BU76/CG$4)</f>
        <v>3.95768550300451E-020</v>
      </c>
      <c r="CH76" s="1" t="n">
        <f aca="false">(CF76-CG76)^2</f>
        <v>1.56632745406921E-039</v>
      </c>
      <c r="CI76" s="1" t="n">
        <f aca="false">EXP($BU76/CE76)*CF76</f>
        <v>0</v>
      </c>
      <c r="CJ76" s="1" t="n">
        <f aca="false">EXP($BU76/CE76)*(-1)^$BU76*CF76</f>
        <v>0</v>
      </c>
      <c r="CK76" s="1" t="n">
        <f aca="false">(-1)^CE76*CF76</f>
        <v>0</v>
      </c>
      <c r="CM76" s="1" t="n">
        <f aca="false">$V76</f>
        <v>66</v>
      </c>
      <c r="CN76" s="1" t="n">
        <f aca="false">BZ76</f>
        <v>0</v>
      </c>
      <c r="CO76" s="1" t="n">
        <f aca="false">CO$6*(1+CO$5*(-1)^$BU76)*EXP(-$BU76/CO$4)</f>
        <v>3.95768550300451E-020</v>
      </c>
      <c r="CP76" s="1" t="n">
        <f aca="false">(CN76-CO76)^2</f>
        <v>1.56632745406921E-039</v>
      </c>
      <c r="CQ76" s="1" t="n">
        <f aca="false">EXP($BU76/CM76)*CN76</f>
        <v>0</v>
      </c>
      <c r="CR76" s="1" t="n">
        <f aca="false">EXP($BU76/CM76)*(-1)^$BU76*CN76</f>
        <v>0</v>
      </c>
      <c r="CS76" s="1" t="n">
        <f aca="false">(-1)^CM76*CN76</f>
        <v>0</v>
      </c>
      <c r="CU76" s="1" t="n">
        <f aca="false">$V76</f>
        <v>66</v>
      </c>
      <c r="CV76" s="1" t="n">
        <f aca="false">CB76</f>
        <v>0</v>
      </c>
      <c r="CW76" s="1" t="n">
        <f aca="false">CW$6*(1+CW$5*(-1)^$BU76)*EXP(-$BU76/CW$4)</f>
        <v>1.53795690078446E-008</v>
      </c>
      <c r="CX76" s="1" t="n">
        <f aca="false">(CV76-CW76)^2</f>
        <v>2.36531142867054E-016</v>
      </c>
      <c r="CY76" s="1" t="n">
        <f aca="false">EXP($BU76/CU76)*CV76</f>
        <v>0</v>
      </c>
      <c r="CZ76" s="1" t="n">
        <f aca="false">EXP($BU76/CU76)*(-1)^$BU76*CV76</f>
        <v>0</v>
      </c>
      <c r="DA76" s="1" t="n">
        <f aca="false">(-1)^CU76*CV76</f>
        <v>0</v>
      </c>
      <c r="DB76" s="1" t="n">
        <v>0</v>
      </c>
    </row>
    <row r="77" customFormat="false" ht="16" hidden="false" customHeight="false" outlineLevel="0" collapsed="false">
      <c r="C77" s="1" t="n">
        <f aca="false">B77-A77</f>
        <v>0</v>
      </c>
      <c r="D77" s="1" t="n">
        <v>1</v>
      </c>
      <c r="E77" s="1" t="n">
        <v>2</v>
      </c>
      <c r="F77" s="1" t="n">
        <f aca="false">E77-D77</f>
        <v>1</v>
      </c>
      <c r="G77" s="1" t="n">
        <v>2</v>
      </c>
      <c r="H77" s="1" t="n">
        <v>4</v>
      </c>
      <c r="I77" s="1" t="n">
        <f aca="false">H77-G77</f>
        <v>2</v>
      </c>
      <c r="V77" s="1" t="n">
        <v>67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K77" s="1" t="n">
        <f aca="false">V77</f>
        <v>67</v>
      </c>
      <c r="AN77" s="1" t="n">
        <f aca="false">MAX(AN76-W77/W$9*100,0)</f>
        <v>0</v>
      </c>
      <c r="AO77" s="1" t="n">
        <f aca="false">MAX(AO76-X77/X$9*100,0)</f>
        <v>0</v>
      </c>
      <c r="AP77" s="1" t="n">
        <f aca="false">MAX(AP76-Z77/Z$9*100,0)</f>
        <v>0</v>
      </c>
      <c r="AQ77" s="1" t="n">
        <f aca="false">MAX(AQ76-AA77/AA$9*100,0)</f>
        <v>0</v>
      </c>
      <c r="AR77" s="1" t="n">
        <f aca="false">MAX(AR76-AC77/AC$9*100,0)</f>
        <v>0</v>
      </c>
      <c r="AS77" s="1" t="n">
        <f aca="false">MAX(AS76-AD77/AD$9*100,0)</f>
        <v>0</v>
      </c>
      <c r="AT77" s="1" t="n">
        <f aca="false">MAX(AT76-AF77/AF$9*100,0)</f>
        <v>0</v>
      </c>
      <c r="AU77" s="1" t="n">
        <f aca="false">MAX(AU76-AG77/AG$9*100,0)</f>
        <v>0</v>
      </c>
      <c r="AY77" s="1" t="n">
        <f aca="false">$V77</f>
        <v>67</v>
      </c>
      <c r="AZ77" s="1" t="n">
        <f aca="false">AO77</f>
        <v>0</v>
      </c>
      <c r="BA77" s="1" t="n">
        <f aca="false">BA$7*EXP(-AY77/BA$8)</f>
        <v>1.63880588247637E-028</v>
      </c>
      <c r="BB77" s="1" t="n">
        <f aca="false">(AZ77-BA77)^2</f>
        <v>2.68568472043915E-056</v>
      </c>
      <c r="BD77" s="1" t="n">
        <f aca="false">$V77</f>
        <v>67</v>
      </c>
      <c r="BE77" s="1" t="n">
        <f aca="false">AT77</f>
        <v>0</v>
      </c>
      <c r="BF77" s="1" t="n">
        <f aca="false">BF$7*EXP(-BD77/BF$8)</f>
        <v>7.10587559021155E-015</v>
      </c>
      <c r="BG77" s="1" t="n">
        <f aca="false">(BE77-BF77)^2</f>
        <v>5.04934679035644E-029</v>
      </c>
      <c r="BI77" s="1" t="n">
        <f aca="false">$V77</f>
        <v>67</v>
      </c>
      <c r="BJ77" s="1" t="n">
        <f aca="false">AN77</f>
        <v>0</v>
      </c>
      <c r="BK77" s="1" t="n">
        <f aca="false">BK$7*EXP(-BI77/BK$8)</f>
        <v>4.19079083575087E-033</v>
      </c>
      <c r="BL77" s="1" t="n">
        <f aca="false">(BJ77-BK77)^2</f>
        <v>1.75627278290135E-065</v>
      </c>
      <c r="BN77" s="1" t="n">
        <f aca="false">$V77</f>
        <v>67</v>
      </c>
      <c r="BO77" s="1" t="n">
        <f aca="false">AR77</f>
        <v>0</v>
      </c>
      <c r="BP77" s="1" t="n">
        <f aca="false">BP$7*EXP(-BN77/BP$8)</f>
        <v>2.59201968761712E-030</v>
      </c>
      <c r="BQ77" s="1" t="n">
        <f aca="false">(BO77-BP77)^2</f>
        <v>6.71856606099475E-060</v>
      </c>
      <c r="BU77" s="1" t="n">
        <f aca="false">V77</f>
        <v>67</v>
      </c>
      <c r="BV77" s="1" t="n">
        <f aca="false">W77/W$9*100</f>
        <v>0</v>
      </c>
      <c r="BW77" s="1" t="n">
        <f aca="false">X77/X$9*100</f>
        <v>0</v>
      </c>
      <c r="BX77" s="1" t="n">
        <f aca="false">Z77/Z$9*100</f>
        <v>0</v>
      </c>
      <c r="BY77" s="1" t="n">
        <f aca="false">AA77/AA$9*100</f>
        <v>0</v>
      </c>
      <c r="BZ77" s="1" t="n">
        <f aca="false">AC77/AC$9*100</f>
        <v>0</v>
      </c>
      <c r="CA77" s="1" t="n">
        <f aca="false">AD77/AD$9*100</f>
        <v>0</v>
      </c>
      <c r="CB77" s="1" t="n">
        <f aca="false">AF77/AF$9*100</f>
        <v>0</v>
      </c>
      <c r="CC77" s="1" t="n">
        <f aca="false">AG77/AG$9*100</f>
        <v>0</v>
      </c>
      <c r="CE77" s="1" t="n">
        <f aca="false">$V77</f>
        <v>67</v>
      </c>
      <c r="CF77" s="1" t="n">
        <f aca="false">BV77</f>
        <v>0</v>
      </c>
      <c r="CG77" s="1" t="n">
        <f aca="false">CG$6*(1+CG$5*(-1)^$BU77)*EXP(-$BU77/CG$4)</f>
        <v>6.35059206827631E-021</v>
      </c>
      <c r="CH77" s="1" t="n">
        <f aca="false">(CF77-CG77)^2</f>
        <v>4.0330019617654E-041</v>
      </c>
      <c r="CI77" s="1" t="n">
        <f aca="false">EXP($BU77/CE77)*CF77</f>
        <v>0</v>
      </c>
      <c r="CJ77" s="1" t="n">
        <f aca="false">EXP($BU77/CE77)*(-1)^$BU77*CF77</f>
        <v>-0</v>
      </c>
      <c r="CK77" s="1" t="n">
        <f aca="false">(-1)^CE77*CF77</f>
        <v>-0</v>
      </c>
      <c r="CM77" s="1" t="n">
        <f aca="false">$V77</f>
        <v>67</v>
      </c>
      <c r="CN77" s="1" t="n">
        <f aca="false">BZ77</f>
        <v>0</v>
      </c>
      <c r="CO77" s="1" t="n">
        <f aca="false">CO$6*(1+CO$5*(-1)^$BU77)*EXP(-$BU77/CO$4)</f>
        <v>6.35059206827631E-021</v>
      </c>
      <c r="CP77" s="1" t="n">
        <f aca="false">(CN77-CO77)^2</f>
        <v>4.0330019617654E-041</v>
      </c>
      <c r="CQ77" s="1" t="n">
        <f aca="false">EXP($BU77/CM77)*CN77</f>
        <v>0</v>
      </c>
      <c r="CR77" s="1" t="n">
        <f aca="false">EXP($BU77/CM77)*(-1)^$BU77*CN77</f>
        <v>-0</v>
      </c>
      <c r="CS77" s="1" t="n">
        <f aca="false">(-1)^CM77*CN77</f>
        <v>-0</v>
      </c>
      <c r="CU77" s="1" t="n">
        <f aca="false">$V77</f>
        <v>67</v>
      </c>
      <c r="CV77" s="1" t="n">
        <f aca="false">CB77</f>
        <v>0</v>
      </c>
      <c r="CW77" s="1" t="n">
        <f aca="false">CW$6*(1+CW$5*(-1)^$BU77)*EXP(-$BU77/CW$4)</f>
        <v>5.67694019797774E-009</v>
      </c>
      <c r="CX77" s="1" t="n">
        <f aca="false">(CV77-CW77)^2</f>
        <v>3.22276500114155E-017</v>
      </c>
      <c r="CY77" s="1" t="n">
        <f aca="false">EXP($BU77/CU77)*CV77</f>
        <v>0</v>
      </c>
      <c r="CZ77" s="1" t="n">
        <f aca="false">EXP($BU77/CU77)*(-1)^$BU77*CV77</f>
        <v>-0</v>
      </c>
      <c r="DA77" s="1" t="n">
        <f aca="false">(-1)^CU77*CV77</f>
        <v>-0</v>
      </c>
      <c r="DB77" s="1" t="n">
        <v>0</v>
      </c>
    </row>
    <row r="78" customFormat="false" ht="16" hidden="false" customHeight="false" outlineLevel="0" collapsed="false">
      <c r="C78" s="1" t="n">
        <f aca="false">B78-A78</f>
        <v>0</v>
      </c>
      <c r="D78" s="1" t="n">
        <v>3</v>
      </c>
      <c r="E78" s="1" t="n">
        <v>1</v>
      </c>
      <c r="F78" s="1" t="n">
        <f aca="false">E78-D78</f>
        <v>-2</v>
      </c>
      <c r="G78" s="1" t="n">
        <v>3</v>
      </c>
      <c r="H78" s="1" t="n">
        <v>5</v>
      </c>
      <c r="I78" s="1" t="n">
        <f aca="false">H78-G78</f>
        <v>2</v>
      </c>
      <c r="V78" s="1" t="n">
        <v>68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K78" s="1" t="n">
        <f aca="false">V78</f>
        <v>68</v>
      </c>
      <c r="AN78" s="1" t="n">
        <f aca="false">MAX(AN77-W78/W$9*100,0)</f>
        <v>0</v>
      </c>
      <c r="AO78" s="1" t="n">
        <f aca="false">MAX(AO77-X78/X$9*100,0)</f>
        <v>0</v>
      </c>
      <c r="AP78" s="1" t="n">
        <f aca="false">MAX(AP77-Z78/Z$9*100,0)</f>
        <v>0</v>
      </c>
      <c r="AQ78" s="1" t="n">
        <f aca="false">MAX(AQ77-AA78/AA$9*100,0)</f>
        <v>0</v>
      </c>
      <c r="AR78" s="1" t="n">
        <f aca="false">MAX(AR77-AC78/AC$9*100,0)</f>
        <v>0</v>
      </c>
      <c r="AS78" s="1" t="n">
        <f aca="false">MAX(AS77-AD78/AD$9*100,0)</f>
        <v>0</v>
      </c>
      <c r="AT78" s="1" t="n">
        <f aca="false">MAX(AT77-AF78/AF$9*100,0)</f>
        <v>0</v>
      </c>
      <c r="AU78" s="1" t="n">
        <f aca="false">MAX(AU77-AG78/AG$9*100,0)</f>
        <v>0</v>
      </c>
      <c r="AY78" s="1" t="n">
        <f aca="false">$V78</f>
        <v>68</v>
      </c>
      <c r="AZ78" s="1" t="n">
        <f aca="false">AO78</f>
        <v>0</v>
      </c>
      <c r="BA78" s="1" t="n">
        <f aca="false">BA$7*EXP(-AY78/BA$8)</f>
        <v>5.84522514908886E-029</v>
      </c>
      <c r="BB78" s="1" t="n">
        <f aca="false">(AZ78-BA78)^2</f>
        <v>3.41666570435409E-057</v>
      </c>
      <c r="BD78" s="1" t="n">
        <f aca="false">$V78</f>
        <v>68</v>
      </c>
      <c r="BE78" s="1" t="n">
        <f aca="false">AT78</f>
        <v>0</v>
      </c>
      <c r="BF78" s="1" t="n">
        <f aca="false">BF$7*EXP(-BD78/BF$8)</f>
        <v>4.05165012709387E-015</v>
      </c>
      <c r="BG78" s="1" t="n">
        <f aca="false">(BE78-BF78)^2</f>
        <v>1.64158687523798E-029</v>
      </c>
      <c r="BI78" s="1" t="n">
        <f aca="false">$V78</f>
        <v>68</v>
      </c>
      <c r="BJ78" s="1" t="n">
        <f aca="false">AN78</f>
        <v>0</v>
      </c>
      <c r="BK78" s="1" t="n">
        <f aca="false">BK$7*EXP(-BI78/BK$8)</f>
        <v>1.27432072159631E-033</v>
      </c>
      <c r="BL78" s="1" t="n">
        <f aca="false">(BJ78-BK78)^2</f>
        <v>1.62389330148974E-066</v>
      </c>
      <c r="BN78" s="1" t="n">
        <f aca="false">$V78</f>
        <v>68</v>
      </c>
      <c r="BO78" s="1" t="n">
        <f aca="false">AR78</f>
        <v>0</v>
      </c>
      <c r="BP78" s="1" t="n">
        <f aca="false">BP$7*EXP(-BN78/BP$8)</f>
        <v>8.63757064632907E-031</v>
      </c>
      <c r="BQ78" s="1" t="n">
        <f aca="false">(BO78-BP78)^2</f>
        <v>7.46076266703256E-061</v>
      </c>
      <c r="BU78" s="1" t="n">
        <f aca="false">V78</f>
        <v>68</v>
      </c>
      <c r="BV78" s="1" t="n">
        <f aca="false">W78/W$9*100</f>
        <v>0</v>
      </c>
      <c r="BW78" s="1" t="n">
        <f aca="false">X78/X$9*100</f>
        <v>0</v>
      </c>
      <c r="BX78" s="1" t="n">
        <f aca="false">Z78/Z$9*100</f>
        <v>0</v>
      </c>
      <c r="BY78" s="1" t="n">
        <f aca="false">AA78/AA$9*100</f>
        <v>0</v>
      </c>
      <c r="BZ78" s="1" t="n">
        <f aca="false">AC78/AC$9*100</f>
        <v>0</v>
      </c>
      <c r="CA78" s="1" t="n">
        <f aca="false">AD78/AD$9*100</f>
        <v>0</v>
      </c>
      <c r="CB78" s="1" t="n">
        <f aca="false">AF78/AF$9*100</f>
        <v>0</v>
      </c>
      <c r="CC78" s="1" t="n">
        <f aca="false">AG78/AG$9*100</f>
        <v>0</v>
      </c>
      <c r="CE78" s="1" t="n">
        <f aca="false">$V78</f>
        <v>68</v>
      </c>
      <c r="CF78" s="1" t="n">
        <f aca="false">BV78</f>
        <v>0</v>
      </c>
      <c r="CG78" s="1" t="n">
        <f aca="false">CG$6*(1+CG$5*(-1)^$BU78)*EXP(-$BU78/CG$4)</f>
        <v>8.69799868770384E-021</v>
      </c>
      <c r="CH78" s="1" t="n">
        <f aca="false">(CF78-CG78)^2</f>
        <v>7.56551811712977E-041</v>
      </c>
      <c r="CI78" s="1" t="n">
        <f aca="false">EXP($BU78/CE78)*CF78</f>
        <v>0</v>
      </c>
      <c r="CJ78" s="1" t="n">
        <f aca="false">EXP($BU78/CE78)*(-1)^$BU78*CF78</f>
        <v>0</v>
      </c>
      <c r="CK78" s="1" t="n">
        <f aca="false">(-1)^CE78*CF78</f>
        <v>0</v>
      </c>
      <c r="CM78" s="1" t="n">
        <f aca="false">$V78</f>
        <v>68</v>
      </c>
      <c r="CN78" s="1" t="n">
        <f aca="false">BZ78</f>
        <v>0</v>
      </c>
      <c r="CO78" s="1" t="n">
        <f aca="false">CO$6*(1+CO$5*(-1)^$BU78)*EXP(-$BU78/CO$4)</f>
        <v>8.69799868770384E-021</v>
      </c>
      <c r="CP78" s="1" t="n">
        <f aca="false">(CN78-CO78)^2</f>
        <v>7.56551811712977E-041</v>
      </c>
      <c r="CQ78" s="1" t="n">
        <f aca="false">EXP($BU78/CM78)*CN78</f>
        <v>0</v>
      </c>
      <c r="CR78" s="1" t="n">
        <f aca="false">EXP($BU78/CM78)*(-1)^$BU78*CN78</f>
        <v>0</v>
      </c>
      <c r="CS78" s="1" t="n">
        <f aca="false">(-1)^CM78*CN78</f>
        <v>0</v>
      </c>
      <c r="CU78" s="1" t="n">
        <f aca="false">$V78</f>
        <v>68</v>
      </c>
      <c r="CV78" s="1" t="n">
        <f aca="false">CB78</f>
        <v>0</v>
      </c>
      <c r="CW78" s="1" t="n">
        <f aca="false">CW$6*(1+CW$5*(-1)^$BU78)*EXP(-$BU78/CW$4)</f>
        <v>7.89613401197048E-009</v>
      </c>
      <c r="CX78" s="1" t="n">
        <f aca="false">(CV78-CW78)^2</f>
        <v>6.2348932334997E-017</v>
      </c>
      <c r="CY78" s="1" t="n">
        <f aca="false">EXP($BU78/CU78)*CV78</f>
        <v>0</v>
      </c>
      <c r="CZ78" s="1" t="n">
        <f aca="false">EXP($BU78/CU78)*(-1)^$BU78*CV78</f>
        <v>0</v>
      </c>
      <c r="DA78" s="1" t="n">
        <f aca="false">(-1)^CU78*CV78</f>
        <v>0</v>
      </c>
      <c r="DB78" s="1" t="n">
        <v>0</v>
      </c>
    </row>
    <row r="79" customFormat="false" ht="16" hidden="false" customHeight="false" outlineLevel="0" collapsed="false">
      <c r="C79" s="1" t="n">
        <f aca="false">B79-A79</f>
        <v>0</v>
      </c>
      <c r="D79" s="1" t="n">
        <v>2</v>
      </c>
      <c r="E79" s="1" t="n">
        <v>3</v>
      </c>
      <c r="F79" s="1" t="n">
        <f aca="false">E79-D79</f>
        <v>1</v>
      </c>
      <c r="G79" s="1" t="n">
        <v>2</v>
      </c>
      <c r="H79" s="1" t="n">
        <v>4</v>
      </c>
      <c r="I79" s="1" t="n">
        <f aca="false">H79-G79</f>
        <v>2</v>
      </c>
      <c r="V79" s="1" t="n">
        <v>69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K79" s="1" t="n">
        <f aca="false">V79</f>
        <v>69</v>
      </c>
      <c r="AN79" s="1" t="n">
        <f aca="false">MAX(AN78-W79/W$9*100,0)</f>
        <v>0</v>
      </c>
      <c r="AO79" s="1" t="n">
        <f aca="false">MAX(AO78-X79/X$9*100,0)</f>
        <v>0</v>
      </c>
      <c r="AP79" s="1" t="n">
        <f aca="false">MAX(AP78-Z79/Z$9*100,0)</f>
        <v>0</v>
      </c>
      <c r="AQ79" s="1" t="n">
        <f aca="false">MAX(AQ78-AA79/AA$9*100,0)</f>
        <v>0</v>
      </c>
      <c r="AR79" s="1" t="n">
        <f aca="false">MAX(AR78-AC79/AC$9*100,0)</f>
        <v>0</v>
      </c>
      <c r="AS79" s="1" t="n">
        <f aca="false">MAX(AS78-AD79/AD$9*100,0)</f>
        <v>0</v>
      </c>
      <c r="AT79" s="1" t="n">
        <f aca="false">MAX(AT78-AF79/AF$9*100,0)</f>
        <v>0</v>
      </c>
      <c r="AU79" s="1" t="n">
        <f aca="false">MAX(AU78-AG79/AG$9*100,0)</f>
        <v>0</v>
      </c>
      <c r="AY79" s="1" t="n">
        <f aca="false">$V79</f>
        <v>69</v>
      </c>
      <c r="AZ79" s="1" t="n">
        <f aca="false">AO79</f>
        <v>0</v>
      </c>
      <c r="BA79" s="1" t="n">
        <f aca="false">BA$7*EXP(-AY79/BA$8)</f>
        <v>2.08485076901925E-029</v>
      </c>
      <c r="BB79" s="1" t="n">
        <f aca="false">(AZ79-BA79)^2</f>
        <v>4.34660272908016E-058</v>
      </c>
      <c r="BD79" s="1" t="n">
        <f aca="false">$V79</f>
        <v>69</v>
      </c>
      <c r="BE79" s="1" t="n">
        <f aca="false">AT79</f>
        <v>0</v>
      </c>
      <c r="BF79" s="1" t="n">
        <f aca="false">BF$7*EXP(-BD79/BF$8)</f>
        <v>2.31018240383958E-015</v>
      </c>
      <c r="BG79" s="1" t="n">
        <f aca="false">(BE79-BF79)^2</f>
        <v>5.33694273901002E-030</v>
      </c>
      <c r="BI79" s="1" t="n">
        <f aca="false">$V79</f>
        <v>69</v>
      </c>
      <c r="BJ79" s="1" t="n">
        <f aca="false">AN79</f>
        <v>0</v>
      </c>
      <c r="BK79" s="1" t="n">
        <f aca="false">BK$7*EXP(-BI79/BK$8)</f>
        <v>3.87490897335319E-034</v>
      </c>
      <c r="BL79" s="1" t="n">
        <f aca="false">(BJ79-BK79)^2</f>
        <v>1.50149195517731E-067</v>
      </c>
      <c r="BN79" s="1" t="n">
        <f aca="false">$V79</f>
        <v>69</v>
      </c>
      <c r="BO79" s="1" t="n">
        <f aca="false">AR79</f>
        <v>0</v>
      </c>
      <c r="BP79" s="1" t="n">
        <f aca="false">BP$7*EXP(-BN79/BP$8)</f>
        <v>2.87835879591311E-031</v>
      </c>
      <c r="BQ79" s="1" t="n">
        <f aca="false">(BO79-BP79)^2</f>
        <v>8.28494935801037E-062</v>
      </c>
      <c r="BU79" s="1" t="n">
        <f aca="false">V79</f>
        <v>69</v>
      </c>
      <c r="BV79" s="1" t="n">
        <f aca="false">W79/W$9*100</f>
        <v>0</v>
      </c>
      <c r="BW79" s="1" t="n">
        <f aca="false">X79/X$9*100</f>
        <v>0</v>
      </c>
      <c r="BX79" s="1" t="n">
        <f aca="false">Z79/Z$9*100</f>
        <v>0</v>
      </c>
      <c r="BY79" s="1" t="n">
        <f aca="false">AA79/AA$9*100</f>
        <v>0</v>
      </c>
      <c r="BZ79" s="1" t="n">
        <f aca="false">AC79/AC$9*100</f>
        <v>0</v>
      </c>
      <c r="CA79" s="1" t="n">
        <f aca="false">AD79/AD$9*100</f>
        <v>0</v>
      </c>
      <c r="CB79" s="1" t="n">
        <f aca="false">AF79/AF$9*100</f>
        <v>0</v>
      </c>
      <c r="CC79" s="1" t="n">
        <f aca="false">AG79/AG$9*100</f>
        <v>0</v>
      </c>
      <c r="CE79" s="1" t="n">
        <f aca="false">$V79</f>
        <v>69</v>
      </c>
      <c r="CF79" s="1" t="n">
        <f aca="false">BV79</f>
        <v>0</v>
      </c>
      <c r="CG79" s="1" t="n">
        <f aca="false">CG$6*(1+CG$5*(-1)^$BU79)*EXP(-$BU79/CG$4)</f>
        <v>1.39570062942282E-021</v>
      </c>
      <c r="CH79" s="1" t="n">
        <f aca="false">(CF79-CG79)^2</f>
        <v>1.94798024697126E-042</v>
      </c>
      <c r="CI79" s="1" t="n">
        <f aca="false">EXP($BU79/CE79)*CF79</f>
        <v>0</v>
      </c>
      <c r="CJ79" s="1" t="n">
        <f aca="false">EXP($BU79/CE79)*(-1)^$BU79*CF79</f>
        <v>-0</v>
      </c>
      <c r="CK79" s="1" t="n">
        <f aca="false">(-1)^CE79*CF79</f>
        <v>-0</v>
      </c>
      <c r="CM79" s="1" t="n">
        <f aca="false">$V79</f>
        <v>69</v>
      </c>
      <c r="CN79" s="1" t="n">
        <f aca="false">BZ79</f>
        <v>0</v>
      </c>
      <c r="CO79" s="1" t="n">
        <f aca="false">CO$6*(1+CO$5*(-1)^$BU79)*EXP(-$BU79/CO$4)</f>
        <v>1.39570062942282E-021</v>
      </c>
      <c r="CP79" s="1" t="n">
        <f aca="false">(CN79-CO79)^2</f>
        <v>1.94798024697126E-042</v>
      </c>
      <c r="CQ79" s="1" t="n">
        <f aca="false">EXP($BU79/CM79)*CN79</f>
        <v>0</v>
      </c>
      <c r="CR79" s="1" t="n">
        <f aca="false">EXP($BU79/CM79)*(-1)^$BU79*CN79</f>
        <v>-0</v>
      </c>
      <c r="CS79" s="1" t="n">
        <f aca="false">(-1)^CM79*CN79</f>
        <v>-0</v>
      </c>
      <c r="CU79" s="1" t="n">
        <f aca="false">$V79</f>
        <v>69</v>
      </c>
      <c r="CV79" s="1" t="n">
        <f aca="false">CB79</f>
        <v>0</v>
      </c>
      <c r="CW79" s="1" t="n">
        <f aca="false">CW$6*(1+CW$5*(-1)^$BU79)*EXP(-$BU79/CW$4)</f>
        <v>2.91463828136604E-009</v>
      </c>
      <c r="CX79" s="1" t="n">
        <f aca="false">(CV79-CW79)^2</f>
        <v>8.49511631120438E-018</v>
      </c>
      <c r="CY79" s="1" t="n">
        <f aca="false">EXP($BU79/CU79)*CV79</f>
        <v>0</v>
      </c>
      <c r="CZ79" s="1" t="n">
        <f aca="false">EXP($BU79/CU79)*(-1)^$BU79*CV79</f>
        <v>-0</v>
      </c>
      <c r="DA79" s="1" t="n">
        <f aca="false">(-1)^CU79*CV79</f>
        <v>-0</v>
      </c>
      <c r="DB79" s="1" t="n">
        <v>0</v>
      </c>
    </row>
    <row r="80" customFormat="false" ht="16" hidden="false" customHeight="false" outlineLevel="0" collapsed="false">
      <c r="C80" s="1" t="n">
        <f aca="false">B80-A80</f>
        <v>0</v>
      </c>
      <c r="D80" s="1" t="n">
        <v>1</v>
      </c>
      <c r="E80" s="1" t="n">
        <v>2</v>
      </c>
      <c r="F80" s="1" t="n">
        <f aca="false">E80-D80</f>
        <v>1</v>
      </c>
      <c r="G80" s="1" t="n">
        <v>1</v>
      </c>
      <c r="H80" s="1" t="n">
        <v>2</v>
      </c>
      <c r="I80" s="1" t="n">
        <f aca="false">H80-G80</f>
        <v>1</v>
      </c>
      <c r="V80" s="1" t="n">
        <v>70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K80" s="1" t="n">
        <f aca="false">V80</f>
        <v>70</v>
      </c>
      <c r="AN80" s="1" t="n">
        <f aca="false">MAX(AN79-W80/W$9*100,0)</f>
        <v>0</v>
      </c>
      <c r="AO80" s="1" t="n">
        <f aca="false">MAX(AO79-X80/X$9*100,0)</f>
        <v>0</v>
      </c>
      <c r="AP80" s="1" t="n">
        <f aca="false">MAX(AP79-Z80/Z$9*100,0)</f>
        <v>0</v>
      </c>
      <c r="AQ80" s="1" t="n">
        <f aca="false">MAX(AQ79-AA80/AA$9*100,0)</f>
        <v>0</v>
      </c>
      <c r="AR80" s="1" t="n">
        <f aca="false">MAX(AR79-AC80/AC$9*100,0)</f>
        <v>0</v>
      </c>
      <c r="AS80" s="1" t="n">
        <f aca="false">MAX(AS79-AD80/AD$9*100,0)</f>
        <v>0</v>
      </c>
      <c r="AT80" s="1" t="n">
        <f aca="false">MAX(AT79-AF80/AF$9*100,0)</f>
        <v>0</v>
      </c>
      <c r="AU80" s="1" t="n">
        <f aca="false">MAX(AU79-AG80/AG$9*100,0)</f>
        <v>0</v>
      </c>
      <c r="AY80" s="1" t="n">
        <f aca="false">$V80</f>
        <v>70</v>
      </c>
      <c r="AZ80" s="1" t="n">
        <f aca="false">AO80</f>
        <v>0</v>
      </c>
      <c r="BA80" s="1" t="n">
        <f aca="false">BA$7*EXP(-AY80/BA$8)</f>
        <v>7.43615963152029E-030</v>
      </c>
      <c r="BB80" s="1" t="n">
        <f aca="false">(AZ80-BA80)^2</f>
        <v>5.5296470065452E-059</v>
      </c>
      <c r="BD80" s="1" t="n">
        <f aca="false">$V80</f>
        <v>70</v>
      </c>
      <c r="BE80" s="1" t="n">
        <f aca="false">AT80</f>
        <v>0</v>
      </c>
      <c r="BF80" s="1" t="n">
        <f aca="false">BF$7*EXP(-BD80/BF$8)</f>
        <v>1.31722694990893E-015</v>
      </c>
      <c r="BG80" s="1" t="n">
        <f aca="false">(BE80-BF80)^2</f>
        <v>1.73508683756638E-030</v>
      </c>
      <c r="BI80" s="1" t="n">
        <f aca="false">$V80</f>
        <v>70</v>
      </c>
      <c r="BJ80" s="1" t="n">
        <f aca="false">AN80</f>
        <v>0</v>
      </c>
      <c r="BK80" s="1" t="n">
        <f aca="false">BK$7*EXP(-BI80/BK$8)</f>
        <v>1.1782684921708E-034</v>
      </c>
      <c r="BL80" s="1" t="n">
        <f aca="false">(BJ80-BK80)^2</f>
        <v>1.38831663964245E-068</v>
      </c>
      <c r="BN80" s="1" t="n">
        <f aca="false">$V80</f>
        <v>70</v>
      </c>
      <c r="BO80" s="1" t="n">
        <f aca="false">AR80</f>
        <v>0</v>
      </c>
      <c r="BP80" s="1" t="n">
        <f aca="false">BP$7*EXP(-BN80/BP$8)</f>
        <v>9.59175872156995E-032</v>
      </c>
      <c r="BQ80" s="1" t="n">
        <f aca="false">(BO80-BP80)^2</f>
        <v>9.20018353728132E-063</v>
      </c>
      <c r="BU80" s="1" t="n">
        <f aca="false">V80</f>
        <v>70</v>
      </c>
      <c r="BV80" s="1" t="n">
        <f aca="false">W80/W$9*100</f>
        <v>0</v>
      </c>
      <c r="BW80" s="1" t="n">
        <f aca="false">X80/X$9*100</f>
        <v>0</v>
      </c>
      <c r="BX80" s="1" t="n">
        <f aca="false">Z80/Z$9*100</f>
        <v>0</v>
      </c>
      <c r="BY80" s="1" t="n">
        <f aca="false">AA80/AA$9*100</f>
        <v>0</v>
      </c>
      <c r="BZ80" s="1" t="n">
        <f aca="false">AC80/AC$9*100</f>
        <v>0</v>
      </c>
      <c r="CA80" s="1" t="n">
        <f aca="false">AD80/AD$9*100</f>
        <v>0</v>
      </c>
      <c r="CB80" s="1" t="n">
        <f aca="false">AF80/AF$9*100</f>
        <v>0</v>
      </c>
      <c r="CC80" s="1" t="n">
        <f aca="false">AG80/AG$9*100</f>
        <v>0</v>
      </c>
      <c r="CE80" s="1" t="n">
        <f aca="false">$V80</f>
        <v>70</v>
      </c>
      <c r="CF80" s="1" t="n">
        <f aca="false">BV80</f>
        <v>0</v>
      </c>
      <c r="CG80" s="1" t="n">
        <f aca="false">CG$6*(1+CG$5*(-1)^$BU80)*EXP(-$BU80/CG$4)</f>
        <v>1.91160164479627E-021</v>
      </c>
      <c r="CH80" s="1" t="n">
        <f aca="false">(CF80-CG80)^2</f>
        <v>3.6542208483878E-042</v>
      </c>
      <c r="CI80" s="1" t="n">
        <f aca="false">EXP($BU80/CE80)*CF80</f>
        <v>0</v>
      </c>
      <c r="CJ80" s="1" t="n">
        <f aca="false">EXP($BU80/CE80)*(-1)^$BU80*CF80</f>
        <v>0</v>
      </c>
      <c r="CK80" s="1" t="n">
        <f aca="false">(-1)^CE80*CF80</f>
        <v>0</v>
      </c>
      <c r="CM80" s="1" t="n">
        <f aca="false">$V80</f>
        <v>70</v>
      </c>
      <c r="CN80" s="1" t="n">
        <f aca="false">BZ80</f>
        <v>0</v>
      </c>
      <c r="CO80" s="1" t="n">
        <f aca="false">CO$6*(1+CO$5*(-1)^$BU80)*EXP(-$BU80/CO$4)</f>
        <v>1.91160164479627E-021</v>
      </c>
      <c r="CP80" s="1" t="n">
        <f aca="false">(CN80-CO80)^2</f>
        <v>3.6542208483878E-042</v>
      </c>
      <c r="CQ80" s="1" t="n">
        <f aca="false">EXP($BU80/CM80)*CN80</f>
        <v>0</v>
      </c>
      <c r="CR80" s="1" t="n">
        <f aca="false">EXP($BU80/CM80)*(-1)^$BU80*CN80</f>
        <v>0</v>
      </c>
      <c r="CS80" s="1" t="n">
        <f aca="false">(-1)^CM80*CN80</f>
        <v>0</v>
      </c>
      <c r="CU80" s="1" t="n">
        <f aca="false">$V80</f>
        <v>70</v>
      </c>
      <c r="CV80" s="1" t="n">
        <f aca="false">CB80</f>
        <v>0</v>
      </c>
      <c r="CW80" s="1" t="n">
        <f aca="false">CW$6*(1+CW$5*(-1)^$BU80)*EXP(-$BU80/CW$4)</f>
        <v>4.05401037592116E-009</v>
      </c>
      <c r="CX80" s="1" t="n">
        <f aca="false">(CV80-CW80)^2</f>
        <v>1.64350001280764E-017</v>
      </c>
      <c r="CY80" s="1" t="n">
        <f aca="false">EXP($BU80/CU80)*CV80</f>
        <v>0</v>
      </c>
      <c r="CZ80" s="1" t="n">
        <f aca="false">EXP($BU80/CU80)*(-1)^$BU80*CV80</f>
        <v>0</v>
      </c>
      <c r="DA80" s="1" t="n">
        <f aca="false">(-1)^CU80*CV80</f>
        <v>0</v>
      </c>
      <c r="DB80" s="1" t="n">
        <v>0</v>
      </c>
    </row>
    <row r="81" customFormat="false" ht="16" hidden="false" customHeight="false" outlineLevel="0" collapsed="false">
      <c r="C81" s="1" t="n">
        <f aca="false">B81-A81</f>
        <v>0</v>
      </c>
      <c r="D81" s="1" t="n">
        <v>2</v>
      </c>
      <c r="E81" s="1" t="n">
        <v>2</v>
      </c>
      <c r="F81" s="1" t="n">
        <f aca="false">E81-D81</f>
        <v>0</v>
      </c>
      <c r="G81" s="1" t="n">
        <v>4</v>
      </c>
      <c r="H81" s="1" t="n">
        <v>4</v>
      </c>
      <c r="I81" s="1" t="n">
        <f aca="false">H81-G81</f>
        <v>0</v>
      </c>
      <c r="V81" s="1" t="n">
        <v>71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K81" s="1" t="n">
        <f aca="false">V81</f>
        <v>71</v>
      </c>
      <c r="AN81" s="1" t="n">
        <f aca="false">MAX(AN80-W81/W$9*100,0)</f>
        <v>0</v>
      </c>
      <c r="AO81" s="1" t="n">
        <f aca="false">MAX(AO80-X81/X$9*100,0)</f>
        <v>0</v>
      </c>
      <c r="AP81" s="1" t="n">
        <f aca="false">MAX(AP80-Z81/Z$9*100,0)</f>
        <v>0</v>
      </c>
      <c r="AQ81" s="1" t="n">
        <f aca="false">MAX(AQ80-AA81/AA$9*100,0)</f>
        <v>0</v>
      </c>
      <c r="AR81" s="1" t="n">
        <f aca="false">MAX(AR80-AC81/AC$9*100,0)</f>
        <v>0</v>
      </c>
      <c r="AS81" s="1" t="n">
        <f aca="false">MAX(AS80-AD81/AD$9*100,0)</f>
        <v>0</v>
      </c>
      <c r="AT81" s="1" t="n">
        <f aca="false">MAX(AT80-AF81/AF$9*100,0)</f>
        <v>0</v>
      </c>
      <c r="AU81" s="1" t="n">
        <f aca="false">MAX(AU80-AG81/AG$9*100,0)</f>
        <v>0</v>
      </c>
      <c r="AY81" s="1" t="n">
        <f aca="false">$V81</f>
        <v>71</v>
      </c>
      <c r="AZ81" s="1" t="n">
        <f aca="false">AO81</f>
        <v>0</v>
      </c>
      <c r="BA81" s="1" t="n">
        <f aca="false">BA$7*EXP(-AY81/BA$8)</f>
        <v>2.65229871063934E-030</v>
      </c>
      <c r="BB81" s="1" t="n">
        <f aca="false">(AZ81-BA81)^2</f>
        <v>7.03468845045911E-060</v>
      </c>
      <c r="BD81" s="1" t="n">
        <f aca="false">$V81</f>
        <v>71</v>
      </c>
      <c r="BE81" s="1" t="n">
        <f aca="false">AT81</f>
        <v>0</v>
      </c>
      <c r="BF81" s="1" t="n">
        <f aca="false">BF$7*EXP(-BD81/BF$8)</f>
        <v>7.51060537333602E-016</v>
      </c>
      <c r="BG81" s="1" t="n">
        <f aca="false">(BE81-BF81)^2</f>
        <v>5.64091930739839E-031</v>
      </c>
      <c r="BI81" s="1" t="n">
        <f aca="false">$V81</f>
        <v>71</v>
      </c>
      <c r="BJ81" s="1" t="n">
        <f aca="false">AN81</f>
        <v>0</v>
      </c>
      <c r="BK81" s="1" t="n">
        <f aca="false">BK$7*EXP(-BI81/BK$8)</f>
        <v>3.58283678194659E-035</v>
      </c>
      <c r="BL81" s="1" t="n">
        <f aca="false">(BJ81-BK81)^2</f>
        <v>1.28367194060694E-069</v>
      </c>
      <c r="BN81" s="1" t="n">
        <f aca="false">$V81</f>
        <v>71</v>
      </c>
      <c r="BO81" s="1" t="n">
        <f aca="false">AR81</f>
        <v>0</v>
      </c>
      <c r="BP81" s="1" t="n">
        <f aca="false">BP$7*EXP(-BN81/BP$8)</f>
        <v>3.1963296411637E-032</v>
      </c>
      <c r="BQ81" s="1" t="n">
        <f aca="false">(BO81-BP81)^2</f>
        <v>1.02165231749817E-063</v>
      </c>
      <c r="BU81" s="1" t="n">
        <f aca="false">V81</f>
        <v>71</v>
      </c>
      <c r="BV81" s="1" t="n">
        <f aca="false">W81/W$9*100</f>
        <v>0</v>
      </c>
      <c r="BW81" s="1" t="n">
        <f aca="false">X81/X$9*100</f>
        <v>0</v>
      </c>
      <c r="BX81" s="1" t="n">
        <f aca="false">Z81/Z$9*100</f>
        <v>0</v>
      </c>
      <c r="BY81" s="1" t="n">
        <f aca="false">AA81/AA$9*100</f>
        <v>0</v>
      </c>
      <c r="BZ81" s="1" t="n">
        <f aca="false">AC81/AC$9*100</f>
        <v>0</v>
      </c>
      <c r="CA81" s="1" t="n">
        <f aca="false">AD81/AD$9*100</f>
        <v>0</v>
      </c>
      <c r="CB81" s="1" t="n">
        <f aca="false">AF81/AF$9*100</f>
        <v>0</v>
      </c>
      <c r="CC81" s="1" t="n">
        <f aca="false">AG81/AG$9*100</f>
        <v>0</v>
      </c>
      <c r="CE81" s="1" t="n">
        <f aca="false">$V81</f>
        <v>71</v>
      </c>
      <c r="CF81" s="1" t="n">
        <f aca="false">BV81</f>
        <v>0</v>
      </c>
      <c r="CG81" s="1" t="n">
        <f aca="false">CG$6*(1+CG$5*(-1)^$BU81)*EXP(-$BU81/CG$4)</f>
        <v>3.06739942674353E-022</v>
      </c>
      <c r="CH81" s="1" t="n">
        <f aca="false">(CF81-CG81)^2</f>
        <v>9.40893924318654E-044</v>
      </c>
      <c r="CI81" s="1" t="n">
        <f aca="false">EXP($BU81/CE81)*CF81</f>
        <v>0</v>
      </c>
      <c r="CJ81" s="1" t="n">
        <f aca="false">EXP($BU81/CE81)*(-1)^$BU81*CF81</f>
        <v>-0</v>
      </c>
      <c r="CK81" s="1" t="n">
        <f aca="false">(-1)^CE81*CF81</f>
        <v>-0</v>
      </c>
      <c r="CM81" s="1" t="n">
        <f aca="false">$V81</f>
        <v>71</v>
      </c>
      <c r="CN81" s="1" t="n">
        <f aca="false">BZ81</f>
        <v>0</v>
      </c>
      <c r="CO81" s="1" t="n">
        <f aca="false">CO$6*(1+CO$5*(-1)^$BU81)*EXP(-$BU81/CO$4)</f>
        <v>3.06739942674353E-022</v>
      </c>
      <c r="CP81" s="1" t="n">
        <f aca="false">(CN81-CO81)^2</f>
        <v>9.40893924318654E-044</v>
      </c>
      <c r="CQ81" s="1" t="n">
        <f aca="false">EXP($BU81/CM81)*CN81</f>
        <v>0</v>
      </c>
      <c r="CR81" s="1" t="n">
        <f aca="false">EXP($BU81/CM81)*(-1)^$BU81*CN81</f>
        <v>-0</v>
      </c>
      <c r="CS81" s="1" t="n">
        <f aca="false">(-1)^CM81*CN81</f>
        <v>-0</v>
      </c>
      <c r="CU81" s="1" t="n">
        <f aca="false">$V81</f>
        <v>71</v>
      </c>
      <c r="CV81" s="1" t="n">
        <f aca="false">CB81</f>
        <v>0</v>
      </c>
      <c r="CW81" s="1" t="n">
        <f aca="false">CW$6*(1+CW$5*(-1)^$BU81)*EXP(-$BU81/CW$4)</f>
        <v>1.49642518944106E-009</v>
      </c>
      <c r="CX81" s="1" t="n">
        <f aca="false">(CV81-CW81)^2</f>
        <v>2.23928834759371E-018</v>
      </c>
      <c r="CY81" s="1" t="n">
        <f aca="false">EXP($BU81/CU81)*CV81</f>
        <v>0</v>
      </c>
      <c r="CZ81" s="1" t="n">
        <f aca="false">EXP($BU81/CU81)*(-1)^$BU81*CV81</f>
        <v>-0</v>
      </c>
      <c r="DA81" s="1" t="n">
        <f aca="false">(-1)^CU81*CV81</f>
        <v>-0</v>
      </c>
      <c r="DB81" s="1" t="n">
        <v>0</v>
      </c>
    </row>
    <row r="82" customFormat="false" ht="16" hidden="false" customHeight="false" outlineLevel="0" collapsed="false">
      <c r="C82" s="1" t="n">
        <f aca="false">B82-A82</f>
        <v>0</v>
      </c>
      <c r="D82" s="1" t="n">
        <v>3</v>
      </c>
      <c r="E82" s="1" t="n">
        <v>2</v>
      </c>
      <c r="F82" s="1" t="n">
        <f aca="false">E82-D82</f>
        <v>-1</v>
      </c>
      <c r="G82" s="1" t="n">
        <v>1</v>
      </c>
      <c r="H82" s="1" t="n">
        <v>1</v>
      </c>
      <c r="I82" s="1" t="n">
        <f aca="false">H82-G82</f>
        <v>0</v>
      </c>
      <c r="V82" s="1" t="n">
        <v>72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K82" s="1" t="n">
        <f aca="false">V82</f>
        <v>72</v>
      </c>
      <c r="AN82" s="1" t="n">
        <f aca="false">MAX(AN81-W82/W$9*100,0)</f>
        <v>0</v>
      </c>
      <c r="AO82" s="1" t="n">
        <f aca="false">MAX(AO81-X82/X$9*100,0)</f>
        <v>0</v>
      </c>
      <c r="AP82" s="1" t="n">
        <f aca="false">MAX(AP81-Z82/Z$9*100,0)</f>
        <v>0</v>
      </c>
      <c r="AQ82" s="1" t="n">
        <f aca="false">MAX(AQ81-AA82/AA$9*100,0)</f>
        <v>0</v>
      </c>
      <c r="AR82" s="1" t="n">
        <f aca="false">MAX(AR81-AC82/AC$9*100,0)</f>
        <v>0</v>
      </c>
      <c r="AS82" s="1" t="n">
        <f aca="false">MAX(AS81-AD82/AD$9*100,0)</f>
        <v>0</v>
      </c>
      <c r="AT82" s="1" t="n">
        <f aca="false">MAX(AT81-AF82/AF$9*100,0)</f>
        <v>0</v>
      </c>
      <c r="AU82" s="1" t="n">
        <f aca="false">MAX(AU81-AG82/AG$9*100,0)</f>
        <v>0</v>
      </c>
      <c r="AY82" s="1" t="n">
        <f aca="false">$V82</f>
        <v>72</v>
      </c>
      <c r="AZ82" s="1" t="n">
        <f aca="false">AO82</f>
        <v>0</v>
      </c>
      <c r="BA82" s="1" t="n">
        <f aca="false">BA$7*EXP(-AY82/BA$8)</f>
        <v>9.46010951760698E-031</v>
      </c>
      <c r="BB82" s="1" t="n">
        <f aca="false">(AZ82-BA82)^2</f>
        <v>8.94936720851182E-061</v>
      </c>
      <c r="BD82" s="1" t="n">
        <f aca="false">$V82</f>
        <v>72</v>
      </c>
      <c r="BE82" s="1" t="n">
        <f aca="false">AT82</f>
        <v>0</v>
      </c>
      <c r="BF82" s="1" t="n">
        <f aca="false">BF$7*EXP(-BD82/BF$8)</f>
        <v>4.28242020692665E-016</v>
      </c>
      <c r="BG82" s="1" t="n">
        <f aca="false">(BE82-BF82)^2</f>
        <v>1.83391228286937E-031</v>
      </c>
      <c r="BI82" s="1" t="n">
        <f aca="false">$V82</f>
        <v>72</v>
      </c>
      <c r="BJ82" s="1" t="n">
        <f aca="false">AN82</f>
        <v>0</v>
      </c>
      <c r="BK82" s="1" t="n">
        <f aca="false">BK$7*EXP(-BI82/BK$8)</f>
        <v>1.08945622253036E-035</v>
      </c>
      <c r="BL82" s="1" t="n">
        <f aca="false">(BJ82-BK82)^2</f>
        <v>1.18691486081012E-070</v>
      </c>
      <c r="BN82" s="1" t="n">
        <f aca="false">$V82</f>
        <v>72</v>
      </c>
      <c r="BO82" s="1" t="n">
        <f aca="false">AR82</f>
        <v>0</v>
      </c>
      <c r="BP82" s="1" t="n">
        <f aca="false">BP$7*EXP(-BN82/BP$8)</f>
        <v>1.06513554724918E-032</v>
      </c>
      <c r="BQ82" s="1" t="n">
        <f aca="false">(BO82-BP82)^2</f>
        <v>1.13451373401381E-064</v>
      </c>
      <c r="BU82" s="1" t="n">
        <f aca="false">V82</f>
        <v>72</v>
      </c>
      <c r="BV82" s="1" t="n">
        <f aca="false">W82/W$9*100</f>
        <v>0</v>
      </c>
      <c r="BW82" s="1" t="n">
        <f aca="false">X82/X$9*100</f>
        <v>0</v>
      </c>
      <c r="BX82" s="1" t="n">
        <f aca="false">Z82/Z$9*100</f>
        <v>0</v>
      </c>
      <c r="BY82" s="1" t="n">
        <f aca="false">AA82/AA$9*100</f>
        <v>0</v>
      </c>
      <c r="BZ82" s="1" t="n">
        <f aca="false">AC82/AC$9*100</f>
        <v>0</v>
      </c>
      <c r="CA82" s="1" t="n">
        <f aca="false">AD82/AD$9*100</f>
        <v>0</v>
      </c>
      <c r="CB82" s="1" t="n">
        <f aca="false">AF82/AF$9*100</f>
        <v>0</v>
      </c>
      <c r="CC82" s="1" t="n">
        <f aca="false">AG82/AG$9*100</f>
        <v>0</v>
      </c>
      <c r="CE82" s="1" t="n">
        <f aca="false">$V82</f>
        <v>72</v>
      </c>
      <c r="CF82" s="1" t="n">
        <f aca="false">BV82</f>
        <v>0</v>
      </c>
      <c r="CG82" s="1" t="n">
        <f aca="false">CG$6*(1+CG$5*(-1)^$BU82)*EXP(-$BU82/CG$4)</f>
        <v>4.20122028019356E-022</v>
      </c>
      <c r="CH82" s="1" t="n">
        <f aca="false">(CF82-CG82)^2</f>
        <v>1.76502518427097E-043</v>
      </c>
      <c r="CI82" s="1" t="n">
        <f aca="false">EXP($BU82/CE82)*CF82</f>
        <v>0</v>
      </c>
      <c r="CJ82" s="1" t="n">
        <f aca="false">EXP($BU82/CE82)*(-1)^$BU82*CF82</f>
        <v>0</v>
      </c>
      <c r="CK82" s="1" t="n">
        <f aca="false">(-1)^CE82*CF82</f>
        <v>0</v>
      </c>
      <c r="CM82" s="1" t="n">
        <f aca="false">$V82</f>
        <v>72</v>
      </c>
      <c r="CN82" s="1" t="n">
        <f aca="false">BZ82</f>
        <v>0</v>
      </c>
      <c r="CO82" s="1" t="n">
        <f aca="false">CO$6*(1+CO$5*(-1)^$BU82)*EXP(-$BU82/CO$4)</f>
        <v>4.20122028019356E-022</v>
      </c>
      <c r="CP82" s="1" t="n">
        <f aca="false">(CN82-CO82)^2</f>
        <v>1.76502518427097E-043</v>
      </c>
      <c r="CQ82" s="1" t="n">
        <f aca="false">EXP($BU82/CM82)*CN82</f>
        <v>0</v>
      </c>
      <c r="CR82" s="1" t="n">
        <f aca="false">EXP($BU82/CM82)*(-1)^$BU82*CN82</f>
        <v>0</v>
      </c>
      <c r="CS82" s="1" t="n">
        <f aca="false">(-1)^CM82*CN82</f>
        <v>0</v>
      </c>
      <c r="CU82" s="1" t="n">
        <f aca="false">$V82</f>
        <v>72</v>
      </c>
      <c r="CV82" s="1" t="n">
        <f aca="false">CB82</f>
        <v>0</v>
      </c>
      <c r="CW82" s="1" t="n">
        <f aca="false">CW$6*(1+CW$5*(-1)^$BU82)*EXP(-$BU82/CW$4)</f>
        <v>2.08139832773367E-009</v>
      </c>
      <c r="CX82" s="1" t="n">
        <f aca="false">(CV82-CW82)^2</f>
        <v>4.33221899869252E-018</v>
      </c>
      <c r="CY82" s="1" t="n">
        <f aca="false">EXP($BU82/CU82)*CV82</f>
        <v>0</v>
      </c>
      <c r="CZ82" s="1" t="n">
        <f aca="false">EXP($BU82/CU82)*(-1)^$BU82*CV82</f>
        <v>0</v>
      </c>
      <c r="DA82" s="1" t="n">
        <f aca="false">(-1)^CU82*CV82</f>
        <v>0</v>
      </c>
      <c r="DB82" s="1" t="n">
        <v>0</v>
      </c>
    </row>
    <row r="83" customFormat="false" ht="16" hidden="false" customHeight="false" outlineLevel="0" collapsed="false">
      <c r="C83" s="1" t="n">
        <f aca="false">B83-A83</f>
        <v>0</v>
      </c>
      <c r="D83" s="1" t="n">
        <v>1</v>
      </c>
      <c r="E83" s="1" t="n">
        <v>3</v>
      </c>
      <c r="F83" s="1" t="n">
        <f aca="false">E83-D83</f>
        <v>2</v>
      </c>
      <c r="G83" s="1" t="n">
        <v>2</v>
      </c>
      <c r="H83" s="1" t="n">
        <v>3</v>
      </c>
      <c r="I83" s="1" t="n">
        <f aca="false">H83-G83</f>
        <v>1</v>
      </c>
      <c r="V83" s="1" t="n">
        <v>73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K83" s="1" t="n">
        <f aca="false">V83</f>
        <v>73</v>
      </c>
      <c r="AN83" s="1" t="n">
        <f aca="false">MAX(AN82-W83/W$9*100,0)</f>
        <v>0</v>
      </c>
      <c r="AO83" s="1" t="n">
        <f aca="false">MAX(AO82-X83/X$9*100,0)</f>
        <v>0</v>
      </c>
      <c r="AP83" s="1" t="n">
        <f aca="false">MAX(AP82-Z83/Z$9*100,0)</f>
        <v>0</v>
      </c>
      <c r="AQ83" s="1" t="n">
        <f aca="false">MAX(AQ82-AA83/AA$9*100,0)</f>
        <v>0</v>
      </c>
      <c r="AR83" s="1" t="n">
        <f aca="false">MAX(AR82-AC83/AC$9*100,0)</f>
        <v>0</v>
      </c>
      <c r="AS83" s="1" t="n">
        <f aca="false">MAX(AS82-AD83/AD$9*100,0)</f>
        <v>0</v>
      </c>
      <c r="AT83" s="1" t="n">
        <f aca="false">MAX(AT82-AF83/AF$9*100,0)</f>
        <v>0</v>
      </c>
      <c r="AU83" s="1" t="n">
        <f aca="false">MAX(AU82-AG83/AG$9*100,0)</f>
        <v>0</v>
      </c>
      <c r="AY83" s="1" t="n">
        <f aca="false">$V83</f>
        <v>73</v>
      </c>
      <c r="AZ83" s="1" t="n">
        <f aca="false">AO83</f>
        <v>0</v>
      </c>
      <c r="BA83" s="1" t="n">
        <f aca="false">BA$7*EXP(-AY83/BA$8)</f>
        <v>3.37419279834989E-031</v>
      </c>
      <c r="BB83" s="1" t="n">
        <f aca="false">(AZ83-BA83)^2</f>
        <v>1.13851770404363E-061</v>
      </c>
      <c r="BD83" s="1" t="n">
        <f aca="false">$V83</f>
        <v>73</v>
      </c>
      <c r="BE83" s="1" t="n">
        <f aca="false">AT83</f>
        <v>0</v>
      </c>
      <c r="BF83" s="1" t="n">
        <f aca="false">BF$7*EXP(-BD83/BF$8)</f>
        <v>2.44176360187968E-016</v>
      </c>
      <c r="BG83" s="1" t="n">
        <f aca="false">(BE83-BF83)^2</f>
        <v>5.96220948746443E-032</v>
      </c>
      <c r="BI83" s="1" t="n">
        <f aca="false">$V83</f>
        <v>73</v>
      </c>
      <c r="BJ83" s="1" t="n">
        <f aca="false">AN83</f>
        <v>0</v>
      </c>
      <c r="BK83" s="1" t="n">
        <f aca="false">BK$7*EXP(-BI83/BK$8)</f>
        <v>3.31277960188086E-036</v>
      </c>
      <c r="BL83" s="1" t="n">
        <f aca="false">(BJ83-BK83)^2</f>
        <v>1.09745086906379E-071</v>
      </c>
      <c r="BN83" s="1" t="n">
        <f aca="false">$V83</f>
        <v>73</v>
      </c>
      <c r="BO83" s="1" t="n">
        <f aca="false">AR83</f>
        <v>0</v>
      </c>
      <c r="BP83" s="1" t="n">
        <f aca="false">BP$7*EXP(-BN83/BP$8)</f>
        <v>3.54942656540514E-033</v>
      </c>
      <c r="BQ83" s="1" t="n">
        <f aca="false">(BO83-BP83)^2</f>
        <v>1.25984289432037E-065</v>
      </c>
      <c r="BU83" s="1" t="n">
        <f aca="false">V83</f>
        <v>73</v>
      </c>
      <c r="BV83" s="1" t="n">
        <f aca="false">W83/W$9*100</f>
        <v>0</v>
      </c>
      <c r="BW83" s="1" t="n">
        <f aca="false">X83/X$9*100</f>
        <v>0</v>
      </c>
      <c r="BX83" s="1" t="n">
        <f aca="false">Z83/Z$9*100</f>
        <v>0</v>
      </c>
      <c r="BY83" s="1" t="n">
        <f aca="false">AA83/AA$9*100</f>
        <v>0</v>
      </c>
      <c r="BZ83" s="1" t="n">
        <f aca="false">AC83/AC$9*100</f>
        <v>0</v>
      </c>
      <c r="CA83" s="1" t="n">
        <f aca="false">AD83/AD$9*100</f>
        <v>0</v>
      </c>
      <c r="CB83" s="1" t="n">
        <f aca="false">AF83/AF$9*100</f>
        <v>0</v>
      </c>
      <c r="CC83" s="1" t="n">
        <f aca="false">AG83/AG$9*100</f>
        <v>0</v>
      </c>
      <c r="CE83" s="1" t="n">
        <f aca="false">$V83</f>
        <v>73</v>
      </c>
      <c r="CF83" s="1" t="n">
        <f aca="false">BV83</f>
        <v>0</v>
      </c>
      <c r="CG83" s="1" t="n">
        <f aca="false">CG$6*(1+CG$5*(-1)^$BU83)*EXP(-$BU83/CG$4)</f>
        <v>6.74137350434345E-023</v>
      </c>
      <c r="CH83" s="1" t="n">
        <f aca="false">(CF83-CG83)^2</f>
        <v>4.54461167250639E-045</v>
      </c>
      <c r="CI83" s="1" t="n">
        <f aca="false">EXP($BU83/CE83)*CF83</f>
        <v>0</v>
      </c>
      <c r="CJ83" s="1" t="n">
        <f aca="false">EXP($BU83/CE83)*(-1)^$BU83*CF83</f>
        <v>-0</v>
      </c>
      <c r="CK83" s="1" t="n">
        <f aca="false">(-1)^CE83*CF83</f>
        <v>-0</v>
      </c>
      <c r="CM83" s="1" t="n">
        <f aca="false">$V83</f>
        <v>73</v>
      </c>
      <c r="CN83" s="1" t="n">
        <f aca="false">BZ83</f>
        <v>0</v>
      </c>
      <c r="CO83" s="1" t="n">
        <f aca="false">CO$6*(1+CO$5*(-1)^$BU83)*EXP(-$BU83/CO$4)</f>
        <v>6.74137350434345E-023</v>
      </c>
      <c r="CP83" s="1" t="n">
        <f aca="false">(CN83-CO83)^2</f>
        <v>4.54461167250639E-045</v>
      </c>
      <c r="CQ83" s="1" t="n">
        <f aca="false">EXP($BU83/CM83)*CN83</f>
        <v>0</v>
      </c>
      <c r="CR83" s="1" t="n">
        <f aca="false">EXP($BU83/CM83)*(-1)^$BU83*CN83</f>
        <v>-0</v>
      </c>
      <c r="CS83" s="1" t="n">
        <f aca="false">(-1)^CM83*CN83</f>
        <v>-0</v>
      </c>
      <c r="CU83" s="1" t="n">
        <f aca="false">$V83</f>
        <v>73</v>
      </c>
      <c r="CV83" s="1" t="n">
        <f aca="false">CB83</f>
        <v>0</v>
      </c>
      <c r="CW83" s="1" t="n">
        <f aca="false">CW$6*(1+CW$5*(-1)^$BU83)*EXP(-$BU83/CW$4)</f>
        <v>7.68290309610629E-010</v>
      </c>
      <c r="CX83" s="1" t="n">
        <f aca="false">(CV83-CW83)^2</f>
        <v>5.90269999841596E-019</v>
      </c>
      <c r="CY83" s="1" t="n">
        <f aca="false">EXP($BU83/CU83)*CV83</f>
        <v>0</v>
      </c>
      <c r="CZ83" s="1" t="n">
        <f aca="false">EXP($BU83/CU83)*(-1)^$BU83*CV83</f>
        <v>-0</v>
      </c>
      <c r="DA83" s="1" t="n">
        <f aca="false">(-1)^CU83*CV83</f>
        <v>-0</v>
      </c>
      <c r="DB83" s="1" t="n">
        <v>0</v>
      </c>
    </row>
    <row r="84" customFormat="false" ht="16" hidden="false" customHeight="false" outlineLevel="0" collapsed="false">
      <c r="C84" s="1" t="n">
        <f aca="false">B84-A84</f>
        <v>0</v>
      </c>
      <c r="D84" s="1" t="n">
        <v>3</v>
      </c>
      <c r="E84" s="1" t="n">
        <v>1</v>
      </c>
      <c r="F84" s="1" t="n">
        <f aca="false">E84-D84</f>
        <v>-2</v>
      </c>
      <c r="G84" s="1" t="n">
        <v>2</v>
      </c>
      <c r="H84" s="1" t="n">
        <v>4</v>
      </c>
      <c r="I84" s="1" t="n">
        <f aca="false">H84-G84</f>
        <v>2</v>
      </c>
      <c r="V84" s="1" t="n">
        <v>74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K84" s="1" t="n">
        <f aca="false">V84</f>
        <v>74</v>
      </c>
      <c r="AN84" s="1" t="n">
        <f aca="false">MAX(AN83-W84/W$9*100,0)</f>
        <v>0</v>
      </c>
      <c r="AO84" s="1" t="n">
        <f aca="false">MAX(AO83-X84/X$9*100,0)</f>
        <v>0</v>
      </c>
      <c r="AP84" s="1" t="n">
        <f aca="false">MAX(AP83-Z84/Z$9*100,0)</f>
        <v>0</v>
      </c>
      <c r="AQ84" s="1" t="n">
        <f aca="false">MAX(AQ83-AA84/AA$9*100,0)</f>
        <v>0</v>
      </c>
      <c r="AR84" s="1" t="n">
        <f aca="false">MAX(AR83-AC84/AC$9*100,0)</f>
        <v>0</v>
      </c>
      <c r="AS84" s="1" t="n">
        <f aca="false">MAX(AS83-AD84/AD$9*100,0)</f>
        <v>0</v>
      </c>
      <c r="AT84" s="1" t="n">
        <f aca="false">MAX(AT83-AF84/AF$9*100,0)</f>
        <v>0</v>
      </c>
      <c r="AU84" s="1" t="n">
        <f aca="false">MAX(AU83-AG84/AG$9*100,0)</f>
        <v>0</v>
      </c>
      <c r="AY84" s="1" t="n">
        <f aca="false">$V84</f>
        <v>74</v>
      </c>
      <c r="AZ84" s="1" t="n">
        <f aca="false">AO84</f>
        <v>0</v>
      </c>
      <c r="BA84" s="1" t="n">
        <f aca="false">BA$7*EXP(-AY84/BA$8)</f>
        <v>1.20349315399006E-031</v>
      </c>
      <c r="BB84" s="1" t="n">
        <f aca="false">(AZ84-BA84)^2</f>
        <v>1.44839577170094E-062</v>
      </c>
      <c r="BD84" s="1" t="n">
        <f aca="false">$V84</f>
        <v>74</v>
      </c>
      <c r="BE84" s="1" t="n">
        <f aca="false">AT84</f>
        <v>0</v>
      </c>
      <c r="BF84" s="1" t="n">
        <f aca="false">BF$7*EXP(-BD84/BF$8)</f>
        <v>1.39225232447315E-016</v>
      </c>
      <c r="BG84" s="1" t="n">
        <f aca="false">(BE84-BF84)^2</f>
        <v>1.93836653500089E-032</v>
      </c>
      <c r="BI84" s="1" t="n">
        <f aca="false">$V84</f>
        <v>74</v>
      </c>
      <c r="BJ84" s="1" t="n">
        <f aca="false">AN84</f>
        <v>0</v>
      </c>
      <c r="BK84" s="1" t="n">
        <f aca="false">BK$7*EXP(-BI84/BK$8)</f>
        <v>1.00733819897312E-036</v>
      </c>
      <c r="BL84" s="1" t="n">
        <f aca="false">(BJ84-BK84)^2</f>
        <v>1.01473024711041E-072</v>
      </c>
      <c r="BN84" s="1" t="n">
        <f aca="false">$V84</f>
        <v>74</v>
      </c>
      <c r="BO84" s="1" t="n">
        <f aca="false">AR84</f>
        <v>0</v>
      </c>
      <c r="BP84" s="1" t="n">
        <f aca="false">BP$7*EXP(-BN84/BP$8)</f>
        <v>1.18280053423627E-033</v>
      </c>
      <c r="BQ84" s="1" t="n">
        <f aca="false">(BO84-BP84)^2</f>
        <v>1.39901710378961E-066</v>
      </c>
      <c r="BU84" s="1" t="n">
        <f aca="false">V84</f>
        <v>74</v>
      </c>
      <c r="BV84" s="1" t="n">
        <f aca="false">W84/W$9*100</f>
        <v>0</v>
      </c>
      <c r="BW84" s="1" t="n">
        <f aca="false">X84/X$9*100</f>
        <v>0</v>
      </c>
      <c r="BX84" s="1" t="n">
        <f aca="false">Z84/Z$9*100</f>
        <v>0</v>
      </c>
      <c r="BY84" s="1" t="n">
        <f aca="false">AA84/AA$9*100</f>
        <v>0</v>
      </c>
      <c r="BZ84" s="1" t="n">
        <f aca="false">AC84/AC$9*100</f>
        <v>0</v>
      </c>
      <c r="CA84" s="1" t="n">
        <f aca="false">AD84/AD$9*100</f>
        <v>0</v>
      </c>
      <c r="CB84" s="1" t="n">
        <f aca="false">AF84/AF$9*100</f>
        <v>0</v>
      </c>
      <c r="CC84" s="1" t="n">
        <f aca="false">AG84/AG$9*100</f>
        <v>0</v>
      </c>
      <c r="CE84" s="1" t="n">
        <f aca="false">$V84</f>
        <v>74</v>
      </c>
      <c r="CF84" s="1" t="n">
        <f aca="false">BV84</f>
        <v>0</v>
      </c>
      <c r="CG84" s="1" t="n">
        <f aca="false">CG$6*(1+CG$5*(-1)^$BU84)*EXP(-$BU84/CG$4)</f>
        <v>9.23322695957953E-023</v>
      </c>
      <c r="CH84" s="1" t="n">
        <f aca="false">(CF84-CG84)^2</f>
        <v>8.52524800871063E-045</v>
      </c>
      <c r="CI84" s="1" t="n">
        <f aca="false">EXP($BU84/CE84)*CF84</f>
        <v>0</v>
      </c>
      <c r="CJ84" s="1" t="n">
        <f aca="false">EXP($BU84/CE84)*(-1)^$BU84*CF84</f>
        <v>0</v>
      </c>
      <c r="CK84" s="1" t="n">
        <f aca="false">(-1)^CE84*CF84</f>
        <v>0</v>
      </c>
      <c r="CM84" s="1" t="n">
        <f aca="false">$V84</f>
        <v>74</v>
      </c>
      <c r="CN84" s="1" t="n">
        <f aca="false">BZ84</f>
        <v>0</v>
      </c>
      <c r="CO84" s="1" t="n">
        <f aca="false">CO$6*(1+CO$5*(-1)^$BU84)*EXP(-$BU84/CO$4)</f>
        <v>9.23322695957953E-023</v>
      </c>
      <c r="CP84" s="1" t="n">
        <f aca="false">(CN84-CO84)^2</f>
        <v>8.52524800871063E-045</v>
      </c>
      <c r="CQ84" s="1" t="n">
        <f aca="false">EXP($BU84/CM84)*CN84</f>
        <v>0</v>
      </c>
      <c r="CR84" s="1" t="n">
        <f aca="false">EXP($BU84/CM84)*(-1)^$BU84*CN84</f>
        <v>0</v>
      </c>
      <c r="CS84" s="1" t="n">
        <f aca="false">(-1)^CM84*CN84</f>
        <v>0</v>
      </c>
      <c r="CU84" s="1" t="n">
        <f aca="false">$V84</f>
        <v>74</v>
      </c>
      <c r="CV84" s="1" t="n">
        <f aca="false">CB84</f>
        <v>0</v>
      </c>
      <c r="CW84" s="1" t="n">
        <f aca="false">CW$6*(1+CW$5*(-1)^$BU84)*EXP(-$BU84/CW$4)</f>
        <v>1.06862553298428E-009</v>
      </c>
      <c r="CX84" s="1" t="n">
        <f aca="false">(CV84-CW84)^2</f>
        <v>1.14196052974594E-018</v>
      </c>
      <c r="CY84" s="1" t="n">
        <f aca="false">EXP($BU84/CU84)*CV84</f>
        <v>0</v>
      </c>
      <c r="CZ84" s="1" t="n">
        <f aca="false">EXP($BU84/CU84)*(-1)^$BU84*CV84</f>
        <v>0</v>
      </c>
      <c r="DA84" s="1" t="n">
        <f aca="false">(-1)^CU84*CV84</f>
        <v>0</v>
      </c>
      <c r="DB84" s="1" t="n">
        <v>0</v>
      </c>
    </row>
    <row r="85" customFormat="false" ht="16" hidden="false" customHeight="false" outlineLevel="0" collapsed="false">
      <c r="C85" s="1" t="n">
        <f aca="false">B85-A85</f>
        <v>0</v>
      </c>
      <c r="D85" s="1" t="n">
        <v>2</v>
      </c>
      <c r="E85" s="1" t="n">
        <v>3</v>
      </c>
      <c r="F85" s="1" t="n">
        <f aca="false">E85-D85</f>
        <v>1</v>
      </c>
      <c r="G85" s="1" t="n">
        <v>4</v>
      </c>
      <c r="H85" s="1" t="n">
        <v>4</v>
      </c>
      <c r="I85" s="1" t="n">
        <f aca="false">H85-G85</f>
        <v>0</v>
      </c>
      <c r="V85" s="1" t="n">
        <v>75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K85" s="1" t="n">
        <f aca="false">V85</f>
        <v>75</v>
      </c>
      <c r="AN85" s="1" t="n">
        <f aca="false">MAX(AN84-W85/W$9*100,0)</f>
        <v>0</v>
      </c>
      <c r="AO85" s="1" t="n">
        <f aca="false">MAX(AO84-X85/X$9*100,0)</f>
        <v>0</v>
      </c>
      <c r="AP85" s="1" t="n">
        <f aca="false">MAX(AP84-Z85/Z$9*100,0)</f>
        <v>0</v>
      </c>
      <c r="AQ85" s="1" t="n">
        <f aca="false">MAX(AQ84-AA85/AA$9*100,0)</f>
        <v>0</v>
      </c>
      <c r="AR85" s="1" t="n">
        <f aca="false">MAX(AR84-AC85/AC$9*100,0)</f>
        <v>0</v>
      </c>
      <c r="AS85" s="1" t="n">
        <f aca="false">MAX(AS84-AD85/AD$9*100,0)</f>
        <v>0</v>
      </c>
      <c r="AT85" s="1" t="n">
        <f aca="false">MAX(AT84-AF85/AF$9*100,0)</f>
        <v>0</v>
      </c>
      <c r="AU85" s="1" t="n">
        <f aca="false">MAX(AU84-AG85/AG$9*100,0)</f>
        <v>0</v>
      </c>
      <c r="AY85" s="1" t="n">
        <f aca="false">$V85</f>
        <v>75</v>
      </c>
      <c r="AZ85" s="1" t="n">
        <f aca="false">AO85</f>
        <v>0</v>
      </c>
      <c r="BA85" s="1" t="n">
        <f aca="false">BA$7*EXP(-AY85/BA$8)</f>
        <v>4.29256968484217E-032</v>
      </c>
      <c r="BB85" s="1" t="n">
        <f aca="false">(AZ85-BA85)^2</f>
        <v>1.8426154499226E-063</v>
      </c>
      <c r="BD85" s="1" t="n">
        <f aca="false">$V85</f>
        <v>75</v>
      </c>
      <c r="BE85" s="1" t="n">
        <f aca="false">AT85</f>
        <v>0</v>
      </c>
      <c r="BF85" s="1" t="n">
        <f aca="false">BF$7*EXP(-BD85/BF$8)</f>
        <v>7.93838737504614E-017</v>
      </c>
      <c r="BG85" s="1" t="n">
        <f aca="false">(BE85-BF85)^2</f>
        <v>6.30179941162919E-033</v>
      </c>
      <c r="BI85" s="1" t="n">
        <f aca="false">$V85</f>
        <v>75</v>
      </c>
      <c r="BJ85" s="1" t="n">
        <f aca="false">AN85</f>
        <v>0</v>
      </c>
      <c r="BK85" s="1" t="n">
        <f aca="false">BK$7*EXP(-BI85/BK$8)</f>
        <v>3.06307804640639E-037</v>
      </c>
      <c r="BL85" s="1" t="n">
        <f aca="false">(BJ85-BK85)^2</f>
        <v>9.38244711837679E-074</v>
      </c>
      <c r="BN85" s="1" t="n">
        <f aca="false">$V85</f>
        <v>75</v>
      </c>
      <c r="BO85" s="1" t="n">
        <f aca="false">AR85</f>
        <v>0</v>
      </c>
      <c r="BP85" s="1" t="n">
        <f aca="false">BP$7*EXP(-BN85/BP$8)</f>
        <v>3.94152992887715E-034</v>
      </c>
      <c r="BQ85" s="1" t="n">
        <f aca="false">(BO85-BP85)^2</f>
        <v>1.55356581802343E-067</v>
      </c>
      <c r="BU85" s="1" t="n">
        <f aca="false">V85</f>
        <v>75</v>
      </c>
      <c r="BV85" s="1" t="n">
        <f aca="false">W85/W$9*100</f>
        <v>0</v>
      </c>
      <c r="BW85" s="1" t="n">
        <f aca="false">X85/X$9*100</f>
        <v>0</v>
      </c>
      <c r="BX85" s="1" t="n">
        <f aca="false">Z85/Z$9*100</f>
        <v>0</v>
      </c>
      <c r="BY85" s="1" t="n">
        <f aca="false">AA85/AA$9*100</f>
        <v>0</v>
      </c>
      <c r="BZ85" s="1" t="n">
        <f aca="false">AC85/AC$9*100</f>
        <v>0</v>
      </c>
      <c r="CA85" s="1" t="n">
        <f aca="false">AD85/AD$9*100</f>
        <v>0</v>
      </c>
      <c r="CB85" s="1" t="n">
        <f aca="false">AF85/AF$9*100</f>
        <v>0</v>
      </c>
      <c r="CC85" s="1" t="n">
        <f aca="false">AG85/AG$9*100</f>
        <v>0</v>
      </c>
      <c r="CE85" s="1" t="n">
        <f aca="false">$V85</f>
        <v>75</v>
      </c>
      <c r="CF85" s="1" t="n">
        <f aca="false">BV85</f>
        <v>0</v>
      </c>
      <c r="CG85" s="1" t="n">
        <f aca="false">CG$6*(1+CG$5*(-1)^$BU85)*EXP(-$BU85/CG$4)</f>
        <v>1.48158457385223E-023</v>
      </c>
      <c r="CH85" s="1" t="n">
        <f aca="false">(CF85-CG85)^2</f>
        <v>2.19509284947689E-046</v>
      </c>
      <c r="CI85" s="1" t="n">
        <f aca="false">EXP($BU85/CE85)*CF85</f>
        <v>0</v>
      </c>
      <c r="CJ85" s="1" t="n">
        <f aca="false">EXP($BU85/CE85)*(-1)^$BU85*CF85</f>
        <v>-0</v>
      </c>
      <c r="CK85" s="1" t="n">
        <f aca="false">(-1)^CE85*CF85</f>
        <v>-0</v>
      </c>
      <c r="CM85" s="1" t="n">
        <f aca="false">$V85</f>
        <v>75</v>
      </c>
      <c r="CN85" s="1" t="n">
        <f aca="false">BZ85</f>
        <v>0</v>
      </c>
      <c r="CO85" s="1" t="n">
        <f aca="false">CO$6*(1+CO$5*(-1)^$BU85)*EXP(-$BU85/CO$4)</f>
        <v>1.48158457385223E-023</v>
      </c>
      <c r="CP85" s="1" t="n">
        <f aca="false">(CN85-CO85)^2</f>
        <v>2.19509284947689E-046</v>
      </c>
      <c r="CQ85" s="1" t="n">
        <f aca="false">EXP($BU85/CM85)*CN85</f>
        <v>0</v>
      </c>
      <c r="CR85" s="1" t="n">
        <f aca="false">EXP($BU85/CM85)*(-1)^$BU85*CN85</f>
        <v>-0</v>
      </c>
      <c r="CS85" s="1" t="n">
        <f aca="false">(-1)^CM85*CN85</f>
        <v>-0</v>
      </c>
      <c r="CU85" s="1" t="n">
        <f aca="false">$V85</f>
        <v>75</v>
      </c>
      <c r="CV85" s="1" t="n">
        <f aca="false">CB85</f>
        <v>0</v>
      </c>
      <c r="CW85" s="1" t="n">
        <f aca="false">CW$6*(1+CW$5*(-1)^$BU85)*EXP(-$BU85/CW$4)</f>
        <v>3.94453397340947E-010</v>
      </c>
      <c r="CX85" s="1" t="n">
        <f aca="false">(CV85-CW85)^2</f>
        <v>1.55593482673815E-019</v>
      </c>
      <c r="CY85" s="1" t="n">
        <f aca="false">EXP($BU85/CU85)*CV85</f>
        <v>0</v>
      </c>
      <c r="CZ85" s="1" t="n">
        <f aca="false">EXP($BU85/CU85)*(-1)^$BU85*CV85</f>
        <v>-0</v>
      </c>
      <c r="DA85" s="1" t="n">
        <f aca="false">(-1)^CU85*CV85</f>
        <v>-0</v>
      </c>
      <c r="DB85" s="1" t="n">
        <v>0</v>
      </c>
    </row>
    <row r="86" customFormat="false" ht="16" hidden="false" customHeight="false" outlineLevel="0" collapsed="false">
      <c r="C86" s="1" t="n">
        <f aca="false">B86-A86</f>
        <v>0</v>
      </c>
      <c r="G86" s="1" t="n">
        <v>2</v>
      </c>
      <c r="H86" s="1" t="n">
        <v>2</v>
      </c>
      <c r="I86" s="1" t="n">
        <f aca="false">H86-G86</f>
        <v>0</v>
      </c>
      <c r="V86" s="1" t="n">
        <v>76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K86" s="1" t="n">
        <f aca="false">V86</f>
        <v>76</v>
      </c>
      <c r="AN86" s="1" t="n">
        <f aca="false">MAX(AN85-W86/W$9*100,0)</f>
        <v>0</v>
      </c>
      <c r="AO86" s="1" t="n">
        <f aca="false">MAX(AO85-X86/X$9*100,0)</f>
        <v>0</v>
      </c>
      <c r="AP86" s="1" t="n">
        <f aca="false">MAX(AP85-Z86/Z$9*100,0)</f>
        <v>0</v>
      </c>
      <c r="AQ86" s="1" t="n">
        <f aca="false">MAX(AQ85-AA86/AA$9*100,0)</f>
        <v>0</v>
      </c>
      <c r="AR86" s="1" t="n">
        <f aca="false">MAX(AR85-AC86/AC$9*100,0)</f>
        <v>0</v>
      </c>
      <c r="AS86" s="1" t="n">
        <f aca="false">MAX(AS85-AD86/AD$9*100,0)</f>
        <v>0</v>
      </c>
      <c r="AT86" s="1" t="n">
        <f aca="false">MAX(AT85-AF86/AF$9*100,0)</f>
        <v>0</v>
      </c>
      <c r="AU86" s="1" t="n">
        <f aca="false">MAX(AU85-AG86/AG$9*100,0)</f>
        <v>0</v>
      </c>
      <c r="AY86" s="1" t="n">
        <f aca="false">$V86</f>
        <v>76</v>
      </c>
      <c r="AZ86" s="1" t="n">
        <f aca="false">AO86</f>
        <v>0</v>
      </c>
      <c r="BA86" s="1" t="n">
        <f aca="false">BA$7*EXP(-AY86/BA$8)</f>
        <v>1.53105602953666E-032</v>
      </c>
      <c r="BB86" s="1" t="n">
        <f aca="false">(AZ86-BA86)^2</f>
        <v>2.34413256558056E-064</v>
      </c>
      <c r="BD86" s="1" t="n">
        <f aca="false">$V86</f>
        <v>76</v>
      </c>
      <c r="BE86" s="1" t="n">
        <f aca="false">AT86</f>
        <v>0</v>
      </c>
      <c r="BF86" s="1" t="n">
        <f aca="false">BF$7*EXP(-BD86/BF$8)</f>
        <v>4.52633427206805E-017</v>
      </c>
      <c r="BG86" s="1" t="n">
        <f aca="false">(BE86-BF86)^2</f>
        <v>2.04877019424978E-033</v>
      </c>
      <c r="BI86" s="1" t="n">
        <f aca="false">$V86</f>
        <v>76</v>
      </c>
      <c r="BJ86" s="1" t="n">
        <f aca="false">AN86</f>
        <v>0</v>
      </c>
      <c r="BK86" s="1" t="n">
        <f aca="false">BK$7*EXP(-BI86/BK$8)</f>
        <v>9.31409841098176E-038</v>
      </c>
      <c r="BL86" s="1" t="n">
        <f aca="false">(BJ86-BK86)^2</f>
        <v>8.67524292094529E-075</v>
      </c>
      <c r="BN86" s="1" t="n">
        <f aca="false">$V86</f>
        <v>76</v>
      </c>
      <c r="BO86" s="1" t="n">
        <f aca="false">AR86</f>
        <v>0</v>
      </c>
      <c r="BP86" s="1" t="n">
        <f aca="false">BP$7*EXP(-BN86/BP$8)</f>
        <v>1.31346391302279E-034</v>
      </c>
      <c r="BQ86" s="1" t="n">
        <f aca="false">(BO86-BP86)^2</f>
        <v>1.72518745081314E-068</v>
      </c>
      <c r="BU86" s="1" t="n">
        <f aca="false">V86</f>
        <v>76</v>
      </c>
      <c r="BV86" s="1" t="n">
        <f aca="false">W86/W$9*100</f>
        <v>0</v>
      </c>
      <c r="BW86" s="1" t="n">
        <f aca="false">X86/X$9*100</f>
        <v>0</v>
      </c>
      <c r="BX86" s="1" t="n">
        <f aca="false">Z86/Z$9*100</f>
        <v>0</v>
      </c>
      <c r="BY86" s="1" t="n">
        <f aca="false">AA86/AA$9*100</f>
        <v>0</v>
      </c>
      <c r="BZ86" s="1" t="n">
        <f aca="false">AC86/AC$9*100</f>
        <v>0</v>
      </c>
      <c r="CA86" s="1" t="n">
        <f aca="false">AD86/AD$9*100</f>
        <v>0</v>
      </c>
      <c r="CB86" s="1" t="n">
        <f aca="false">AF86/AF$9*100</f>
        <v>0</v>
      </c>
      <c r="CC86" s="1" t="n">
        <f aca="false">AG86/AG$9*100</f>
        <v>0</v>
      </c>
      <c r="CE86" s="1" t="n">
        <f aca="false">$V86</f>
        <v>76</v>
      </c>
      <c r="CF86" s="1" t="n">
        <f aca="false">BV86</f>
        <v>0</v>
      </c>
      <c r="CG86" s="1" t="n">
        <f aca="false">CG$6*(1+CG$5*(-1)^$BU86)*EXP(-$BU86/CG$4)</f>
        <v>2.0292313756797E-023</v>
      </c>
      <c r="CH86" s="1" t="n">
        <f aca="false">(CF86-CG86)^2</f>
        <v>4.11777997604293E-046</v>
      </c>
      <c r="CI86" s="1" t="n">
        <f aca="false">EXP($BU86/CE86)*CF86</f>
        <v>0</v>
      </c>
      <c r="CJ86" s="1" t="n">
        <f aca="false">EXP($BU86/CE86)*(-1)^$BU86*CF86</f>
        <v>0</v>
      </c>
      <c r="CK86" s="1" t="n">
        <f aca="false">(-1)^CE86*CF86</f>
        <v>0</v>
      </c>
      <c r="CM86" s="1" t="n">
        <f aca="false">$V86</f>
        <v>76</v>
      </c>
      <c r="CN86" s="1" t="n">
        <f aca="false">BZ86</f>
        <v>0</v>
      </c>
      <c r="CO86" s="1" t="n">
        <f aca="false">CO$6*(1+CO$5*(-1)^$BU86)*EXP(-$BU86/CO$4)</f>
        <v>2.0292313756797E-023</v>
      </c>
      <c r="CP86" s="1" t="n">
        <f aca="false">(CN86-CO86)^2</f>
        <v>4.11777997604293E-046</v>
      </c>
      <c r="CQ86" s="1" t="n">
        <f aca="false">EXP($BU86/CM86)*CN86</f>
        <v>0</v>
      </c>
      <c r="CR86" s="1" t="n">
        <f aca="false">EXP($BU86/CM86)*(-1)^$BU86*CN86</f>
        <v>0</v>
      </c>
      <c r="CS86" s="1" t="n">
        <f aca="false">(-1)^CM86*CN86</f>
        <v>0</v>
      </c>
      <c r="CU86" s="1" t="n">
        <f aca="false">$V86</f>
        <v>76</v>
      </c>
      <c r="CV86" s="1" t="n">
        <f aca="false">CB86</f>
        <v>0</v>
      </c>
      <c r="CW86" s="1" t="n">
        <f aca="false">CW$6*(1+CW$5*(-1)^$BU86)*EXP(-$BU86/CW$4)</f>
        <v>5.48650642469457E-010</v>
      </c>
      <c r="CX86" s="1" t="n">
        <f aca="false">(CV86-CW86)^2</f>
        <v>3.01017527482148E-019</v>
      </c>
      <c r="CY86" s="1" t="n">
        <f aca="false">EXP($BU86/CU86)*CV86</f>
        <v>0</v>
      </c>
      <c r="CZ86" s="1" t="n">
        <f aca="false">EXP($BU86/CU86)*(-1)^$BU86*CV86</f>
        <v>0</v>
      </c>
      <c r="DA86" s="1" t="n">
        <f aca="false">(-1)^CU86*CV86</f>
        <v>0</v>
      </c>
      <c r="DB86" s="1" t="n">
        <v>0</v>
      </c>
    </row>
    <row r="87" customFormat="false" ht="16" hidden="false" customHeight="false" outlineLevel="0" collapsed="false">
      <c r="C87" s="1" t="n">
        <f aca="false">B87-A87</f>
        <v>0</v>
      </c>
      <c r="V87" s="1" t="n">
        <v>77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K87" s="1" t="n">
        <f aca="false">V87</f>
        <v>77</v>
      </c>
      <c r="AN87" s="1" t="n">
        <f aca="false">MAX(AN86-W87/W$9*100,0)</f>
        <v>0</v>
      </c>
      <c r="AO87" s="1" t="n">
        <f aca="false">MAX(AO86-X87/X$9*100,0)</f>
        <v>0</v>
      </c>
      <c r="AP87" s="1" t="n">
        <f aca="false">MAX(AP86-Z87/Z$9*100,0)</f>
        <v>0</v>
      </c>
      <c r="AQ87" s="1" t="n">
        <f aca="false">MAX(AQ86-AA87/AA$9*100,0)</f>
        <v>0</v>
      </c>
      <c r="AR87" s="1" t="n">
        <f aca="false">MAX(AR86-AC87/AC$9*100,0)</f>
        <v>0</v>
      </c>
      <c r="AS87" s="1" t="n">
        <f aca="false">MAX(AS86-AD87/AD$9*100,0)</f>
        <v>0</v>
      </c>
      <c r="AT87" s="1" t="n">
        <f aca="false">MAX(AT86-AF87/AF$9*100,0)</f>
        <v>0</v>
      </c>
      <c r="AU87" s="1" t="n">
        <f aca="false">MAX(AU86-AG87/AG$9*100,0)</f>
        <v>0</v>
      </c>
      <c r="AY87" s="1" t="n">
        <f aca="false">$V87</f>
        <v>77</v>
      </c>
      <c r="AZ87" s="1" t="n">
        <f aca="false">AO87</f>
        <v>0</v>
      </c>
      <c r="BA87" s="1" t="n">
        <f aca="false">BA$7*EXP(-AY87/BA$8)</f>
        <v>5.46090742302482E-033</v>
      </c>
      <c r="BB87" s="1" t="n">
        <f aca="false">(AZ87-BA87)^2</f>
        <v>2.98215098828476E-065</v>
      </c>
      <c r="BD87" s="1" t="n">
        <f aca="false">$V87</f>
        <v>77</v>
      </c>
      <c r="BE87" s="1" t="n">
        <f aca="false">AT87</f>
        <v>0</v>
      </c>
      <c r="BF87" s="1" t="n">
        <f aca="false">BF$7*EXP(-BD87/BF$8)</f>
        <v>2.58083927812587E-017</v>
      </c>
      <c r="BG87" s="1" t="n">
        <f aca="false">(BE87-BF87)^2</f>
        <v>6.66073137951726E-034</v>
      </c>
      <c r="BI87" s="1" t="n">
        <f aca="false">$V87</f>
        <v>77</v>
      </c>
      <c r="BJ87" s="1" t="n">
        <f aca="false">AN87</f>
        <v>0</v>
      </c>
      <c r="BK87" s="1" t="n">
        <f aca="false">BK$7*EXP(-BI87/BK$8)</f>
        <v>2.83219780544707E-038</v>
      </c>
      <c r="BL87" s="1" t="n">
        <f aca="false">(BJ87-BK87)^2</f>
        <v>8.0213444091792E-076</v>
      </c>
      <c r="BN87" s="1" t="n">
        <f aca="false">$V87</f>
        <v>77</v>
      </c>
      <c r="BO87" s="1" t="n">
        <f aca="false">AR87</f>
        <v>0</v>
      </c>
      <c r="BP87" s="1" t="n">
        <f aca="false">BP$7*EXP(-BN87/BP$8)</f>
        <v>4.37694875325892E-035</v>
      </c>
      <c r="BQ87" s="1" t="n">
        <f aca="false">(BO87-BP87)^2</f>
        <v>1.91576803886548E-069</v>
      </c>
      <c r="BU87" s="1" t="n">
        <f aca="false">V87</f>
        <v>77</v>
      </c>
      <c r="BV87" s="1" t="n">
        <f aca="false">W87/W$9*100</f>
        <v>0</v>
      </c>
      <c r="BW87" s="1" t="n">
        <f aca="false">X87/X$9*100</f>
        <v>0</v>
      </c>
      <c r="BX87" s="1" t="n">
        <f aca="false">Z87/Z$9*100</f>
        <v>0</v>
      </c>
      <c r="BY87" s="1" t="n">
        <f aca="false">AA87/AA$9*100</f>
        <v>0</v>
      </c>
      <c r="BZ87" s="1" t="n">
        <f aca="false">AC87/AC$9*100</f>
        <v>0</v>
      </c>
      <c r="CA87" s="1" t="n">
        <f aca="false">AD87/AD$9*100</f>
        <v>0</v>
      </c>
      <c r="CB87" s="1" t="n">
        <f aca="false">AF87/AF$9*100</f>
        <v>0</v>
      </c>
      <c r="CC87" s="1" t="n">
        <f aca="false">AG87/AG$9*100</f>
        <v>0</v>
      </c>
      <c r="CE87" s="1" t="n">
        <f aca="false">$V87</f>
        <v>77</v>
      </c>
      <c r="CF87" s="1" t="n">
        <f aca="false">BV87</f>
        <v>0</v>
      </c>
      <c r="CG87" s="1" t="n">
        <f aca="false">CG$6*(1+CG$5*(-1)^$BU87)*EXP(-$BU87/CG$4)</f>
        <v>3.25615076521512E-024</v>
      </c>
      <c r="CH87" s="1" t="n">
        <f aca="false">(CF87-CG87)^2</f>
        <v>1.0602517805811E-047</v>
      </c>
      <c r="CI87" s="1" t="n">
        <f aca="false">EXP($BU87/CE87)*CF87</f>
        <v>0</v>
      </c>
      <c r="CJ87" s="1" t="n">
        <f aca="false">EXP($BU87/CE87)*(-1)^$BU87*CF87</f>
        <v>-0</v>
      </c>
      <c r="CK87" s="1" t="n">
        <f aca="false">(-1)^CE87*CF87</f>
        <v>-0</v>
      </c>
      <c r="CM87" s="1" t="n">
        <f aca="false">$V87</f>
        <v>77</v>
      </c>
      <c r="CN87" s="1" t="n">
        <f aca="false">BZ87</f>
        <v>0</v>
      </c>
      <c r="CO87" s="1" t="n">
        <f aca="false">CO$6*(1+CO$5*(-1)^$BU87)*EXP(-$BU87/CO$4)</f>
        <v>3.25615076521512E-024</v>
      </c>
      <c r="CP87" s="1" t="n">
        <f aca="false">(CN87-CO87)^2</f>
        <v>1.0602517805811E-047</v>
      </c>
      <c r="CQ87" s="1" t="n">
        <f aca="false">EXP($BU87/CM87)*CN87</f>
        <v>0</v>
      </c>
      <c r="CR87" s="1" t="n">
        <f aca="false">EXP($BU87/CM87)*(-1)^$BU87*CN87</f>
        <v>-0</v>
      </c>
      <c r="CS87" s="1" t="n">
        <f aca="false">(-1)^CM87*CN87</f>
        <v>-0</v>
      </c>
      <c r="CU87" s="1" t="n">
        <f aca="false">$V87</f>
        <v>77</v>
      </c>
      <c r="CV87" s="1" t="n">
        <f aca="false">CB87</f>
        <v>0</v>
      </c>
      <c r="CW87" s="1" t="n">
        <f aca="false">CW$6*(1+CW$5*(-1)^$BU87)*EXP(-$BU87/CW$4)</f>
        <v>2.02519126855407E-010</v>
      </c>
      <c r="CX87" s="1" t="n">
        <f aca="false">(CV87-CW87)^2</f>
        <v>4.10139967422764E-020</v>
      </c>
      <c r="CY87" s="1" t="n">
        <f aca="false">EXP($BU87/CU87)*CV87</f>
        <v>0</v>
      </c>
      <c r="CZ87" s="1" t="n">
        <f aca="false">EXP($BU87/CU87)*(-1)^$BU87*CV87</f>
        <v>-0</v>
      </c>
      <c r="DA87" s="1" t="n">
        <f aca="false">(-1)^CU87*CV87</f>
        <v>-0</v>
      </c>
      <c r="DB87" s="1" t="n">
        <v>0</v>
      </c>
    </row>
    <row r="88" customFormat="false" ht="16" hidden="false" customHeight="false" outlineLevel="0" collapsed="false">
      <c r="C88" s="1" t="n">
        <f aca="false">B88-A88</f>
        <v>0</v>
      </c>
      <c r="V88" s="1" t="n">
        <v>78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K88" s="1" t="n">
        <f aca="false">V88</f>
        <v>78</v>
      </c>
      <c r="AN88" s="1" t="n">
        <f aca="false">MAX(AN87-W88/W$9*100,0)</f>
        <v>0</v>
      </c>
      <c r="AO88" s="1" t="n">
        <f aca="false">MAX(AO87-X88/X$9*100,0)</f>
        <v>0</v>
      </c>
      <c r="AP88" s="1" t="n">
        <f aca="false">MAX(AP87-Z88/Z$9*100,0)</f>
        <v>0</v>
      </c>
      <c r="AQ88" s="1" t="n">
        <f aca="false">MAX(AQ87-AA88/AA$9*100,0)</f>
        <v>0</v>
      </c>
      <c r="AR88" s="1" t="n">
        <f aca="false">MAX(AR87-AC88/AC$9*100,0)</f>
        <v>0</v>
      </c>
      <c r="AS88" s="1" t="n">
        <f aca="false">MAX(AS87-AD88/AD$9*100,0)</f>
        <v>0</v>
      </c>
      <c r="AT88" s="1" t="n">
        <f aca="false">MAX(AT87-AF88/AF$9*100,0)</f>
        <v>0</v>
      </c>
      <c r="AU88" s="1" t="n">
        <f aca="false">MAX(AU87-AG88/AG$9*100,0)</f>
        <v>0</v>
      </c>
      <c r="AY88" s="1" t="n">
        <f aca="false">$V88</f>
        <v>78</v>
      </c>
      <c r="AZ88" s="1" t="n">
        <f aca="false">AO88</f>
        <v>0</v>
      </c>
      <c r="BA88" s="1" t="n">
        <f aca="false">BA$7*EXP(-AY88/BA$8)</f>
        <v>1.94777390948079E-033</v>
      </c>
      <c r="BB88" s="1" t="n">
        <f aca="false">(AZ88-BA88)^2</f>
        <v>3.79382320245408E-066</v>
      </c>
      <c r="BD88" s="1" t="n">
        <f aca="false">$V88</f>
        <v>78</v>
      </c>
      <c r="BE88" s="1" t="n">
        <f aca="false">AT88</f>
        <v>0</v>
      </c>
      <c r="BF88" s="1" t="n">
        <f aca="false">BF$7*EXP(-BD88/BF$8)</f>
        <v>1.47155092380619E-017</v>
      </c>
      <c r="BG88" s="1" t="n">
        <f aca="false">(BE88-BF88)^2</f>
        <v>2.16546212135485E-034</v>
      </c>
      <c r="BI88" s="1" t="n">
        <f aca="false">$V88</f>
        <v>78</v>
      </c>
      <c r="BJ88" s="1" t="n">
        <f aca="false">AN88</f>
        <v>0</v>
      </c>
      <c r="BK88" s="1" t="n">
        <f aca="false">BK$7*EXP(-BI88/BK$8)</f>
        <v>8.61204601373083E-039</v>
      </c>
      <c r="BL88" s="1" t="n">
        <f aca="false">(BJ88-BK88)^2</f>
        <v>7.41673365426171E-077</v>
      </c>
      <c r="BN88" s="1" t="n">
        <f aca="false">$V88</f>
        <v>78</v>
      </c>
      <c r="BO88" s="1" t="n">
        <f aca="false">AR88</f>
        <v>0</v>
      </c>
      <c r="BP88" s="1" t="n">
        <f aca="false">BP$7*EXP(-BN88/BP$8)</f>
        <v>1.45856160939859E-035</v>
      </c>
      <c r="BQ88" s="1" t="n">
        <f aca="false">(BO88-BP88)^2</f>
        <v>2.12740196841141E-070</v>
      </c>
      <c r="BU88" s="1" t="n">
        <f aca="false">V88</f>
        <v>78</v>
      </c>
      <c r="BV88" s="1" t="n">
        <f aca="false">W88/W$9*100</f>
        <v>0</v>
      </c>
      <c r="BW88" s="1" t="n">
        <f aca="false">X88/X$9*100</f>
        <v>0</v>
      </c>
      <c r="BX88" s="1" t="n">
        <f aca="false">Z88/Z$9*100</f>
        <v>0</v>
      </c>
      <c r="BY88" s="1" t="n">
        <f aca="false">AA88/AA$9*100</f>
        <v>0</v>
      </c>
      <c r="BZ88" s="1" t="n">
        <f aca="false">AC88/AC$9*100</f>
        <v>0</v>
      </c>
      <c r="CA88" s="1" t="n">
        <f aca="false">AD88/AD$9*100</f>
        <v>0</v>
      </c>
      <c r="CB88" s="1" t="n">
        <f aca="false">AF88/AF$9*100</f>
        <v>0</v>
      </c>
      <c r="CC88" s="1" t="n">
        <f aca="false">AG88/AG$9*100</f>
        <v>0</v>
      </c>
      <c r="CE88" s="1" t="n">
        <f aca="false">$V88</f>
        <v>78</v>
      </c>
      <c r="CF88" s="1" t="n">
        <f aca="false">BV88</f>
        <v>0</v>
      </c>
      <c r="CG88" s="1" t="n">
        <f aca="false">CG$6*(1+CG$5*(-1)^$BU88)*EXP(-$BU88/CG$4)</f>
        <v>4.45974088373373E-024</v>
      </c>
      <c r="CH88" s="1" t="n">
        <f aca="false">(CF88-CG88)^2</f>
        <v>1.98892887500461E-047</v>
      </c>
      <c r="CI88" s="1" t="n">
        <f aca="false">EXP($BU88/CE88)*CF88</f>
        <v>0</v>
      </c>
      <c r="CJ88" s="1" t="n">
        <f aca="false">EXP($BU88/CE88)*(-1)^$BU88*CF88</f>
        <v>0</v>
      </c>
      <c r="CK88" s="1" t="n">
        <f aca="false">(-1)^CE88*CF88</f>
        <v>0</v>
      </c>
      <c r="CM88" s="1" t="n">
        <f aca="false">$V88</f>
        <v>78</v>
      </c>
      <c r="CN88" s="1" t="n">
        <f aca="false">BZ88</f>
        <v>0</v>
      </c>
      <c r="CO88" s="1" t="n">
        <f aca="false">CO$6*(1+CO$5*(-1)^$BU88)*EXP(-$BU88/CO$4)</f>
        <v>4.45974088373373E-024</v>
      </c>
      <c r="CP88" s="1" t="n">
        <f aca="false">(CN88-CO88)^2</f>
        <v>1.98892887500461E-047</v>
      </c>
      <c r="CQ88" s="1" t="n">
        <f aca="false">EXP($BU88/CM88)*CN88</f>
        <v>0</v>
      </c>
      <c r="CR88" s="1" t="n">
        <f aca="false">EXP($BU88/CM88)*(-1)^$BU88*CN88</f>
        <v>0</v>
      </c>
      <c r="CS88" s="1" t="n">
        <f aca="false">(-1)^CM88*CN88</f>
        <v>0</v>
      </c>
      <c r="CU88" s="1" t="n">
        <f aca="false">$V88</f>
        <v>78</v>
      </c>
      <c r="CV88" s="1" t="n">
        <f aca="false">CB88</f>
        <v>0</v>
      </c>
      <c r="CW88" s="1" t="n">
        <f aca="false">CW$6*(1+CW$5*(-1)^$BU88)*EXP(-$BU88/CW$4)</f>
        <v>2.81686632212049E-010</v>
      </c>
      <c r="CX88" s="1" t="n">
        <f aca="false">(CV88-CW88)^2</f>
        <v>7.93473587669662E-020</v>
      </c>
      <c r="CY88" s="1" t="n">
        <f aca="false">EXP($BU88/CU88)*CV88</f>
        <v>0</v>
      </c>
      <c r="CZ88" s="1" t="n">
        <f aca="false">EXP($BU88/CU88)*(-1)^$BU88*CV88</f>
        <v>0</v>
      </c>
      <c r="DA88" s="1" t="n">
        <f aca="false">(-1)^CU88*CV88</f>
        <v>0</v>
      </c>
      <c r="DB88" s="1" t="n">
        <v>0</v>
      </c>
    </row>
    <row r="89" customFormat="false" ht="16" hidden="false" customHeight="false" outlineLevel="0" collapsed="false">
      <c r="C89" s="1" t="n">
        <f aca="false">B89-A89</f>
        <v>0</v>
      </c>
      <c r="V89" s="1" t="n">
        <v>79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K89" s="1" t="n">
        <f aca="false">V89</f>
        <v>79</v>
      </c>
      <c r="AN89" s="1" t="n">
        <f aca="false">MAX(AN88-W89/W$9*100,0)</f>
        <v>0</v>
      </c>
      <c r="AO89" s="1" t="n">
        <f aca="false">MAX(AO88-X89/X$9*100,0)</f>
        <v>0</v>
      </c>
      <c r="AP89" s="1" t="n">
        <f aca="false">MAX(AP88-Z89/Z$9*100,0)</f>
        <v>0</v>
      </c>
      <c r="AQ89" s="1" t="n">
        <f aca="false">MAX(AQ88-AA89/AA$9*100,0)</f>
        <v>0</v>
      </c>
      <c r="AR89" s="1" t="n">
        <f aca="false">MAX(AR88-AC89/AC$9*100,0)</f>
        <v>0</v>
      </c>
      <c r="AS89" s="1" t="n">
        <f aca="false">MAX(AS88-AD89/AD$9*100,0)</f>
        <v>0</v>
      </c>
      <c r="AT89" s="1" t="n">
        <f aca="false">MAX(AT88-AF89/AF$9*100,0)</f>
        <v>0</v>
      </c>
      <c r="AU89" s="1" t="n">
        <f aca="false">MAX(AU88-AG89/AG$9*100,0)</f>
        <v>0</v>
      </c>
      <c r="AY89" s="1" t="n">
        <f aca="false">$V89</f>
        <v>79</v>
      </c>
      <c r="AZ89" s="1" t="n">
        <f aca="false">AO89</f>
        <v>0</v>
      </c>
      <c r="BA89" s="1" t="n">
        <f aca="false">BA$7*EXP(-AY89/BA$8)</f>
        <v>6.94723954934328E-034</v>
      </c>
      <c r="BB89" s="1" t="n">
        <f aca="false">(AZ89-BA89)^2</f>
        <v>4.82641373559594E-067</v>
      </c>
      <c r="BD89" s="1" t="n">
        <f aca="false">$V89</f>
        <v>79</v>
      </c>
      <c r="BE89" s="1" t="n">
        <f aca="false">AT89</f>
        <v>0</v>
      </c>
      <c r="BF89" s="1" t="n">
        <f aca="false">BF$7*EXP(-BD89/BF$8)</f>
        <v>8.39053458194156E-018</v>
      </c>
      <c r="BG89" s="1" t="n">
        <f aca="false">(BE89-BF89)^2</f>
        <v>7.04010705707572E-035</v>
      </c>
      <c r="BI89" s="1" t="n">
        <f aca="false">$V89</f>
        <v>79</v>
      </c>
      <c r="BJ89" s="1" t="n">
        <f aca="false">AN89</f>
        <v>0</v>
      </c>
      <c r="BK89" s="1" t="n">
        <f aca="false">BK$7*EXP(-BI89/BK$8)</f>
        <v>2.61872021791605E-039</v>
      </c>
      <c r="BL89" s="1" t="n">
        <f aca="false">(BJ89-BK89)^2</f>
        <v>6.85769557972229E-078</v>
      </c>
      <c r="BN89" s="1" t="n">
        <f aca="false">$V89</f>
        <v>79</v>
      </c>
      <c r="BO89" s="1" t="n">
        <f aca="false">AR89</f>
        <v>0</v>
      </c>
      <c r="BP89" s="1" t="n">
        <f aca="false">BP$7*EXP(-BN89/BP$8)</f>
        <v>4.86046807568264E-036</v>
      </c>
      <c r="BQ89" s="1" t="n">
        <f aca="false">(BO89-BP89)^2</f>
        <v>2.36241499147301E-071</v>
      </c>
      <c r="BU89" s="1" t="n">
        <f aca="false">V89</f>
        <v>79</v>
      </c>
      <c r="BV89" s="1" t="n">
        <f aca="false">W89/W$9*100</f>
        <v>0</v>
      </c>
      <c r="BW89" s="1" t="n">
        <f aca="false">X89/X$9*100</f>
        <v>0</v>
      </c>
      <c r="BX89" s="1" t="n">
        <f aca="false">Z89/Z$9*100</f>
        <v>0</v>
      </c>
      <c r="BY89" s="1" t="n">
        <f aca="false">AA89/AA$9*100</f>
        <v>0</v>
      </c>
      <c r="BZ89" s="1" t="n">
        <f aca="false">AC89/AC$9*100</f>
        <v>0</v>
      </c>
      <c r="CA89" s="1" t="n">
        <f aca="false">AD89/AD$9*100</f>
        <v>0</v>
      </c>
      <c r="CB89" s="1" t="n">
        <f aca="false">AF89/AF$9*100</f>
        <v>0</v>
      </c>
      <c r="CC89" s="1" t="n">
        <f aca="false">AG89/AG$9*100</f>
        <v>0</v>
      </c>
      <c r="CE89" s="1" t="n">
        <f aca="false">$V89</f>
        <v>79</v>
      </c>
      <c r="CF89" s="1" t="n">
        <f aca="false">BV89</f>
        <v>0</v>
      </c>
      <c r="CG89" s="1" t="n">
        <f aca="false">CG$6*(1+CG$5*(-1)^$BU89)*EXP(-$BU89/CG$4)</f>
        <v>7.15620153781954E-025</v>
      </c>
      <c r="CH89" s="1" t="n">
        <f aca="false">(CF89-CG89)^2</f>
        <v>5.12112204498908E-049</v>
      </c>
      <c r="CI89" s="1" t="n">
        <f aca="false">EXP($BU89/CE89)*CF89</f>
        <v>0</v>
      </c>
      <c r="CJ89" s="1" t="n">
        <f aca="false">EXP($BU89/CE89)*(-1)^$BU89*CF89</f>
        <v>-0</v>
      </c>
      <c r="CK89" s="1" t="n">
        <f aca="false">(-1)^CE89*CF89</f>
        <v>-0</v>
      </c>
      <c r="CM89" s="1" t="n">
        <f aca="false">$V89</f>
        <v>79</v>
      </c>
      <c r="CN89" s="1" t="n">
        <f aca="false">BZ89</f>
        <v>0</v>
      </c>
      <c r="CO89" s="1" t="n">
        <f aca="false">CO$6*(1+CO$5*(-1)^$BU89)*EXP(-$BU89/CO$4)</f>
        <v>7.15620153781954E-025</v>
      </c>
      <c r="CP89" s="1" t="n">
        <f aca="false">(CN89-CO89)^2</f>
        <v>5.12112204498908E-049</v>
      </c>
      <c r="CQ89" s="1" t="n">
        <f aca="false">EXP($BU89/CM89)*CN89</f>
        <v>0</v>
      </c>
      <c r="CR89" s="1" t="n">
        <f aca="false">EXP($BU89/CM89)*(-1)^$BU89*CN89</f>
        <v>-0</v>
      </c>
      <c r="CS89" s="1" t="n">
        <f aca="false">(-1)^CM89*CN89</f>
        <v>-0</v>
      </c>
      <c r="CU89" s="1" t="n">
        <f aca="false">$V89</f>
        <v>79</v>
      </c>
      <c r="CV89" s="1" t="n">
        <f aca="false">CB89</f>
        <v>0</v>
      </c>
      <c r="CW89" s="1" t="n">
        <f aca="false">CW$6*(1+CW$5*(-1)^$BU89)*EXP(-$BU89/CW$4)</f>
        <v>1.03976786659099E-010</v>
      </c>
      <c r="CX89" s="1" t="n">
        <f aca="false">(CV89-CW89)^2</f>
        <v>1.08111721639518E-020</v>
      </c>
      <c r="CY89" s="1" t="n">
        <f aca="false">EXP($BU89/CU89)*CV89</f>
        <v>0</v>
      </c>
      <c r="CZ89" s="1" t="n">
        <f aca="false">EXP($BU89/CU89)*(-1)^$BU89*CV89</f>
        <v>-0</v>
      </c>
      <c r="DA89" s="1" t="n">
        <f aca="false">(-1)^CU89*CV89</f>
        <v>-0</v>
      </c>
      <c r="DB89" s="1" t="n">
        <v>0</v>
      </c>
    </row>
    <row r="90" customFormat="false" ht="16" hidden="false" customHeight="false" outlineLevel="0" collapsed="false">
      <c r="C90" s="1" t="n">
        <f aca="false">B90-A90</f>
        <v>0</v>
      </c>
      <c r="V90" s="1" t="n">
        <v>80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K90" s="1" t="n">
        <f aca="false">V90</f>
        <v>80</v>
      </c>
      <c r="AN90" s="1" t="n">
        <f aca="false">MAX(AN89-W90/W$9*100,0)</f>
        <v>0</v>
      </c>
      <c r="AO90" s="1" t="n">
        <f aca="false">MAX(AO89-X90/X$9*100,0)</f>
        <v>0</v>
      </c>
      <c r="AP90" s="1" t="n">
        <f aca="false">MAX(AP89-Z90/Z$9*100,0)</f>
        <v>0</v>
      </c>
      <c r="AQ90" s="1" t="n">
        <f aca="false">MAX(AQ89-AA90/AA$9*100,0)</f>
        <v>0</v>
      </c>
      <c r="AR90" s="1" t="n">
        <f aca="false">MAX(AR89-AC90/AC$9*100,0)</f>
        <v>0</v>
      </c>
      <c r="AS90" s="1" t="n">
        <f aca="false">MAX(AS89-AD90/AD$9*100,0)</f>
        <v>0</v>
      </c>
      <c r="AT90" s="1" t="n">
        <f aca="false">MAX(AT89-AF90/AF$9*100,0)</f>
        <v>0</v>
      </c>
      <c r="AU90" s="1" t="n">
        <f aca="false">MAX(AU89-AG90/AG$9*100,0)</f>
        <v>0</v>
      </c>
      <c r="AY90" s="1" t="n">
        <f aca="false">$V90</f>
        <v>80</v>
      </c>
      <c r="AZ90" s="1" t="n">
        <f aca="false">AO90</f>
        <v>0</v>
      </c>
      <c r="BA90" s="1" t="n">
        <f aca="false">BA$7*EXP(-AY90/BA$8)</f>
        <v>2.47791271466541E-034</v>
      </c>
      <c r="BB90" s="1" t="n">
        <f aca="false">(AZ90-BA90)^2</f>
        <v>6.1400514215005E-068</v>
      </c>
      <c r="BD90" s="1" t="n">
        <f aca="false">$V90</f>
        <v>80</v>
      </c>
      <c r="BE90" s="1" t="n">
        <f aca="false">AT90</f>
        <v>0</v>
      </c>
      <c r="BF90" s="1" t="n">
        <f aca="false">BF$7*EXP(-BD90/BF$8)</f>
        <v>4.7841409652793E-018</v>
      </c>
      <c r="BG90" s="1" t="n">
        <f aca="false">(BE90-BF90)^2</f>
        <v>2.28880047756636E-035</v>
      </c>
      <c r="BI90" s="1" t="n">
        <f aca="false">$V90</f>
        <v>80</v>
      </c>
      <c r="BJ90" s="1" t="n">
        <f aca="false">AN90</f>
        <v>0</v>
      </c>
      <c r="BK90" s="1" t="n">
        <f aca="false">BK$7*EXP(-BI90/BK$8)</f>
        <v>7.96291098397353E-040</v>
      </c>
      <c r="BL90" s="1" t="n">
        <f aca="false">(BJ90-BK90)^2</f>
        <v>6.34079513386863E-079</v>
      </c>
      <c r="BN90" s="1" t="n">
        <f aca="false">$V90</f>
        <v>80</v>
      </c>
      <c r="BO90" s="1" t="n">
        <f aca="false">AR90</f>
        <v>0</v>
      </c>
      <c r="BP90" s="1" t="n">
        <f aca="false">BP$7*EXP(-BN90/BP$8)</f>
        <v>1.6196881751516E-036</v>
      </c>
      <c r="BQ90" s="1" t="n">
        <f aca="false">(BO90-BP90)^2</f>
        <v>2.62338978472592E-072</v>
      </c>
      <c r="BU90" s="1" t="n">
        <f aca="false">V90</f>
        <v>80</v>
      </c>
      <c r="BV90" s="1" t="n">
        <f aca="false">W90/W$9*100</f>
        <v>0</v>
      </c>
      <c r="BW90" s="1" t="n">
        <f aca="false">X90/X$9*100</f>
        <v>0</v>
      </c>
      <c r="BX90" s="1" t="n">
        <f aca="false">Z90/Z$9*100</f>
        <v>0</v>
      </c>
      <c r="BY90" s="1" t="n">
        <f aca="false">AA90/AA$9*100</f>
        <v>0</v>
      </c>
      <c r="BZ90" s="1" t="n">
        <f aca="false">AC90/AC$9*100</f>
        <v>0</v>
      </c>
      <c r="CA90" s="1" t="n">
        <f aca="false">AD90/AD$9*100</f>
        <v>0</v>
      </c>
      <c r="CB90" s="1" t="n">
        <f aca="false">AF90/AF$9*100</f>
        <v>0</v>
      </c>
      <c r="CC90" s="1" t="n">
        <f aca="false">AG90/AG$9*100</f>
        <v>0</v>
      </c>
      <c r="CE90" s="1" t="n">
        <f aca="false">$V90</f>
        <v>80</v>
      </c>
      <c r="CF90" s="1" t="n">
        <f aca="false">BV90</f>
        <v>0</v>
      </c>
      <c r="CG90" s="1" t="n">
        <f aca="false">CG$6*(1+CG$5*(-1)^$BU90)*EXP(-$BU90/CG$4)</f>
        <v>9.80139031380001E-025</v>
      </c>
      <c r="CH90" s="1" t="n">
        <f aca="false">(CF90-CG90)^2</f>
        <v>9.60672520834527E-049</v>
      </c>
      <c r="CI90" s="1" t="n">
        <f aca="false">EXP($BU90/CE90)*CF90</f>
        <v>0</v>
      </c>
      <c r="CJ90" s="1" t="n">
        <f aca="false">EXP($BU90/CE90)*(-1)^$BU90*CF90</f>
        <v>0</v>
      </c>
      <c r="CK90" s="1" t="n">
        <f aca="false">(-1)^CE90*CF90</f>
        <v>0</v>
      </c>
      <c r="CM90" s="1" t="n">
        <f aca="false">$V90</f>
        <v>80</v>
      </c>
      <c r="CN90" s="1" t="n">
        <f aca="false">BZ90</f>
        <v>0</v>
      </c>
      <c r="CO90" s="1" t="n">
        <f aca="false">CO$6*(1+CO$5*(-1)^$BU90)*EXP(-$BU90/CO$4)</f>
        <v>9.80139031380001E-025</v>
      </c>
      <c r="CP90" s="1" t="n">
        <f aca="false">(CN90-CO90)^2</f>
        <v>9.60672520834527E-049</v>
      </c>
      <c r="CQ90" s="1" t="n">
        <f aca="false">EXP($BU90/CM90)*CN90</f>
        <v>0</v>
      </c>
      <c r="CR90" s="1" t="n">
        <f aca="false">EXP($BU90/CM90)*(-1)^$BU90*CN90</f>
        <v>0</v>
      </c>
      <c r="CS90" s="1" t="n">
        <f aca="false">(-1)^CM90*CN90</f>
        <v>0</v>
      </c>
      <c r="CU90" s="1" t="n">
        <f aca="false">$V90</f>
        <v>80</v>
      </c>
      <c r="CV90" s="1" t="n">
        <f aca="false">CB90</f>
        <v>0</v>
      </c>
      <c r="CW90" s="1" t="n">
        <f aca="false">CW$6*(1+CW$5*(-1)^$BU90)*EXP(-$BU90/CW$4)</f>
        <v>1.44622739180303E-010</v>
      </c>
      <c r="CX90" s="1" t="n">
        <f aca="false">(CV90-CW90)^2</f>
        <v>2.0915736688014E-020</v>
      </c>
      <c r="CY90" s="1" t="n">
        <f aca="false">EXP($BU90/CU90)*CV90</f>
        <v>0</v>
      </c>
      <c r="CZ90" s="1" t="n">
        <f aca="false">EXP($BU90/CU90)*(-1)^$BU90*CV90</f>
        <v>0</v>
      </c>
      <c r="DA90" s="1" t="n">
        <f aca="false">(-1)^CU90*CV90</f>
        <v>0</v>
      </c>
      <c r="DB90" s="1" t="n">
        <v>0</v>
      </c>
    </row>
    <row r="91" customFormat="false" ht="16" hidden="false" customHeight="false" outlineLevel="0" collapsed="false">
      <c r="C91" s="1" t="n">
        <f aca="false">B91-A91</f>
        <v>0</v>
      </c>
      <c r="V91" s="1" t="n">
        <v>81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K91" s="1" t="n">
        <f aca="false">V91</f>
        <v>81</v>
      </c>
      <c r="AN91" s="1" t="n">
        <f aca="false">MAX(AN90-W91/W$9*100,0)</f>
        <v>0</v>
      </c>
      <c r="AO91" s="1" t="n">
        <f aca="false">MAX(AO90-X91/X$9*100,0)</f>
        <v>0</v>
      </c>
      <c r="AP91" s="1" t="n">
        <f aca="false">MAX(AP90-Z91/Z$9*100,0)</f>
        <v>0</v>
      </c>
      <c r="AQ91" s="1" t="n">
        <f aca="false">MAX(AQ90-AA91/AA$9*100,0)</f>
        <v>0</v>
      </c>
      <c r="AR91" s="1" t="n">
        <f aca="false">MAX(AR90-AC91/AC$9*100,0)</f>
        <v>0</v>
      </c>
      <c r="AS91" s="1" t="n">
        <f aca="false">MAX(AS90-AD91/AD$9*100,0)</f>
        <v>0</v>
      </c>
      <c r="AT91" s="1" t="n">
        <f aca="false">MAX(AT90-AF91/AF$9*100,0)</f>
        <v>0</v>
      </c>
      <c r="AU91" s="1" t="n">
        <f aca="false">MAX(AU90-AG91/AG$9*100,0)</f>
        <v>0</v>
      </c>
      <c r="AY91" s="1" t="n">
        <f aca="false">$V91</f>
        <v>81</v>
      </c>
      <c r="AZ91" s="1" t="n">
        <f aca="false">AO91</f>
        <v>0</v>
      </c>
      <c r="BA91" s="1" t="n">
        <f aca="false">BA$7*EXP(-AY91/BA$8)</f>
        <v>8.83811674822833E-035</v>
      </c>
      <c r="BB91" s="1" t="n">
        <f aca="false">(AZ91-BA91)^2</f>
        <v>7.81123076553141E-069</v>
      </c>
      <c r="BD91" s="1" t="n">
        <f aca="false">$V91</f>
        <v>81</v>
      </c>
      <c r="BE91" s="1" t="n">
        <f aca="false">AT91</f>
        <v>0</v>
      </c>
      <c r="BF91" s="1" t="n">
        <f aca="false">BF$7*EXP(-BD91/BF$8)</f>
        <v>2.72783629602383E-018</v>
      </c>
      <c r="BG91" s="1" t="n">
        <f aca="false">(BE91-BF91)^2</f>
        <v>7.44109085790501E-036</v>
      </c>
      <c r="BI91" s="1" t="n">
        <f aca="false">$V91</f>
        <v>81</v>
      </c>
      <c r="BJ91" s="1" t="n">
        <f aca="false">AN91</f>
        <v>0</v>
      </c>
      <c r="BK91" s="1" t="n">
        <f aca="false">BK$7*EXP(-BI91/BK$8)</f>
        <v>2.42133355464547E-040</v>
      </c>
      <c r="BL91" s="1" t="n">
        <f aca="false">(BJ91-BK91)^2</f>
        <v>5.86285618285207E-080</v>
      </c>
      <c r="BN91" s="1" t="n">
        <f aca="false">$V91</f>
        <v>81</v>
      </c>
      <c r="BO91" s="1" t="n">
        <f aca="false">AR91</f>
        <v>0</v>
      </c>
      <c r="BP91" s="1" t="n">
        <f aca="false">BP$7*EXP(-BN91/BP$8)</f>
        <v>5.3974015339202E-037</v>
      </c>
      <c r="BQ91" s="1" t="n">
        <f aca="false">(BO91-BP91)^2</f>
        <v>2.91319433183641E-073</v>
      </c>
      <c r="BU91" s="1" t="n">
        <f aca="false">V91</f>
        <v>81</v>
      </c>
      <c r="BV91" s="1" t="n">
        <f aca="false">W91/W$9*100</f>
        <v>0</v>
      </c>
      <c r="BW91" s="1" t="n">
        <f aca="false">X91/X$9*100</f>
        <v>0</v>
      </c>
      <c r="BX91" s="1" t="n">
        <f aca="false">Z91/Z$9*100</f>
        <v>0</v>
      </c>
      <c r="BY91" s="1" t="n">
        <f aca="false">AA91/AA$9*100</f>
        <v>0</v>
      </c>
      <c r="BZ91" s="1" t="n">
        <f aca="false">AC91/AC$9*100</f>
        <v>0</v>
      </c>
      <c r="CA91" s="1" t="n">
        <f aca="false">AD91/AD$9*100</f>
        <v>0</v>
      </c>
      <c r="CB91" s="1" t="n">
        <f aca="false">AF91/AF$9*100</f>
        <v>0</v>
      </c>
      <c r="CC91" s="1" t="n">
        <f aca="false">AG91/AG$9*100</f>
        <v>0</v>
      </c>
      <c r="CE91" s="1" t="n">
        <f aca="false">$V91</f>
        <v>81</v>
      </c>
      <c r="CF91" s="1" t="n">
        <f aca="false">BV91</f>
        <v>0</v>
      </c>
      <c r="CG91" s="1" t="n">
        <f aca="false">CG$6*(1+CG$5*(-1)^$BU91)*EXP(-$BU91/CG$4)</f>
        <v>1.57275335641614E-025</v>
      </c>
      <c r="CH91" s="1" t="n">
        <f aca="false">(CF91-CG91)^2</f>
        <v>2.47355312011823E-050</v>
      </c>
      <c r="CI91" s="1" t="n">
        <f aca="false">EXP($BU91/CE91)*CF91</f>
        <v>0</v>
      </c>
      <c r="CJ91" s="1" t="n">
        <f aca="false">EXP($BU91/CE91)*(-1)^$BU91*CF91</f>
        <v>-0</v>
      </c>
      <c r="CK91" s="1" t="n">
        <f aca="false">(-1)^CE91*CF91</f>
        <v>-0</v>
      </c>
      <c r="CM91" s="1" t="n">
        <f aca="false">$V91</f>
        <v>81</v>
      </c>
      <c r="CN91" s="1" t="n">
        <f aca="false">BZ91</f>
        <v>0</v>
      </c>
      <c r="CO91" s="1" t="n">
        <f aca="false">CO$6*(1+CO$5*(-1)^$BU91)*EXP(-$BU91/CO$4)</f>
        <v>1.57275335641614E-025</v>
      </c>
      <c r="CP91" s="1" t="n">
        <f aca="false">(CN91-CO91)^2</f>
        <v>2.47355312011823E-050</v>
      </c>
      <c r="CQ91" s="1" t="n">
        <f aca="false">EXP($BU91/CM91)*CN91</f>
        <v>0</v>
      </c>
      <c r="CR91" s="1" t="n">
        <f aca="false">EXP($BU91/CM91)*(-1)^$BU91*CN91</f>
        <v>-0</v>
      </c>
      <c r="CS91" s="1" t="n">
        <f aca="false">(-1)^CM91*CN91</f>
        <v>-0</v>
      </c>
      <c r="CU91" s="1" t="n">
        <f aca="false">$V91</f>
        <v>81</v>
      </c>
      <c r="CV91" s="1" t="n">
        <f aca="false">CB91</f>
        <v>0</v>
      </c>
      <c r="CW91" s="1" t="n">
        <f aca="false">CW$6*(1+CW$5*(-1)^$BU91)*EXP(-$BU91/CW$4)</f>
        <v>5.33834622527812E-011</v>
      </c>
      <c r="CX91" s="1" t="n">
        <f aca="false">(CV91-CW91)^2</f>
        <v>2.84979404209412E-021</v>
      </c>
      <c r="CY91" s="1" t="n">
        <f aca="false">EXP($BU91/CU91)*CV91</f>
        <v>0</v>
      </c>
      <c r="CZ91" s="1" t="n">
        <f aca="false">EXP($BU91/CU91)*(-1)^$BU91*CV91</f>
        <v>-0</v>
      </c>
      <c r="DA91" s="1" t="n">
        <f aca="false">(-1)^CU91*CV91</f>
        <v>-0</v>
      </c>
      <c r="DB91" s="1" t="n">
        <v>0</v>
      </c>
    </row>
    <row r="92" customFormat="false" ht="16" hidden="false" customHeight="false" outlineLevel="0" collapsed="false">
      <c r="C92" s="1" t="n">
        <f aca="false">B92-A92</f>
        <v>0</v>
      </c>
      <c r="V92" s="1" t="n">
        <v>82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K92" s="1" t="n">
        <f aca="false">V92</f>
        <v>82</v>
      </c>
      <c r="AN92" s="1" t="n">
        <f aca="false">MAX(AN91-W92/W$9*100,0)</f>
        <v>0</v>
      </c>
      <c r="AO92" s="1" t="n">
        <f aca="false">MAX(AO91-X92/X$9*100,0)</f>
        <v>0</v>
      </c>
      <c r="AP92" s="1" t="n">
        <f aca="false">MAX(AP91-Z92/Z$9*100,0)</f>
        <v>0</v>
      </c>
      <c r="AQ92" s="1" t="n">
        <f aca="false">MAX(AQ91-AA92/AA$9*100,0)</f>
        <v>0</v>
      </c>
      <c r="AR92" s="1" t="n">
        <f aca="false">MAX(AR91-AC92/AC$9*100,0)</f>
        <v>0</v>
      </c>
      <c r="AS92" s="1" t="n">
        <f aca="false">MAX(AS91-AD92/AD$9*100,0)</f>
        <v>0</v>
      </c>
      <c r="AT92" s="1" t="n">
        <f aca="false">MAX(AT91-AF92/AF$9*100,0)</f>
        <v>0</v>
      </c>
      <c r="AU92" s="1" t="n">
        <f aca="false">MAX(AU91-AG92/AG$9*100,0)</f>
        <v>0</v>
      </c>
      <c r="AY92" s="1" t="n">
        <f aca="false">$V92</f>
        <v>82</v>
      </c>
      <c r="AZ92" s="1" t="n">
        <f aca="false">AO92</f>
        <v>0</v>
      </c>
      <c r="BA92" s="1" t="n">
        <f aca="false">BA$7*EXP(-AY92/BA$8)</f>
        <v>3.15234298581262E-035</v>
      </c>
      <c r="BB92" s="1" t="n">
        <f aca="false">(AZ92-BA92)^2</f>
        <v>9.93726630020202E-070</v>
      </c>
      <c r="BD92" s="1" t="n">
        <f aca="false">$V92</f>
        <v>82</v>
      </c>
      <c r="BE92" s="1" t="n">
        <f aca="false">AT92</f>
        <v>0</v>
      </c>
      <c r="BF92" s="1" t="n">
        <f aca="false">BF$7*EXP(-BD92/BF$8)</f>
        <v>1.55536613822805E-018</v>
      </c>
      <c r="BG92" s="1" t="n">
        <f aca="false">(BE92-BF92)^2</f>
        <v>2.41916382394644E-036</v>
      </c>
      <c r="BI92" s="1" t="n">
        <f aca="false">$V92</f>
        <v>82</v>
      </c>
      <c r="BJ92" s="1" t="n">
        <f aca="false">AN92</f>
        <v>0</v>
      </c>
      <c r="BK92" s="1" t="n">
        <f aca="false">BK$7*EXP(-BI92/BK$8)</f>
        <v>7.36270466246817E-041</v>
      </c>
      <c r="BL92" s="1" t="n">
        <f aca="false">(BJ92-BK92)^2</f>
        <v>5.42094199467305E-081</v>
      </c>
      <c r="BN92" s="1" t="n">
        <f aca="false">$V92</f>
        <v>82</v>
      </c>
      <c r="BO92" s="1" t="n">
        <f aca="false">AR92</f>
        <v>0</v>
      </c>
      <c r="BP92" s="1" t="n">
        <f aca="false">BP$7*EXP(-BN92/BP$8)</f>
        <v>1.79861431140209E-037</v>
      </c>
      <c r="BQ92" s="1" t="n">
        <f aca="false">(BO92-BP92)^2</f>
        <v>3.23501344118041E-074</v>
      </c>
      <c r="BU92" s="1" t="n">
        <f aca="false">V92</f>
        <v>82</v>
      </c>
      <c r="BV92" s="1" t="n">
        <f aca="false">W92/W$9*100</f>
        <v>0</v>
      </c>
      <c r="BW92" s="1" t="n">
        <f aca="false">X92/X$9*100</f>
        <v>0</v>
      </c>
      <c r="BX92" s="1" t="n">
        <f aca="false">Z92/Z$9*100</f>
        <v>0</v>
      </c>
      <c r="BY92" s="1" t="n">
        <f aca="false">AA92/AA$9*100</f>
        <v>0</v>
      </c>
      <c r="BZ92" s="1" t="n">
        <f aca="false">AC92/AC$9*100</f>
        <v>0</v>
      </c>
      <c r="CA92" s="1" t="n">
        <f aca="false">AD92/AD$9*100</f>
        <v>0</v>
      </c>
      <c r="CB92" s="1" t="n">
        <f aca="false">AF92/AF$9*100</f>
        <v>0</v>
      </c>
      <c r="CC92" s="1" t="n">
        <f aca="false">AG92/AG$9*100</f>
        <v>0</v>
      </c>
      <c r="CE92" s="1" t="n">
        <f aca="false">$V92</f>
        <v>82</v>
      </c>
      <c r="CF92" s="1" t="n">
        <f aca="false">BV92</f>
        <v>0</v>
      </c>
      <c r="CG92" s="1" t="n">
        <f aca="false">CG$6*(1+CG$5*(-1)^$BU92)*EXP(-$BU92/CG$4)</f>
        <v>2.15409941043535E-025</v>
      </c>
      <c r="CH92" s="1" t="n">
        <f aca="false">(CF92-CG92)^2</f>
        <v>4.64014427003792E-050</v>
      </c>
      <c r="CI92" s="1" t="n">
        <f aca="false">EXP($BU92/CE92)*CF92</f>
        <v>0</v>
      </c>
      <c r="CJ92" s="1" t="n">
        <f aca="false">EXP($BU92/CE92)*(-1)^$BU92*CF92</f>
        <v>0</v>
      </c>
      <c r="CK92" s="1" t="n">
        <f aca="false">(-1)^CE92*CF92</f>
        <v>0</v>
      </c>
      <c r="CM92" s="1" t="n">
        <f aca="false">$V92</f>
        <v>82</v>
      </c>
      <c r="CN92" s="1" t="n">
        <f aca="false">BZ92</f>
        <v>0</v>
      </c>
      <c r="CO92" s="1" t="n">
        <f aca="false">CO$6*(1+CO$5*(-1)^$BU92)*EXP(-$BU92/CO$4)</f>
        <v>2.15409941043535E-025</v>
      </c>
      <c r="CP92" s="1" t="n">
        <f aca="false">(CN92-CO92)^2</f>
        <v>4.64014427003792E-050</v>
      </c>
      <c r="CQ92" s="1" t="n">
        <f aca="false">EXP($BU92/CM92)*CN92</f>
        <v>0</v>
      </c>
      <c r="CR92" s="1" t="n">
        <f aca="false">EXP($BU92/CM92)*(-1)^$BU92*CN92</f>
        <v>0</v>
      </c>
      <c r="CS92" s="1" t="n">
        <f aca="false">(-1)^CM92*CN92</f>
        <v>0</v>
      </c>
      <c r="CU92" s="1" t="n">
        <f aca="false">$V92</f>
        <v>82</v>
      </c>
      <c r="CV92" s="1" t="n">
        <f aca="false">CB92</f>
        <v>0</v>
      </c>
      <c r="CW92" s="1" t="n">
        <f aca="false">CW$6*(1+CW$5*(-1)^$BU92)*EXP(-$BU92/CW$4)</f>
        <v>7.42517900965534E-011</v>
      </c>
      <c r="CX92" s="1" t="n">
        <f aca="false">(CV92-CW92)^2</f>
        <v>5.51332833254262E-021</v>
      </c>
      <c r="CY92" s="1" t="n">
        <f aca="false">EXP($BU92/CU92)*CV92</f>
        <v>0</v>
      </c>
      <c r="CZ92" s="1" t="n">
        <f aca="false">EXP($BU92/CU92)*(-1)^$BU92*CV92</f>
        <v>0</v>
      </c>
      <c r="DA92" s="1" t="n">
        <f aca="false">(-1)^CU92*CV92</f>
        <v>0</v>
      </c>
      <c r="DB92" s="1" t="n">
        <v>0</v>
      </c>
    </row>
    <row r="93" customFormat="false" ht="16" hidden="false" customHeight="false" outlineLevel="0" collapsed="false">
      <c r="C93" s="1" t="n">
        <f aca="false">B93-A93</f>
        <v>0</v>
      </c>
      <c r="V93" s="1" t="n">
        <v>83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K93" s="1" t="n">
        <f aca="false">V93</f>
        <v>83</v>
      </c>
      <c r="AN93" s="1" t="n">
        <f aca="false">MAX(AN92-W93/W$9*100,0)</f>
        <v>0</v>
      </c>
      <c r="AO93" s="1" t="n">
        <f aca="false">MAX(AO92-X93/X$9*100,0)</f>
        <v>0</v>
      </c>
      <c r="AP93" s="1" t="n">
        <f aca="false">MAX(AP92-Z93/Z$9*100,0)</f>
        <v>0</v>
      </c>
      <c r="AQ93" s="1" t="n">
        <f aca="false">MAX(AQ92-AA93/AA$9*100,0)</f>
        <v>0</v>
      </c>
      <c r="AR93" s="1" t="n">
        <f aca="false">MAX(AR92-AC93/AC$9*100,0)</f>
        <v>0</v>
      </c>
      <c r="AS93" s="1" t="n">
        <f aca="false">MAX(AS92-AD93/AD$9*100,0)</f>
        <v>0</v>
      </c>
      <c r="AT93" s="1" t="n">
        <f aca="false">MAX(AT92-AF93/AF$9*100,0)</f>
        <v>0</v>
      </c>
      <c r="AU93" s="1" t="n">
        <f aca="false">MAX(AU92-AG93/AG$9*100,0)</f>
        <v>0</v>
      </c>
      <c r="AY93" s="1" t="n">
        <f aca="false">$V93</f>
        <v>83</v>
      </c>
      <c r="AZ93" s="1" t="n">
        <f aca="false">AO93</f>
        <v>0</v>
      </c>
      <c r="BA93" s="1" t="n">
        <f aca="false">BA$7*EXP(-AY93/BA$8)</f>
        <v>1.12436467895651E-035</v>
      </c>
      <c r="BB93" s="1" t="n">
        <f aca="false">(AZ93-BA93)^2</f>
        <v>1.26419593128498E-070</v>
      </c>
      <c r="BD93" s="1" t="n">
        <f aca="false">$V93</f>
        <v>83</v>
      </c>
      <c r="BE93" s="1" t="n">
        <f aca="false">AT93</f>
        <v>0</v>
      </c>
      <c r="BF93" s="1" t="n">
        <f aca="false">BF$7*EXP(-BD93/BF$8)</f>
        <v>8.8684347644786E-019</v>
      </c>
      <c r="BG93" s="1" t="n">
        <f aca="false">(BE93-BF93)^2</f>
        <v>7.86491351718126E-037</v>
      </c>
      <c r="BI93" s="1" t="n">
        <f aca="false">$V93</f>
        <v>83</v>
      </c>
      <c r="BJ93" s="1" t="n">
        <f aca="false">AN93</f>
        <v>0</v>
      </c>
      <c r="BK93" s="1" t="n">
        <f aca="false">BK$7*EXP(-BI93/BK$8)</f>
        <v>2.23882495836752E-041</v>
      </c>
      <c r="BL93" s="1" t="n">
        <f aca="false">(BJ93-BK93)^2</f>
        <v>5.01233719420933E-082</v>
      </c>
      <c r="BN93" s="1" t="n">
        <f aca="false">$V93</f>
        <v>83</v>
      </c>
      <c r="BO93" s="1" t="n">
        <f aca="false">AR93</f>
        <v>0</v>
      </c>
      <c r="BP93" s="1" t="n">
        <f aca="false">BP$7*EXP(-BN93/BP$8)</f>
        <v>5.99364976062982E-038</v>
      </c>
      <c r="BQ93" s="1" t="n">
        <f aca="false">(BO93-BP93)^2</f>
        <v>3.59238374530979E-075</v>
      </c>
      <c r="BU93" s="1" t="n">
        <f aca="false">V93</f>
        <v>83</v>
      </c>
      <c r="BV93" s="1" t="n">
        <f aca="false">W93/W$9*100</f>
        <v>0</v>
      </c>
      <c r="BW93" s="1" t="n">
        <f aca="false">X93/X$9*100</f>
        <v>0</v>
      </c>
      <c r="BX93" s="1" t="n">
        <f aca="false">Z93/Z$9*100</f>
        <v>0</v>
      </c>
      <c r="BY93" s="1" t="n">
        <f aca="false">AA93/AA$9*100</f>
        <v>0</v>
      </c>
      <c r="BZ93" s="1" t="n">
        <f aca="false">AC93/AC$9*100</f>
        <v>0</v>
      </c>
      <c r="CA93" s="1" t="n">
        <f aca="false">AD93/AD$9*100</f>
        <v>0</v>
      </c>
      <c r="CB93" s="1" t="n">
        <f aca="false">AF93/AF$9*100</f>
        <v>0</v>
      </c>
      <c r="CC93" s="1" t="n">
        <f aca="false">AG93/AG$9*100</f>
        <v>0</v>
      </c>
      <c r="CE93" s="1" t="n">
        <f aca="false">$V93</f>
        <v>83</v>
      </c>
      <c r="CF93" s="1" t="n">
        <f aca="false">BV93</f>
        <v>0</v>
      </c>
      <c r="CG93" s="1" t="n">
        <f aca="false">CG$6*(1+CG$5*(-1)^$BU93)*EXP(-$BU93/CG$4)</f>
        <v>3.45651685051889E-026</v>
      </c>
      <c r="CH93" s="1" t="n">
        <f aca="false">(CF93-CG93)^2</f>
        <v>1.1947508737921E-051</v>
      </c>
      <c r="CI93" s="1" t="n">
        <f aca="false">EXP($BU93/CE93)*CF93</f>
        <v>0</v>
      </c>
      <c r="CJ93" s="1" t="n">
        <f aca="false">EXP($BU93/CE93)*(-1)^$BU93*CF93</f>
        <v>-0</v>
      </c>
      <c r="CK93" s="1" t="n">
        <f aca="false">(-1)^CE93*CF93</f>
        <v>-0</v>
      </c>
      <c r="CM93" s="1" t="n">
        <f aca="false">$V93</f>
        <v>83</v>
      </c>
      <c r="CN93" s="1" t="n">
        <f aca="false">BZ93</f>
        <v>0</v>
      </c>
      <c r="CO93" s="1" t="n">
        <f aca="false">CO$6*(1+CO$5*(-1)^$BU93)*EXP(-$BU93/CO$4)</f>
        <v>3.45651685051889E-026</v>
      </c>
      <c r="CP93" s="1" t="n">
        <f aca="false">(CN93-CO93)^2</f>
        <v>1.1947508737921E-051</v>
      </c>
      <c r="CQ93" s="1" t="n">
        <f aca="false">EXP($BU93/CM93)*CN93</f>
        <v>0</v>
      </c>
      <c r="CR93" s="1" t="n">
        <f aca="false">EXP($BU93/CM93)*(-1)^$BU93*CN93</f>
        <v>-0</v>
      </c>
      <c r="CS93" s="1" t="n">
        <f aca="false">(-1)^CM93*CN93</f>
        <v>-0</v>
      </c>
      <c r="CU93" s="1" t="n">
        <f aca="false">$V93</f>
        <v>83</v>
      </c>
      <c r="CV93" s="1" t="n">
        <f aca="false">CB93</f>
        <v>0</v>
      </c>
      <c r="CW93" s="1" t="n">
        <f aca="false">CW$6*(1+CW$5*(-1)^$BU93)*EXP(-$BU93/CW$4)</f>
        <v>2.7407983393808E-011</v>
      </c>
      <c r="CX93" s="1" t="n">
        <f aca="false">(CV93-CW93)^2</f>
        <v>7.51197553715255E-022</v>
      </c>
      <c r="CY93" s="1" t="n">
        <f aca="false">EXP($BU93/CU93)*CV93</f>
        <v>0</v>
      </c>
      <c r="CZ93" s="1" t="n">
        <f aca="false">EXP($BU93/CU93)*(-1)^$BU93*CV93</f>
        <v>-0</v>
      </c>
      <c r="DA93" s="1" t="n">
        <f aca="false">(-1)^CU93*CV93</f>
        <v>-0</v>
      </c>
      <c r="DB93" s="1" t="n">
        <v>0</v>
      </c>
    </row>
    <row r="94" customFormat="false" ht="16" hidden="false" customHeight="false" outlineLevel="0" collapsed="false">
      <c r="C94" s="1" t="n">
        <f aca="false">B94-A94</f>
        <v>0</v>
      </c>
      <c r="V94" s="1" t="n">
        <v>84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K94" s="1" t="n">
        <f aca="false">V94</f>
        <v>84</v>
      </c>
      <c r="AN94" s="1" t="n">
        <f aca="false">MAX(AN93-W94/W$9*100,0)</f>
        <v>0</v>
      </c>
      <c r="AO94" s="1" t="n">
        <f aca="false">MAX(AO93-X94/X$9*100,0)</f>
        <v>0</v>
      </c>
      <c r="AP94" s="1" t="n">
        <f aca="false">MAX(AP93-Z94/Z$9*100,0)</f>
        <v>0</v>
      </c>
      <c r="AQ94" s="1" t="n">
        <f aca="false">MAX(AQ93-AA94/AA$9*100,0)</f>
        <v>0</v>
      </c>
      <c r="AR94" s="1" t="n">
        <f aca="false">MAX(AR93-AC94/AC$9*100,0)</f>
        <v>0</v>
      </c>
      <c r="AS94" s="1" t="n">
        <f aca="false">MAX(AS93-AD94/AD$9*100,0)</f>
        <v>0</v>
      </c>
      <c r="AT94" s="1" t="n">
        <f aca="false">MAX(AT93-AF94/AF$9*100,0)</f>
        <v>0</v>
      </c>
      <c r="AU94" s="1" t="n">
        <f aca="false">MAX(AU93-AG94/AG$9*100,0)</f>
        <v>0</v>
      </c>
      <c r="AY94" s="1" t="n">
        <f aca="false">$V94</f>
        <v>84</v>
      </c>
      <c r="AZ94" s="1" t="n">
        <f aca="false">AO94</f>
        <v>0</v>
      </c>
      <c r="BA94" s="1" t="n">
        <f aca="false">BA$7*EXP(-AY94/BA$8)</f>
        <v>4.01033750760817E-036</v>
      </c>
      <c r="BB94" s="1" t="n">
        <f aca="false">(AZ94-BA94)^2</f>
        <v>1.60828069249289E-071</v>
      </c>
      <c r="BD94" s="1" t="n">
        <f aca="false">$V94</f>
        <v>84</v>
      </c>
      <c r="BE94" s="1" t="n">
        <f aca="false">AT94</f>
        <v>0</v>
      </c>
      <c r="BF94" s="1" t="n">
        <f aca="false">BF$7*EXP(-BD94/BF$8)</f>
        <v>5.05663156981249E-019</v>
      </c>
      <c r="BG94" s="1" t="n">
        <f aca="false">(BE94-BF94)^2</f>
        <v>2.55695228328243E-037</v>
      </c>
      <c r="BI94" s="1" t="n">
        <f aca="false">$V94</f>
        <v>84</v>
      </c>
      <c r="BJ94" s="1" t="n">
        <f aca="false">AN94</f>
        <v>0</v>
      </c>
      <c r="BK94" s="1" t="n">
        <f aca="false">BK$7*EXP(-BI94/BK$8)</f>
        <v>6.80773903611813E-042</v>
      </c>
      <c r="BL94" s="1" t="n">
        <f aca="false">(BJ94-BK94)^2</f>
        <v>4.63453107838866E-083</v>
      </c>
      <c r="BN94" s="1" t="n">
        <f aca="false">$V94</f>
        <v>84</v>
      </c>
      <c r="BO94" s="1" t="n">
        <f aca="false">AR94</f>
        <v>0</v>
      </c>
      <c r="BP94" s="1" t="n">
        <f aca="false">BP$7*EXP(-BN94/BP$8)</f>
        <v>1.99730632773039E-038</v>
      </c>
      <c r="BQ94" s="1" t="n">
        <f aca="false">(BO94-BP94)^2</f>
        <v>3.98923256679186E-076</v>
      </c>
      <c r="BU94" s="1" t="n">
        <f aca="false">V94</f>
        <v>84</v>
      </c>
      <c r="BV94" s="1" t="n">
        <f aca="false">W94/W$9*100</f>
        <v>0</v>
      </c>
      <c r="BW94" s="1" t="n">
        <f aca="false">X94/X$9*100</f>
        <v>0</v>
      </c>
      <c r="BX94" s="1" t="n">
        <f aca="false">Z94/Z$9*100</f>
        <v>0</v>
      </c>
      <c r="BY94" s="1" t="n">
        <f aca="false">AA94/AA$9*100</f>
        <v>0</v>
      </c>
      <c r="BZ94" s="1" t="n">
        <f aca="false">AC94/AC$9*100</f>
        <v>0</v>
      </c>
      <c r="CA94" s="1" t="n">
        <f aca="false">AD94/AD$9*100</f>
        <v>0</v>
      </c>
      <c r="CB94" s="1" t="n">
        <f aca="false">AF94/AF$9*100</f>
        <v>0</v>
      </c>
      <c r="CC94" s="1" t="n">
        <f aca="false">AG94/AG$9*100</f>
        <v>0</v>
      </c>
      <c r="CE94" s="1" t="n">
        <f aca="false">$V94</f>
        <v>84</v>
      </c>
      <c r="CF94" s="1" t="n">
        <f aca="false">BV94</f>
        <v>0</v>
      </c>
      <c r="CG94" s="1" t="n">
        <f aca="false">CG$6*(1+CG$5*(-1)^$BU94)*EXP(-$BU94/CG$4)</f>
        <v>4.73416946114755E-026</v>
      </c>
      <c r="CH94" s="1" t="n">
        <f aca="false">(CF94-CG94)^2</f>
        <v>2.24123604868621E-051</v>
      </c>
      <c r="CI94" s="1" t="n">
        <f aca="false">EXP($BU94/CE94)*CF94</f>
        <v>0</v>
      </c>
      <c r="CJ94" s="1" t="n">
        <f aca="false">EXP($BU94/CE94)*(-1)^$BU94*CF94</f>
        <v>0</v>
      </c>
      <c r="CK94" s="1" t="n">
        <f aca="false">(-1)^CE94*CF94</f>
        <v>0</v>
      </c>
      <c r="CM94" s="1" t="n">
        <f aca="false">$V94</f>
        <v>84</v>
      </c>
      <c r="CN94" s="1" t="n">
        <f aca="false">BZ94</f>
        <v>0</v>
      </c>
      <c r="CO94" s="1" t="n">
        <f aca="false">CO$6*(1+CO$5*(-1)^$BU94)*EXP(-$BU94/CO$4)</f>
        <v>4.73416946114755E-026</v>
      </c>
      <c r="CP94" s="1" t="n">
        <f aca="false">(CN94-CO94)^2</f>
        <v>2.24123604868621E-051</v>
      </c>
      <c r="CQ94" s="1" t="n">
        <f aca="false">EXP($BU94/CM94)*CN94</f>
        <v>0</v>
      </c>
      <c r="CR94" s="1" t="n">
        <f aca="false">EXP($BU94/CM94)*(-1)^$BU94*CN94</f>
        <v>0</v>
      </c>
      <c r="CS94" s="1" t="n">
        <f aca="false">(-1)^CM94*CN94</f>
        <v>0</v>
      </c>
      <c r="CU94" s="1" t="n">
        <f aca="false">$V94</f>
        <v>84</v>
      </c>
      <c r="CV94" s="1" t="n">
        <f aca="false">CB94</f>
        <v>0</v>
      </c>
      <c r="CW94" s="1" t="n">
        <f aca="false">CW$6*(1+CW$5*(-1)^$BU94)*EXP(-$BU94/CW$4)</f>
        <v>3.81221401543852E-011</v>
      </c>
      <c r="CX94" s="1" t="n">
        <f aca="false">(CV94-CW94)^2</f>
        <v>1.45329756995059E-021</v>
      </c>
      <c r="CY94" s="1" t="n">
        <f aca="false">EXP($BU94/CU94)*CV94</f>
        <v>0</v>
      </c>
      <c r="CZ94" s="1" t="n">
        <f aca="false">EXP($BU94/CU94)*(-1)^$BU94*CV94</f>
        <v>0</v>
      </c>
      <c r="DA94" s="1" t="n">
        <f aca="false">(-1)^CU94*CV94</f>
        <v>0</v>
      </c>
      <c r="DB94" s="1" t="n">
        <v>0</v>
      </c>
    </row>
    <row r="95" customFormat="false" ht="16" hidden="false" customHeight="false" outlineLevel="0" collapsed="false">
      <c r="C95" s="1" t="n">
        <f aca="false">B95-A95</f>
        <v>0</v>
      </c>
      <c r="V95" s="1" t="n">
        <v>85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K95" s="1" t="n">
        <f aca="false">V95</f>
        <v>85</v>
      </c>
      <c r="AN95" s="1" t="n">
        <f aca="false">MAX(AN94-W95/W$9*100,0)</f>
        <v>0</v>
      </c>
      <c r="AO95" s="1" t="n">
        <f aca="false">MAX(AO94-X95/X$9*100,0)</f>
        <v>0</v>
      </c>
      <c r="AP95" s="1" t="n">
        <f aca="false">MAX(AP94-Z95/Z$9*100,0)</f>
        <v>0</v>
      </c>
      <c r="AQ95" s="1" t="n">
        <f aca="false">MAX(AQ94-AA95/AA$9*100,0)</f>
        <v>0</v>
      </c>
      <c r="AR95" s="1" t="n">
        <f aca="false">MAX(AR94-AC95/AC$9*100,0)</f>
        <v>0</v>
      </c>
      <c r="AS95" s="1" t="n">
        <f aca="false">MAX(AS94-AD95/AD$9*100,0)</f>
        <v>0</v>
      </c>
      <c r="AT95" s="1" t="n">
        <f aca="false">MAX(AT94-AF95/AF$9*100,0)</f>
        <v>0</v>
      </c>
      <c r="AU95" s="1" t="n">
        <f aca="false">MAX(AU94-AG95/AG$9*100,0)</f>
        <v>0</v>
      </c>
      <c r="AY95" s="1" t="n">
        <f aca="false">$V95</f>
        <v>85</v>
      </c>
      <c r="AZ95" s="1" t="n">
        <f aca="false">AO95</f>
        <v>0</v>
      </c>
      <c r="BA95" s="1" t="n">
        <f aca="false">BA$7*EXP(-AY95/BA$8)</f>
        <v>1.43039062200486E-036</v>
      </c>
      <c r="BB95" s="1" t="n">
        <f aca="false">(AZ95-BA95)^2</f>
        <v>2.04601733151945E-072</v>
      </c>
      <c r="BD95" s="1" t="n">
        <f aca="false">$V95</f>
        <v>85</v>
      </c>
      <c r="BE95" s="1" t="n">
        <f aca="false">AT95</f>
        <v>0</v>
      </c>
      <c r="BF95" s="1" t="n">
        <f aca="false">BF$7*EXP(-BD95/BF$8)</f>
        <v>2.88320583190617E-019</v>
      </c>
      <c r="BG95" s="1" t="n">
        <f aca="false">(BE95-BF95)^2</f>
        <v>8.31287586913775E-038</v>
      </c>
      <c r="BI95" s="1" t="n">
        <f aca="false">$V95</f>
        <v>85</v>
      </c>
      <c r="BJ95" s="1" t="n">
        <f aca="false">AN95</f>
        <v>0</v>
      </c>
      <c r="BK95" s="1" t="n">
        <f aca="false">BK$7*EXP(-BI95/BK$8)</f>
        <v>2.07007299122125E-042</v>
      </c>
      <c r="BL95" s="1" t="n">
        <f aca="false">(BJ95-BK95)^2</f>
        <v>4.28520218898369E-084</v>
      </c>
      <c r="BN95" s="1" t="n">
        <f aca="false">$V95</f>
        <v>85</v>
      </c>
      <c r="BO95" s="1" t="n">
        <f aca="false">AR95</f>
        <v>0</v>
      </c>
      <c r="BP95" s="1" t="n">
        <f aca="false">BP$7*EXP(-BN95/BP$8)</f>
        <v>6.65576522838508E-039</v>
      </c>
      <c r="BQ95" s="1" t="n">
        <f aca="false">(BO95-BP95)^2</f>
        <v>4.42992107753799E-077</v>
      </c>
      <c r="BU95" s="1" t="n">
        <f aca="false">V95</f>
        <v>85</v>
      </c>
      <c r="BV95" s="1" t="n">
        <f aca="false">W95/W$9*100</f>
        <v>0</v>
      </c>
      <c r="BW95" s="1" t="n">
        <f aca="false">X95/X$9*100</f>
        <v>0</v>
      </c>
      <c r="BX95" s="1" t="n">
        <f aca="false">Z95/Z$9*100</f>
        <v>0</v>
      </c>
      <c r="BY95" s="1" t="n">
        <f aca="false">AA95/AA$9*100</f>
        <v>0</v>
      </c>
      <c r="BZ95" s="1" t="n">
        <f aca="false">AC95/AC$9*100</f>
        <v>0</v>
      </c>
      <c r="CA95" s="1" t="n">
        <f aca="false">AD95/AD$9*100</f>
        <v>0</v>
      </c>
      <c r="CB95" s="1" t="n">
        <f aca="false">AF95/AF$9*100</f>
        <v>0</v>
      </c>
      <c r="CC95" s="1" t="n">
        <f aca="false">AG95/AG$9*100</f>
        <v>0</v>
      </c>
      <c r="CE95" s="1" t="n">
        <f aca="false">$V95</f>
        <v>85</v>
      </c>
      <c r="CF95" s="1" t="n">
        <f aca="false">BV95</f>
        <v>0</v>
      </c>
      <c r="CG95" s="1" t="n">
        <f aca="false">CG$6*(1+CG$5*(-1)^$BU95)*EXP(-$BU95/CG$4)</f>
        <v>7.59655586756847E-027</v>
      </c>
      <c r="CH95" s="1" t="n">
        <f aca="false">(CF95-CG95)^2</f>
        <v>5.7707661049089E-053</v>
      </c>
      <c r="CI95" s="1" t="n">
        <f aca="false">EXP($BU95/CE95)*CF95</f>
        <v>0</v>
      </c>
      <c r="CJ95" s="1" t="n">
        <f aca="false">EXP($BU95/CE95)*(-1)^$BU95*CF95</f>
        <v>-0</v>
      </c>
      <c r="CK95" s="1" t="n">
        <f aca="false">(-1)^CE95*CF95</f>
        <v>-0</v>
      </c>
      <c r="CM95" s="1" t="n">
        <f aca="false">$V95</f>
        <v>85</v>
      </c>
      <c r="CN95" s="1" t="n">
        <f aca="false">BZ95</f>
        <v>0</v>
      </c>
      <c r="CO95" s="1" t="n">
        <f aca="false">CO$6*(1+CO$5*(-1)^$BU95)*EXP(-$BU95/CO$4)</f>
        <v>7.59655586756847E-027</v>
      </c>
      <c r="CP95" s="1" t="n">
        <f aca="false">(CN95-CO95)^2</f>
        <v>5.7707661049089E-053</v>
      </c>
      <c r="CQ95" s="1" t="n">
        <f aca="false">EXP($BU95/CM95)*CN95</f>
        <v>0</v>
      </c>
      <c r="CR95" s="1" t="n">
        <f aca="false">EXP($BU95/CM95)*(-1)^$BU95*CN95</f>
        <v>-0</v>
      </c>
      <c r="CS95" s="1" t="n">
        <f aca="false">(-1)^CM95*CN95</f>
        <v>-0</v>
      </c>
      <c r="CU95" s="1" t="n">
        <f aca="false">$V95</f>
        <v>85</v>
      </c>
      <c r="CV95" s="1" t="n">
        <f aca="false">CB95</f>
        <v>0</v>
      </c>
      <c r="CW95" s="1" t="n">
        <f aca="false">CW$6*(1+CW$5*(-1)^$BU95)*EXP(-$BU95/CW$4)</f>
        <v>1.40717278725421E-011</v>
      </c>
      <c r="CX95" s="1" t="n">
        <f aca="false">(CV95-CW95)^2</f>
        <v>1.98013525318878E-022</v>
      </c>
      <c r="CY95" s="1" t="n">
        <f aca="false">EXP($BU95/CU95)*CV95</f>
        <v>0</v>
      </c>
      <c r="CZ95" s="1" t="n">
        <f aca="false">EXP($BU95/CU95)*(-1)^$BU95*CV95</f>
        <v>-0</v>
      </c>
      <c r="DA95" s="1" t="n">
        <f aca="false">(-1)^CU95*CV95</f>
        <v>-0</v>
      </c>
      <c r="DB95" s="1" t="n">
        <v>0</v>
      </c>
    </row>
    <row r="96" customFormat="false" ht="16" hidden="false" customHeight="false" outlineLevel="0" collapsed="false">
      <c r="C96" s="1" t="n">
        <f aca="false">B96-A96</f>
        <v>0</v>
      </c>
      <c r="V96" s="1" t="n">
        <v>86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K96" s="1" t="n">
        <f aca="false">V96</f>
        <v>86</v>
      </c>
      <c r="AN96" s="1" t="n">
        <f aca="false">MAX(AN95-W96/W$9*100,0)</f>
        <v>0</v>
      </c>
      <c r="AO96" s="1" t="n">
        <f aca="false">MAX(AO95-X96/X$9*100,0)</f>
        <v>0</v>
      </c>
      <c r="AP96" s="1" t="n">
        <f aca="false">MAX(AP95-Z96/Z$9*100,0)</f>
        <v>0</v>
      </c>
      <c r="AQ96" s="1" t="n">
        <f aca="false">MAX(AQ95-AA96/AA$9*100,0)</f>
        <v>0</v>
      </c>
      <c r="AR96" s="1" t="n">
        <f aca="false">MAX(AR95-AC96/AC$9*100,0)</f>
        <v>0</v>
      </c>
      <c r="AS96" s="1" t="n">
        <f aca="false">MAX(AS95-AD96/AD$9*100,0)</f>
        <v>0</v>
      </c>
      <c r="AT96" s="1" t="n">
        <f aca="false">MAX(AT95-AF96/AF$9*100,0)</f>
        <v>0</v>
      </c>
      <c r="AU96" s="1" t="n">
        <f aca="false">MAX(AU95-AG96/AG$9*100,0)</f>
        <v>0</v>
      </c>
      <c r="AY96" s="1" t="n">
        <f aca="false">$V96</f>
        <v>86</v>
      </c>
      <c r="AZ96" s="1" t="n">
        <f aca="false">AO96</f>
        <v>0</v>
      </c>
      <c r="BA96" s="1" t="n">
        <f aca="false">BA$7*EXP(-AY96/BA$8)</f>
        <v>5.10185820429792E-037</v>
      </c>
      <c r="BB96" s="1" t="n">
        <f aca="false">(AZ96-BA96)^2</f>
        <v>2.6028957136762E-073</v>
      </c>
      <c r="BD96" s="1" t="n">
        <f aca="false">$V96</f>
        <v>86</v>
      </c>
      <c r="BE96" s="1" t="n">
        <f aca="false">AT96</f>
        <v>0</v>
      </c>
      <c r="BF96" s="1" t="n">
        <f aca="false">BF$7*EXP(-BD96/BF$8)</f>
        <v>1.64395522085586E-019</v>
      </c>
      <c r="BG96" s="1" t="n">
        <f aca="false">(BE96-BF96)^2</f>
        <v>2.70258876817924E-038</v>
      </c>
      <c r="BI96" s="1" t="n">
        <f aca="false">$V96</f>
        <v>86</v>
      </c>
      <c r="BJ96" s="1" t="n">
        <f aca="false">AN96</f>
        <v>0</v>
      </c>
      <c r="BK96" s="1" t="n">
        <f aca="false">BK$7*EXP(-BI96/BK$8)</f>
        <v>6.29460407669679E-043</v>
      </c>
      <c r="BL96" s="1" t="n">
        <f aca="false">(BJ96-BK96)^2</f>
        <v>3.96220404823678E-085</v>
      </c>
      <c r="BN96" s="1" t="n">
        <f aca="false">$V96</f>
        <v>86</v>
      </c>
      <c r="BO96" s="1" t="n">
        <f aca="false">AR96</f>
        <v>0</v>
      </c>
      <c r="BP96" s="1" t="n">
        <f aca="false">BP$7*EXP(-BN96/BP$8)</f>
        <v>2.21794775094508E-039</v>
      </c>
      <c r="BQ96" s="1" t="n">
        <f aca="false">(BO96-BP96)^2</f>
        <v>4.91929222592234E-078</v>
      </c>
      <c r="BU96" s="1" t="n">
        <f aca="false">V96</f>
        <v>86</v>
      </c>
      <c r="BV96" s="1" t="n">
        <f aca="false">W96/W$9*100</f>
        <v>0</v>
      </c>
      <c r="BW96" s="1" t="n">
        <f aca="false">X96/X$9*100</f>
        <v>0</v>
      </c>
      <c r="BX96" s="1" t="n">
        <f aca="false">Z96/Z$9*100</f>
        <v>0</v>
      </c>
      <c r="BY96" s="1" t="n">
        <f aca="false">AA96/AA$9*100</f>
        <v>0</v>
      </c>
      <c r="BZ96" s="1" t="n">
        <f aca="false">AC96/AC$9*100</f>
        <v>0</v>
      </c>
      <c r="CA96" s="1" t="n">
        <f aca="false">AD96/AD$9*100</f>
        <v>0</v>
      </c>
      <c r="CB96" s="1" t="n">
        <f aca="false">AF96/AF$9*100</f>
        <v>0</v>
      </c>
      <c r="CC96" s="1" t="n">
        <f aca="false">AG96/AG$9*100</f>
        <v>0</v>
      </c>
      <c r="CE96" s="1" t="n">
        <f aca="false">$V96</f>
        <v>86</v>
      </c>
      <c r="CF96" s="1" t="n">
        <f aca="false">BV96</f>
        <v>0</v>
      </c>
      <c r="CG96" s="1" t="n">
        <f aca="false">CG$6*(1+CG$5*(-1)^$BU96)*EXP(-$BU96/CG$4)</f>
        <v>1.0404515399005E-026</v>
      </c>
      <c r="CH96" s="1" t="n">
        <f aca="false">(CF96-CG96)^2</f>
        <v>1.08253940688132E-052</v>
      </c>
      <c r="CI96" s="1" t="n">
        <f aca="false">EXP($BU96/CE96)*CF96</f>
        <v>0</v>
      </c>
      <c r="CJ96" s="1" t="n">
        <f aca="false">EXP($BU96/CE96)*(-1)^$BU96*CF96</f>
        <v>0</v>
      </c>
      <c r="CK96" s="1" t="n">
        <f aca="false">(-1)^CE96*CF96</f>
        <v>0</v>
      </c>
      <c r="CM96" s="1" t="n">
        <f aca="false">$V96</f>
        <v>86</v>
      </c>
      <c r="CN96" s="1" t="n">
        <f aca="false">BZ96</f>
        <v>0</v>
      </c>
      <c r="CO96" s="1" t="n">
        <f aca="false">CO$6*(1+CO$5*(-1)^$BU96)*EXP(-$BU96/CO$4)</f>
        <v>1.0404515399005E-026</v>
      </c>
      <c r="CP96" s="1" t="n">
        <f aca="false">(CN96-CO96)^2</f>
        <v>1.08253940688132E-052</v>
      </c>
      <c r="CQ96" s="1" t="n">
        <f aca="false">EXP($BU96/CM96)*CN96</f>
        <v>0</v>
      </c>
      <c r="CR96" s="1" t="n">
        <f aca="false">EXP($BU96/CM96)*(-1)^$BU96*CN96</f>
        <v>0</v>
      </c>
      <c r="CS96" s="1" t="n">
        <f aca="false">(-1)^CM96*CN96</f>
        <v>0</v>
      </c>
      <c r="CU96" s="1" t="n">
        <f aca="false">$V96</f>
        <v>86</v>
      </c>
      <c r="CV96" s="1" t="n">
        <f aca="false">CB96</f>
        <v>0</v>
      </c>
      <c r="CW96" s="1" t="n">
        <f aca="false">CW$6*(1+CW$5*(-1)^$BU96)*EXP(-$BU96/CW$4)</f>
        <v>1.95725593694211E-011</v>
      </c>
      <c r="CX96" s="1" t="n">
        <f aca="false">(CV96-CW96)^2</f>
        <v>3.83085080269514E-022</v>
      </c>
      <c r="CY96" s="1" t="n">
        <f aca="false">EXP($BU96/CU96)*CV96</f>
        <v>0</v>
      </c>
      <c r="CZ96" s="1" t="n">
        <f aca="false">EXP($BU96/CU96)*(-1)^$BU96*CV96</f>
        <v>0</v>
      </c>
      <c r="DA96" s="1" t="n">
        <f aca="false">(-1)^CU96*CV96</f>
        <v>0</v>
      </c>
      <c r="DB96" s="1" t="n">
        <v>0</v>
      </c>
    </row>
    <row r="97" customFormat="false" ht="16" hidden="false" customHeight="false" outlineLevel="0" collapsed="false">
      <c r="C97" s="1" t="n">
        <f aca="false">B97-A97</f>
        <v>0</v>
      </c>
      <c r="V97" s="1" t="n">
        <v>87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K97" s="1" t="n">
        <f aca="false">V97</f>
        <v>87</v>
      </c>
      <c r="AN97" s="1" t="n">
        <f aca="false">MAX(AN96-W97/W$9*100,0)</f>
        <v>0</v>
      </c>
      <c r="AO97" s="1" t="n">
        <f aca="false">MAX(AO96-X97/X$9*100,0)</f>
        <v>0</v>
      </c>
      <c r="AP97" s="1" t="n">
        <f aca="false">MAX(AP96-Z97/Z$9*100,0)</f>
        <v>0</v>
      </c>
      <c r="AQ97" s="1" t="n">
        <f aca="false">MAX(AQ96-AA97/AA$9*100,0)</f>
        <v>0</v>
      </c>
      <c r="AR97" s="1" t="n">
        <f aca="false">MAX(AR96-AC97/AC$9*100,0)</f>
        <v>0</v>
      </c>
      <c r="AS97" s="1" t="n">
        <f aca="false">MAX(AS96-AD97/AD$9*100,0)</f>
        <v>0</v>
      </c>
      <c r="AT97" s="1" t="n">
        <f aca="false">MAX(AT96-AF97/AF$9*100,0)</f>
        <v>0</v>
      </c>
      <c r="AU97" s="1" t="n">
        <f aca="false">MAX(AU96-AG97/AG$9*100,0)</f>
        <v>0</v>
      </c>
      <c r="AY97" s="1" t="n">
        <f aca="false">$V97</f>
        <v>87</v>
      </c>
      <c r="AZ97" s="1" t="n">
        <f aca="false">AO97</f>
        <v>0</v>
      </c>
      <c r="BA97" s="1" t="n">
        <f aca="false">BA$7*EXP(-AY97/BA$8)</f>
        <v>1.81970971679604E-037</v>
      </c>
      <c r="BB97" s="1" t="n">
        <f aca="false">(AZ97-BA97)^2</f>
        <v>3.31134345340192E-074</v>
      </c>
      <c r="BD97" s="1" t="n">
        <f aca="false">$V97</f>
        <v>87</v>
      </c>
      <c r="BE97" s="1" t="n">
        <f aca="false">AT97</f>
        <v>0</v>
      </c>
      <c r="BF97" s="1" t="n">
        <f aca="false">BF$7*EXP(-BD97/BF$8)</f>
        <v>9.37355473643888E-020</v>
      </c>
      <c r="BG97" s="1" t="n">
        <f aca="false">(BE97-BF97)^2</f>
        <v>8.78635283970158E-039</v>
      </c>
      <c r="BI97" s="1" t="n">
        <f aca="false">$V97</f>
        <v>87</v>
      </c>
      <c r="BJ97" s="1" t="n">
        <f aca="false">AN97</f>
        <v>0</v>
      </c>
      <c r="BK97" s="1" t="n">
        <f aca="false">BK$7*EXP(-BI97/BK$8)</f>
        <v>1.91404074399293E-043</v>
      </c>
      <c r="BL97" s="1" t="n">
        <f aca="false">(BJ97-BK97)^2</f>
        <v>3.66355196966501E-086</v>
      </c>
      <c r="BN97" s="1" t="n">
        <f aca="false">$V97</f>
        <v>87</v>
      </c>
      <c r="BO97" s="1" t="n">
        <f aca="false">AR97</f>
        <v>0</v>
      </c>
      <c r="BP97" s="1" t="n">
        <f aca="false">BP$7*EXP(-BN97/BP$8)</f>
        <v>7.39102425810151E-040</v>
      </c>
      <c r="BQ97" s="1" t="n">
        <f aca="false">(BO97-BP97)^2</f>
        <v>5.4627239583845E-079</v>
      </c>
      <c r="BU97" s="1" t="n">
        <f aca="false">V97</f>
        <v>87</v>
      </c>
      <c r="BV97" s="1" t="n">
        <f aca="false">W97/W$9*100</f>
        <v>0</v>
      </c>
      <c r="BW97" s="1" t="n">
        <f aca="false">X97/X$9*100</f>
        <v>0</v>
      </c>
      <c r="BX97" s="1" t="n">
        <f aca="false">Z97/Z$9*100</f>
        <v>0</v>
      </c>
      <c r="BY97" s="1" t="n">
        <f aca="false">AA97/AA$9*100</f>
        <v>0</v>
      </c>
      <c r="BZ97" s="1" t="n">
        <f aca="false">AC97/AC$9*100</f>
        <v>0</v>
      </c>
      <c r="CA97" s="1" t="n">
        <f aca="false">AD97/AD$9*100</f>
        <v>0</v>
      </c>
      <c r="CB97" s="1" t="n">
        <f aca="false">AF97/AF$9*100</f>
        <v>0</v>
      </c>
      <c r="CC97" s="1" t="n">
        <f aca="false">AG97/AG$9*100</f>
        <v>0</v>
      </c>
      <c r="CE97" s="1" t="n">
        <f aca="false">$V97</f>
        <v>87</v>
      </c>
      <c r="CF97" s="1" t="n">
        <f aca="false">BV97</f>
        <v>0</v>
      </c>
      <c r="CG97" s="1" t="n">
        <f aca="false">CG$6*(1+CG$5*(-1)^$BU97)*EXP(-$BU97/CG$4)</f>
        <v>1.6695321777594E-027</v>
      </c>
      <c r="CH97" s="1" t="n">
        <f aca="false">(CF97-CG97)^2</f>
        <v>2.78733769257404E-054</v>
      </c>
      <c r="CI97" s="1" t="n">
        <f aca="false">EXP($BU97/CE97)*CF97</f>
        <v>0</v>
      </c>
      <c r="CJ97" s="1" t="n">
        <f aca="false">EXP($BU97/CE97)*(-1)^$BU97*CF97</f>
        <v>-0</v>
      </c>
      <c r="CK97" s="1" t="n">
        <f aca="false">(-1)^CE97*CF97</f>
        <v>-0</v>
      </c>
      <c r="CM97" s="1" t="n">
        <f aca="false">$V97</f>
        <v>87</v>
      </c>
      <c r="CN97" s="1" t="n">
        <f aca="false">BZ97</f>
        <v>0</v>
      </c>
      <c r="CO97" s="1" t="n">
        <f aca="false">CO$6*(1+CO$5*(-1)^$BU97)*EXP(-$BU97/CO$4)</f>
        <v>1.6695321777594E-027</v>
      </c>
      <c r="CP97" s="1" t="n">
        <f aca="false">(CN97-CO97)^2</f>
        <v>2.78733769257404E-054</v>
      </c>
      <c r="CQ97" s="1" t="n">
        <f aca="false">EXP($BU97/CM97)*CN97</f>
        <v>0</v>
      </c>
      <c r="CR97" s="1" t="n">
        <f aca="false">EXP($BU97/CM97)*(-1)^$BU97*CN97</f>
        <v>-0</v>
      </c>
      <c r="CS97" s="1" t="n">
        <f aca="false">(-1)^CM97*CN97</f>
        <v>-0</v>
      </c>
      <c r="CU97" s="1" t="n">
        <f aca="false">$V97</f>
        <v>87</v>
      </c>
      <c r="CV97" s="1" t="n">
        <f aca="false">CB97</f>
        <v>0</v>
      </c>
      <c r="CW97" s="1" t="n">
        <f aca="false">CW$6*(1+CW$5*(-1)^$BU97)*EXP(-$BU97/CW$4)</f>
        <v>7.22466598413117E-012</v>
      </c>
      <c r="CX97" s="1" t="n">
        <f aca="false">(CV97-CW97)^2</f>
        <v>5.2195798582262E-023</v>
      </c>
      <c r="CY97" s="1" t="n">
        <f aca="false">EXP($BU97/CU97)*CV97</f>
        <v>0</v>
      </c>
      <c r="CZ97" s="1" t="n">
        <f aca="false">EXP($BU97/CU97)*(-1)^$BU97*CV97</f>
        <v>-0</v>
      </c>
      <c r="DA97" s="1" t="n">
        <f aca="false">(-1)^CU97*CV97</f>
        <v>-0</v>
      </c>
      <c r="DB97" s="1" t="n">
        <v>0</v>
      </c>
    </row>
    <row r="98" customFormat="false" ht="16" hidden="false" customHeight="false" outlineLevel="0" collapsed="false">
      <c r="C98" s="1" t="n">
        <f aca="false">B98-A98</f>
        <v>0</v>
      </c>
      <c r="V98" s="1" t="n">
        <v>88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K98" s="1" t="n">
        <f aca="false">V98</f>
        <v>88</v>
      </c>
      <c r="AN98" s="1" t="n">
        <f aca="false">MAX(AN97-W98/W$9*100,0)</f>
        <v>0</v>
      </c>
      <c r="AO98" s="1" t="n">
        <f aca="false">MAX(AO97-X98/X$9*100,0)</f>
        <v>0</v>
      </c>
      <c r="AP98" s="1" t="n">
        <f aca="false">MAX(AP97-Z98/Z$9*100,0)</f>
        <v>0</v>
      </c>
      <c r="AQ98" s="1" t="n">
        <f aca="false">MAX(AQ97-AA98/AA$9*100,0)</f>
        <v>0</v>
      </c>
      <c r="AR98" s="1" t="n">
        <f aca="false">MAX(AR97-AC98/AC$9*100,0)</f>
        <v>0</v>
      </c>
      <c r="AS98" s="1" t="n">
        <f aca="false">MAX(AS97-AD98/AD$9*100,0)</f>
        <v>0</v>
      </c>
      <c r="AT98" s="1" t="n">
        <f aca="false">MAX(AT97-AF98/AF$9*100,0)</f>
        <v>0</v>
      </c>
      <c r="AU98" s="1" t="n">
        <f aca="false">MAX(AU97-AG98/AG$9*100,0)</f>
        <v>0</v>
      </c>
      <c r="AY98" s="1" t="n">
        <f aca="false">$V98</f>
        <v>88</v>
      </c>
      <c r="AZ98" s="1" t="n">
        <f aca="false">AO98</f>
        <v>0</v>
      </c>
      <c r="BA98" s="1" t="n">
        <f aca="false">BA$7*EXP(-AY98/BA$8)</f>
        <v>6.49046547513298E-038</v>
      </c>
      <c r="BB98" s="1" t="n">
        <f aca="false">(AZ98-BA98)^2</f>
        <v>4.21261420838932E-075</v>
      </c>
      <c r="BD98" s="1" t="n">
        <f aca="false">$V98</f>
        <v>88</v>
      </c>
      <c r="BE98" s="1" t="n">
        <f aca="false">AT98</f>
        <v>0</v>
      </c>
      <c r="BF98" s="1" t="n">
        <f aca="false">BF$7*EXP(-BD98/BF$8)</f>
        <v>5.34464243808743E-020</v>
      </c>
      <c r="BG98" s="1" t="n">
        <f aca="false">(BE98-BF98)^2</f>
        <v>2.85652027910051E-039</v>
      </c>
      <c r="BI98" s="1" t="n">
        <f aca="false">$V98</f>
        <v>88</v>
      </c>
      <c r="BJ98" s="1" t="n">
        <f aca="false">AN98</f>
        <v>0</v>
      </c>
      <c r="BK98" s="1" t="n">
        <f aca="false">BK$7*EXP(-BI98/BK$8)</f>
        <v>5.82014678767137E-044</v>
      </c>
      <c r="BL98" s="1" t="n">
        <f aca="false">(BJ98-BK98)^2</f>
        <v>3.38741086300414E-087</v>
      </c>
      <c r="BN98" s="1" t="n">
        <f aca="false">$V98</f>
        <v>88</v>
      </c>
      <c r="BO98" s="1" t="n">
        <f aca="false">AR98</f>
        <v>0</v>
      </c>
      <c r="BP98" s="1" t="n">
        <f aca="false">BP$7*EXP(-BN98/BP$8)</f>
        <v>2.4629633209605E-040</v>
      </c>
      <c r="BQ98" s="1" t="n">
        <f aca="false">(BO98-BP98)^2</f>
        <v>6.06618832039678E-080</v>
      </c>
      <c r="BU98" s="1" t="n">
        <f aca="false">V98</f>
        <v>88</v>
      </c>
      <c r="BV98" s="1" t="n">
        <f aca="false">W98/W$9*100</f>
        <v>0</v>
      </c>
      <c r="BW98" s="1" t="n">
        <f aca="false">X98/X$9*100</f>
        <v>0</v>
      </c>
      <c r="BX98" s="1" t="n">
        <f aca="false">Z98/Z$9*100</f>
        <v>0</v>
      </c>
      <c r="BY98" s="1" t="n">
        <f aca="false">AA98/AA$9*100</f>
        <v>0</v>
      </c>
      <c r="BZ98" s="1" t="n">
        <f aca="false">AC98/AC$9*100</f>
        <v>0</v>
      </c>
      <c r="CA98" s="1" t="n">
        <f aca="false">AD98/AD$9*100</f>
        <v>0</v>
      </c>
      <c r="CB98" s="1" t="n">
        <f aca="false">AF98/AF$9*100</f>
        <v>0</v>
      </c>
      <c r="CC98" s="1" t="n">
        <f aca="false">AG98/AG$9*100</f>
        <v>0</v>
      </c>
      <c r="CE98" s="1" t="n">
        <f aca="false">$V98</f>
        <v>88</v>
      </c>
      <c r="CF98" s="1" t="n">
        <f aca="false">BV98</f>
        <v>0</v>
      </c>
      <c r="CG98" s="1" t="n">
        <f aca="false">CG$6*(1+CG$5*(-1)^$BU98)*EXP(-$BU98/CG$4)</f>
        <v>2.28665115553111E-027</v>
      </c>
      <c r="CH98" s="1" t="n">
        <f aca="false">(CF98-CG98)^2</f>
        <v>5.22877350709176E-054</v>
      </c>
      <c r="CI98" s="1" t="n">
        <f aca="false">EXP($BU98/CE98)*CF98</f>
        <v>0</v>
      </c>
      <c r="CJ98" s="1" t="n">
        <f aca="false">EXP($BU98/CE98)*(-1)^$BU98*CF98</f>
        <v>0</v>
      </c>
      <c r="CK98" s="1" t="n">
        <f aca="false">(-1)^CE98*CF98</f>
        <v>0</v>
      </c>
      <c r="CM98" s="1" t="n">
        <f aca="false">$V98</f>
        <v>88</v>
      </c>
      <c r="CN98" s="1" t="n">
        <f aca="false">BZ98</f>
        <v>0</v>
      </c>
      <c r="CO98" s="1" t="n">
        <f aca="false">CO$6*(1+CO$5*(-1)^$BU98)*EXP(-$BU98/CO$4)</f>
        <v>2.28665115553111E-027</v>
      </c>
      <c r="CP98" s="1" t="n">
        <f aca="false">(CN98-CO98)^2</f>
        <v>5.22877350709176E-054</v>
      </c>
      <c r="CQ98" s="1" t="n">
        <f aca="false">EXP($BU98/CM98)*CN98</f>
        <v>0</v>
      </c>
      <c r="CR98" s="1" t="n">
        <f aca="false">EXP($BU98/CM98)*(-1)^$BU98*CN98</f>
        <v>0</v>
      </c>
      <c r="CS98" s="1" t="n">
        <f aca="false">(-1)^CM98*CN98</f>
        <v>0</v>
      </c>
      <c r="CU98" s="1" t="n">
        <f aca="false">$V98</f>
        <v>88</v>
      </c>
      <c r="CV98" s="1" t="n">
        <f aca="false">CB98</f>
        <v>0</v>
      </c>
      <c r="CW98" s="1" t="n">
        <f aca="false">CW$6*(1+CW$5*(-1)^$BU98)*EXP(-$BU98/CW$4)</f>
        <v>1.00488870435426E-011</v>
      </c>
      <c r="CX98" s="1" t="n">
        <f aca="false">(CV98-CW98)^2</f>
        <v>1.00980130813878E-022</v>
      </c>
      <c r="CY98" s="1" t="n">
        <f aca="false">EXP($BU98/CU98)*CV98</f>
        <v>0</v>
      </c>
      <c r="CZ98" s="1" t="n">
        <f aca="false">EXP($BU98/CU98)*(-1)^$BU98*CV98</f>
        <v>0</v>
      </c>
      <c r="DA98" s="1" t="n">
        <f aca="false">(-1)^CU98*CV98</f>
        <v>0</v>
      </c>
      <c r="DB98" s="1" t="n">
        <v>0</v>
      </c>
    </row>
    <row r="99" customFormat="false" ht="16" hidden="false" customHeight="false" outlineLevel="0" collapsed="false">
      <c r="C99" s="1" t="n">
        <f aca="false">B99-A99</f>
        <v>0</v>
      </c>
      <c r="V99" s="1" t="n">
        <v>89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K99" s="1" t="n">
        <f aca="false">V99</f>
        <v>89</v>
      </c>
      <c r="AN99" s="1" t="n">
        <f aca="false">MAX(AN98-W99/W$9*100,0)</f>
        <v>0</v>
      </c>
      <c r="AO99" s="1" t="n">
        <f aca="false">MAX(AO98-X99/X$9*100,0)</f>
        <v>0</v>
      </c>
      <c r="AP99" s="1" t="n">
        <f aca="false">MAX(AP98-Z99/Z$9*100,0)</f>
        <v>0</v>
      </c>
      <c r="AQ99" s="1" t="n">
        <f aca="false">MAX(AQ98-AA99/AA$9*100,0)</f>
        <v>0</v>
      </c>
      <c r="AR99" s="1" t="n">
        <f aca="false">MAX(AR98-AC99/AC$9*100,0)</f>
        <v>0</v>
      </c>
      <c r="AS99" s="1" t="n">
        <f aca="false">MAX(AS98-AD99/AD$9*100,0)</f>
        <v>0</v>
      </c>
      <c r="AT99" s="1" t="n">
        <f aca="false">MAX(AT98-AF99/AF$9*100,0)</f>
        <v>0</v>
      </c>
      <c r="AU99" s="1" t="n">
        <f aca="false">MAX(AU98-AG99/AG$9*100,0)</f>
        <v>0</v>
      </c>
      <c r="AY99" s="1" t="n">
        <f aca="false">$V99</f>
        <v>89</v>
      </c>
      <c r="AZ99" s="1" t="n">
        <f aca="false">AO99</f>
        <v>0</v>
      </c>
      <c r="BA99" s="1" t="n">
        <f aca="false">BA$7*EXP(-AY99/BA$8)</f>
        <v>2.31499242406996E-038</v>
      </c>
      <c r="BB99" s="1" t="n">
        <f aca="false">(AZ99-BA99)^2</f>
        <v>5.35918992350131E-076</v>
      </c>
      <c r="BD99" s="1" t="n">
        <f aca="false">$V99</f>
        <v>89</v>
      </c>
      <c r="BE99" s="1" t="n">
        <f aca="false">AT99</f>
        <v>0</v>
      </c>
      <c r="BF99" s="1" t="n">
        <f aca="false">BF$7*EXP(-BD99/BF$8)</f>
        <v>3.04742475978299E-020</v>
      </c>
      <c r="BG99" s="1" t="n">
        <f aca="false">(BE99-BF99)^2</f>
        <v>9.28679766653842E-040</v>
      </c>
      <c r="BI99" s="1" t="n">
        <f aca="false">$V99</f>
        <v>89</v>
      </c>
      <c r="BJ99" s="1" t="n">
        <f aca="false">AN99</f>
        <v>0</v>
      </c>
      <c r="BK99" s="1" t="n">
        <f aca="false">BK$7*EXP(-BI99/BK$8)</f>
        <v>1.76976946474897E-044</v>
      </c>
      <c r="BL99" s="1" t="n">
        <f aca="false">(BJ99-BK99)^2</f>
        <v>3.13208395835786E-088</v>
      </c>
      <c r="BN99" s="1" t="n">
        <f aca="false">$V99</f>
        <v>89</v>
      </c>
      <c r="BO99" s="1" t="n">
        <f aca="false">AR99</f>
        <v>0</v>
      </c>
      <c r="BP99" s="1" t="n">
        <f aca="false">BP$7*EXP(-BN99/BP$8)</f>
        <v>8.20750698219868E-041</v>
      </c>
      <c r="BQ99" s="1" t="n">
        <f aca="false">(BO99-BP99)^2</f>
        <v>6.73631708628401E-081</v>
      </c>
      <c r="BU99" s="1" t="n">
        <f aca="false">V99</f>
        <v>89</v>
      </c>
      <c r="BV99" s="1" t="n">
        <f aca="false">W99/W$9*100</f>
        <v>0</v>
      </c>
      <c r="BW99" s="1" t="n">
        <f aca="false">X99/X$9*100</f>
        <v>0</v>
      </c>
      <c r="BX99" s="1" t="n">
        <f aca="false">Z99/Z$9*100</f>
        <v>0</v>
      </c>
      <c r="BY99" s="1" t="n">
        <f aca="false">AA99/AA$9*100</f>
        <v>0</v>
      </c>
      <c r="BZ99" s="1" t="n">
        <f aca="false">AC99/AC$9*100</f>
        <v>0</v>
      </c>
      <c r="CA99" s="1" t="n">
        <f aca="false">AD99/AD$9*100</f>
        <v>0</v>
      </c>
      <c r="CB99" s="1" t="n">
        <f aca="false">AF99/AF$9*100</f>
        <v>0</v>
      </c>
      <c r="CC99" s="1" t="n">
        <f aca="false">AG99/AG$9*100</f>
        <v>0</v>
      </c>
      <c r="CE99" s="1" t="n">
        <f aca="false">$V99</f>
        <v>89</v>
      </c>
      <c r="CF99" s="1" t="n">
        <f aca="false">BV99</f>
        <v>0</v>
      </c>
      <c r="CG99" s="1" t="n">
        <f aca="false">CG$6*(1+CG$5*(-1)^$BU99)*EXP(-$BU99/CG$4)</f>
        <v>3.66921239199185E-028</v>
      </c>
      <c r="CH99" s="1" t="n">
        <f aca="false">(CF99-CG99)^2</f>
        <v>1.34631195775466E-055</v>
      </c>
      <c r="CI99" s="1" t="n">
        <f aca="false">EXP($BU99/CE99)*CF99</f>
        <v>0</v>
      </c>
      <c r="CJ99" s="1" t="n">
        <f aca="false">EXP($BU99/CE99)*(-1)^$BU99*CF99</f>
        <v>-0</v>
      </c>
      <c r="CK99" s="1" t="n">
        <f aca="false">(-1)^CE99*CF99</f>
        <v>-0</v>
      </c>
      <c r="CM99" s="1" t="n">
        <f aca="false">$V99</f>
        <v>89</v>
      </c>
      <c r="CN99" s="1" t="n">
        <f aca="false">BZ99</f>
        <v>0</v>
      </c>
      <c r="CO99" s="1" t="n">
        <f aca="false">CO$6*(1+CO$5*(-1)^$BU99)*EXP(-$BU99/CO$4)</f>
        <v>3.66921239199185E-028</v>
      </c>
      <c r="CP99" s="1" t="n">
        <f aca="false">(CN99-CO99)^2</f>
        <v>1.34631195775466E-055</v>
      </c>
      <c r="CQ99" s="1" t="n">
        <f aca="false">EXP($BU99/CM99)*CN99</f>
        <v>0</v>
      </c>
      <c r="CR99" s="1" t="n">
        <f aca="false">EXP($BU99/CM99)*(-1)^$BU99*CN99</f>
        <v>-0</v>
      </c>
      <c r="CS99" s="1" t="n">
        <f aca="false">(-1)^CM99*CN99</f>
        <v>-0</v>
      </c>
      <c r="CU99" s="1" t="n">
        <f aca="false">$V99</f>
        <v>89</v>
      </c>
      <c r="CV99" s="1" t="n">
        <f aca="false">CB99</f>
        <v>0</v>
      </c>
      <c r="CW99" s="1" t="n">
        <f aca="false">CW$6*(1+CW$5*(-1)^$BU99)*EXP(-$BU99/CW$4)</f>
        <v>3.70926719554538E-012</v>
      </c>
      <c r="CX99" s="1" t="n">
        <f aca="false">(CV99-CW99)^2</f>
        <v>1.37586631279491E-023</v>
      </c>
      <c r="CY99" s="1" t="n">
        <f aca="false">EXP($BU99/CU99)*CV99</f>
        <v>0</v>
      </c>
      <c r="CZ99" s="1" t="n">
        <f aca="false">EXP($BU99/CU99)*(-1)^$BU99*CV99</f>
        <v>-0</v>
      </c>
      <c r="DA99" s="1" t="n">
        <f aca="false">(-1)^CU99*CV99</f>
        <v>-0</v>
      </c>
      <c r="DB99" s="1" t="n">
        <v>0</v>
      </c>
    </row>
    <row r="100" customFormat="false" ht="16" hidden="false" customHeight="false" outlineLevel="0" collapsed="false">
      <c r="C100" s="1" t="n">
        <f aca="false">B100-A100</f>
        <v>0</v>
      </c>
      <c r="V100" s="1" t="n">
        <v>90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K100" s="1" t="n">
        <f aca="false">V100</f>
        <v>90</v>
      </c>
      <c r="AN100" s="1" t="n">
        <f aca="false">MAX(AN99-W100/W$9*100,0)</f>
        <v>0</v>
      </c>
      <c r="AO100" s="1" t="n">
        <f aca="false">MAX(AO99-X100/X$9*100,0)</f>
        <v>0</v>
      </c>
      <c r="AP100" s="1" t="n">
        <f aca="false">MAX(AP99-Z100/Z$9*100,0)</f>
        <v>0</v>
      </c>
      <c r="AQ100" s="1" t="n">
        <f aca="false">MAX(AQ99-AA100/AA$9*100,0)</f>
        <v>0</v>
      </c>
      <c r="AR100" s="1" t="n">
        <f aca="false">MAX(AR99-AC100/AC$9*100,0)</f>
        <v>0</v>
      </c>
      <c r="AS100" s="1" t="n">
        <f aca="false">MAX(AS99-AD100/AD$9*100,0)</f>
        <v>0</v>
      </c>
      <c r="AT100" s="1" t="n">
        <f aca="false">MAX(AT99-AF100/AF$9*100,0)</f>
        <v>0</v>
      </c>
      <c r="AU100" s="1" t="n">
        <f aca="false">MAX(AU99-AG100/AG$9*100,0)</f>
        <v>0</v>
      </c>
      <c r="AY100" s="1" t="n">
        <f aca="false">$V100</f>
        <v>90</v>
      </c>
      <c r="AZ100" s="1" t="n">
        <f aca="false">AO100</f>
        <v>0</v>
      </c>
      <c r="BA100" s="1" t="n">
        <f aca="false">BA$7*EXP(-AY100/BA$8)</f>
        <v>8.25701938333091E-039</v>
      </c>
      <c r="BB100" s="1" t="n">
        <f aca="false">(AZ100-BA100)^2</f>
        <v>6.81783690967024E-077</v>
      </c>
      <c r="BD100" s="1" t="n">
        <f aca="false">$V100</f>
        <v>90</v>
      </c>
      <c r="BE100" s="1" t="n">
        <f aca="false">AT100</f>
        <v>0</v>
      </c>
      <c r="BF100" s="1" t="n">
        <f aca="false">BF$7*EXP(-BD100/BF$8)</f>
        <v>1.73759007718798E-020</v>
      </c>
      <c r="BG100" s="1" t="n">
        <f aca="false">(BE100-BF100)^2</f>
        <v>3.01921927634213E-040</v>
      </c>
      <c r="BI100" s="1" t="n">
        <f aca="false">$V100</f>
        <v>90</v>
      </c>
      <c r="BJ100" s="1" t="n">
        <f aca="false">AN100</f>
        <v>0</v>
      </c>
      <c r="BK100" s="1" t="n">
        <f aca="false">BK$7*EXP(-BI100/BK$8)</f>
        <v>5.38145183037738E-045</v>
      </c>
      <c r="BL100" s="1" t="n">
        <f aca="false">(BJ100-BK100)^2</f>
        <v>2.89600238026721E-089</v>
      </c>
      <c r="BN100" s="1" t="n">
        <f aca="false">$V100</f>
        <v>90</v>
      </c>
      <c r="BO100" s="1" t="n">
        <f aca="false">AR100</f>
        <v>0</v>
      </c>
      <c r="BP100" s="1" t="n">
        <f aca="false">BP$7*EXP(-BN100/BP$8)</f>
        <v>2.7350456374872E-041</v>
      </c>
      <c r="BQ100" s="1" t="n">
        <f aca="false">(BO100-BP100)^2</f>
        <v>7.48047463913777E-082</v>
      </c>
      <c r="BU100" s="1" t="n">
        <f aca="false">V100</f>
        <v>90</v>
      </c>
      <c r="BV100" s="1" t="n">
        <f aca="false">W100/W$9*100</f>
        <v>0</v>
      </c>
      <c r="BW100" s="1" t="n">
        <f aca="false">X100/X$9*100</f>
        <v>0</v>
      </c>
      <c r="BX100" s="1" t="n">
        <f aca="false">Z100/Z$9*100</f>
        <v>0</v>
      </c>
      <c r="BY100" s="1" t="n">
        <f aca="false">AA100/AA$9*100</f>
        <v>0</v>
      </c>
      <c r="BZ100" s="1" t="n">
        <f aca="false">AC100/AC$9*100</f>
        <v>0</v>
      </c>
      <c r="CA100" s="1" t="n">
        <f aca="false">AD100/AD$9*100</f>
        <v>0</v>
      </c>
      <c r="CB100" s="1" t="n">
        <f aca="false">AF100/AF$9*100</f>
        <v>0</v>
      </c>
      <c r="CC100" s="1" t="n">
        <f aca="false">AG100/AG$9*100</f>
        <v>0</v>
      </c>
      <c r="CE100" s="1" t="n">
        <f aca="false">$V100</f>
        <v>90</v>
      </c>
      <c r="CF100" s="1" t="n">
        <f aca="false">BV100</f>
        <v>0</v>
      </c>
      <c r="CG100" s="1" t="n">
        <f aca="false">CG$6*(1+CG$5*(-1)^$BU100)*EXP(-$BU100/CG$4)</f>
        <v>5.0254849039791E-028</v>
      </c>
      <c r="CH100" s="1" t="n">
        <f aca="false">(CF100-CG100)^2</f>
        <v>2.52554985201218E-055</v>
      </c>
      <c r="CI100" s="1" t="n">
        <f aca="false">EXP($BU100/CE100)*CF100</f>
        <v>0</v>
      </c>
      <c r="CJ100" s="1" t="n">
        <f aca="false">EXP($BU100/CE100)*(-1)^$BU100*CF100</f>
        <v>0</v>
      </c>
      <c r="CK100" s="1" t="n">
        <f aca="false">(-1)^CE100*CF100</f>
        <v>0</v>
      </c>
      <c r="CM100" s="1" t="n">
        <f aca="false">$V100</f>
        <v>90</v>
      </c>
      <c r="CN100" s="1" t="n">
        <f aca="false">BZ100</f>
        <v>0</v>
      </c>
      <c r="CO100" s="1" t="n">
        <f aca="false">CO$6*(1+CO$5*(-1)^$BU100)*EXP(-$BU100/CO$4)</f>
        <v>5.0254849039791E-028</v>
      </c>
      <c r="CP100" s="1" t="n">
        <f aca="false">(CN100-CO100)^2</f>
        <v>2.52554985201218E-055</v>
      </c>
      <c r="CQ100" s="1" t="n">
        <f aca="false">EXP($BU100/CM100)*CN100</f>
        <v>0</v>
      </c>
      <c r="CR100" s="1" t="n">
        <f aca="false">EXP($BU100/CM100)*(-1)^$BU100*CN100</f>
        <v>0</v>
      </c>
      <c r="CS100" s="1" t="n">
        <f aca="false">(-1)^CM100*CN100</f>
        <v>0</v>
      </c>
      <c r="CU100" s="1" t="n">
        <f aca="false">$V100</f>
        <v>90</v>
      </c>
      <c r="CV100" s="1" t="n">
        <f aca="false">CB100</f>
        <v>0</v>
      </c>
      <c r="CW100" s="1" t="n">
        <f aca="false">CW$6*(1+CW$5*(-1)^$BU100)*EXP(-$BU100/CW$4)</f>
        <v>5.15927063537956E-012</v>
      </c>
      <c r="CX100" s="1" t="n">
        <f aca="false">(CV100-CW100)^2</f>
        <v>2.66180734890898E-023</v>
      </c>
      <c r="CY100" s="1" t="n">
        <f aca="false">EXP($BU100/CU100)*CV100</f>
        <v>0</v>
      </c>
      <c r="CZ100" s="1" t="n">
        <f aca="false">EXP($BU100/CU100)*(-1)^$BU100*CV100</f>
        <v>0</v>
      </c>
      <c r="DA100" s="1" t="n">
        <f aca="false">(-1)^CU100*CV100</f>
        <v>0</v>
      </c>
      <c r="DB100" s="1" t="n">
        <v>0</v>
      </c>
    </row>
    <row r="101" customFormat="false" ht="16" hidden="false" customHeight="false" outlineLevel="0" collapsed="false">
      <c r="C101" s="1" t="n">
        <f aca="false">B101-A101</f>
        <v>0</v>
      </c>
      <c r="V101" s="1" t="n">
        <v>91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K101" s="1" t="n">
        <f aca="false">V101</f>
        <v>91</v>
      </c>
      <c r="AN101" s="1" t="n">
        <f aca="false">MAX(AN100-W101/W$9*100,0)</f>
        <v>0</v>
      </c>
      <c r="AO101" s="1" t="n">
        <f aca="false">MAX(AO100-X101/X$9*100,0)</f>
        <v>0</v>
      </c>
      <c r="AP101" s="1" t="n">
        <f aca="false">MAX(AP100-Z101/Z$9*100,0)</f>
        <v>0</v>
      </c>
      <c r="AQ101" s="1" t="n">
        <f aca="false">MAX(AQ100-AA101/AA$9*100,0)</f>
        <v>0</v>
      </c>
      <c r="AR101" s="1" t="n">
        <f aca="false">MAX(AR100-AC101/AC$9*100,0)</f>
        <v>0</v>
      </c>
      <c r="AS101" s="1" t="n">
        <f aca="false">MAX(AS100-AD101/AD$9*100,0)</f>
        <v>0</v>
      </c>
      <c r="AT101" s="1" t="n">
        <f aca="false">MAX(AT100-AF101/AF$9*100,0)</f>
        <v>0</v>
      </c>
      <c r="AU101" s="1" t="n">
        <f aca="false">MAX(AU100-AG101/AG$9*100,0)</f>
        <v>0</v>
      </c>
      <c r="AY101" s="1" t="n">
        <f aca="false">$V101</f>
        <v>91</v>
      </c>
      <c r="AZ101" s="1" t="n">
        <f aca="false">AO101</f>
        <v>0</v>
      </c>
      <c r="BA101" s="1" t="n">
        <f aca="false">BA$7*EXP(-AY101/BA$8)</f>
        <v>2.94507957727299E-039</v>
      </c>
      <c r="BB101" s="1" t="n">
        <f aca="false">(AZ101-BA101)^2</f>
        <v>8.67349371647045E-078</v>
      </c>
      <c r="BD101" s="1" t="n">
        <f aca="false">$V101</f>
        <v>91</v>
      </c>
      <c r="BE101" s="1" t="n">
        <f aca="false">AT101</f>
        <v>0</v>
      </c>
      <c r="BF101" s="1" t="n">
        <f aca="false">BF$7*EXP(-BD101/BF$8)</f>
        <v>9.90744485700477E-021</v>
      </c>
      <c r="BG101" s="1" t="n">
        <f aca="false">(BE101-BF101)^2</f>
        <v>9.81574635945903E-041</v>
      </c>
      <c r="BI101" s="1" t="n">
        <f aca="false">$V101</f>
        <v>91</v>
      </c>
      <c r="BJ101" s="1" t="n">
        <f aca="false">AN101</f>
        <v>0</v>
      </c>
      <c r="BK101" s="1" t="n">
        <f aca="false">BK$7*EXP(-BI101/BK$8)</f>
        <v>1.63637266771239E-045</v>
      </c>
      <c r="BL101" s="1" t="n">
        <f aca="false">(BJ101-BK101)^2</f>
        <v>2.67771550763616E-090</v>
      </c>
      <c r="BN101" s="1" t="n">
        <f aca="false">$V101</f>
        <v>91</v>
      </c>
      <c r="BO101" s="1" t="n">
        <f aca="false">AR101</f>
        <v>0</v>
      </c>
      <c r="BP101" s="1" t="n">
        <f aca="false">BP$7*EXP(-BN101/BP$8)</f>
        <v>9.11418614125105E-042</v>
      </c>
      <c r="BQ101" s="1" t="n">
        <f aca="false">(BO101-BP101)^2</f>
        <v>8.30683890173727E-083</v>
      </c>
      <c r="BU101" s="1" t="n">
        <f aca="false">V101</f>
        <v>91</v>
      </c>
      <c r="BV101" s="1" t="n">
        <f aca="false">W101/W$9*100</f>
        <v>0</v>
      </c>
      <c r="BW101" s="1" t="n">
        <f aca="false">X101/X$9*100</f>
        <v>0</v>
      </c>
      <c r="BX101" s="1" t="n">
        <f aca="false">Z101/Z$9*100</f>
        <v>0</v>
      </c>
      <c r="BY101" s="1" t="n">
        <f aca="false">AA101/AA$9*100</f>
        <v>0</v>
      </c>
      <c r="BZ101" s="1" t="n">
        <f aca="false">AC101/AC$9*100</f>
        <v>0</v>
      </c>
      <c r="CA101" s="1" t="n">
        <f aca="false">AD101/AD$9*100</f>
        <v>0</v>
      </c>
      <c r="CB101" s="1" t="n">
        <f aca="false">AF101/AF$9*100</f>
        <v>0</v>
      </c>
      <c r="CC101" s="1" t="n">
        <f aca="false">AG101/AG$9*100</f>
        <v>0</v>
      </c>
      <c r="CE101" s="1" t="n">
        <f aca="false">$V101</f>
        <v>91</v>
      </c>
      <c r="CF101" s="1" t="n">
        <f aca="false">BV101</f>
        <v>0</v>
      </c>
      <c r="CG101" s="1" t="n">
        <f aca="false">CG$6*(1+CG$5*(-1)^$BU101)*EXP(-$BU101/CG$4)</f>
        <v>8.0640072452001E-029</v>
      </c>
      <c r="CH101" s="1" t="n">
        <f aca="false">(CF101-CG101)^2</f>
        <v>6.50282128506397E-057</v>
      </c>
      <c r="CI101" s="1" t="n">
        <f aca="false">EXP($BU101/CE101)*CF101</f>
        <v>0</v>
      </c>
      <c r="CJ101" s="1" t="n">
        <f aca="false">EXP($BU101/CE101)*(-1)^$BU101*CF101</f>
        <v>-0</v>
      </c>
      <c r="CK101" s="1" t="n">
        <f aca="false">(-1)^CE101*CF101</f>
        <v>-0</v>
      </c>
      <c r="CM101" s="1" t="n">
        <f aca="false">$V101</f>
        <v>91</v>
      </c>
      <c r="CN101" s="1" t="n">
        <f aca="false">BZ101</f>
        <v>0</v>
      </c>
      <c r="CO101" s="1" t="n">
        <f aca="false">CO$6*(1+CO$5*(-1)^$BU101)*EXP(-$BU101/CO$4)</f>
        <v>8.0640072452001E-029</v>
      </c>
      <c r="CP101" s="1" t="n">
        <f aca="false">(CN101-CO101)^2</f>
        <v>6.50282128506397E-057</v>
      </c>
      <c r="CQ101" s="1" t="n">
        <f aca="false">EXP($BU101/CM101)*CN101</f>
        <v>0</v>
      </c>
      <c r="CR101" s="1" t="n">
        <f aca="false">EXP($BU101/CM101)*(-1)^$BU101*CN101</f>
        <v>-0</v>
      </c>
      <c r="CS101" s="1" t="n">
        <f aca="false">(-1)^CM101*CN101</f>
        <v>-0</v>
      </c>
      <c r="CU101" s="1" t="n">
        <f aca="false">$V101</f>
        <v>91</v>
      </c>
      <c r="CV101" s="1" t="n">
        <f aca="false">CB101</f>
        <v>0</v>
      </c>
      <c r="CW101" s="1" t="n">
        <f aca="false">CW$6*(1+CW$5*(-1)^$BU101)*EXP(-$BU101/CW$4)</f>
        <v>1.90440127725902E-012</v>
      </c>
      <c r="CX101" s="1" t="n">
        <f aca="false">(CV101-CW101)^2</f>
        <v>3.62674422482579E-024</v>
      </c>
      <c r="CY101" s="1" t="n">
        <f aca="false">EXP($BU101/CU101)*CV101</f>
        <v>0</v>
      </c>
      <c r="CZ101" s="1" t="n">
        <f aca="false">EXP($BU101/CU101)*(-1)^$BU101*CV101</f>
        <v>-0</v>
      </c>
      <c r="DA101" s="1" t="n">
        <f aca="false">(-1)^CU101*CV101</f>
        <v>-0</v>
      </c>
      <c r="DB101" s="1" t="n">
        <v>0</v>
      </c>
    </row>
    <row r="102" customFormat="false" ht="16" hidden="false" customHeight="false" outlineLevel="0" collapsed="false">
      <c r="C102" s="1" t="n">
        <f aca="false">B102-A102</f>
        <v>0</v>
      </c>
      <c r="V102" s="1" t="n">
        <v>92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K102" s="1" t="n">
        <f aca="false">V102</f>
        <v>92</v>
      </c>
      <c r="AN102" s="1" t="n">
        <f aca="false">MAX(AN101-W102/W$9*100,0)</f>
        <v>0</v>
      </c>
      <c r="AO102" s="1" t="n">
        <f aca="false">MAX(AO101-X102/X$9*100,0)</f>
        <v>0</v>
      </c>
      <c r="AP102" s="1" t="n">
        <f aca="false">MAX(AP101-Z102/Z$9*100,0)</f>
        <v>0</v>
      </c>
      <c r="AQ102" s="1" t="n">
        <f aca="false">MAX(AQ101-AA102/AA$9*100,0)</f>
        <v>0</v>
      </c>
      <c r="AR102" s="1" t="n">
        <f aca="false">MAX(AR101-AC102/AC$9*100,0)</f>
        <v>0</v>
      </c>
      <c r="AS102" s="1" t="n">
        <f aca="false">MAX(AS101-AD102/AD$9*100,0)</f>
        <v>0</v>
      </c>
      <c r="AT102" s="1" t="n">
        <f aca="false">MAX(AT101-AF102/AF$9*100,0)</f>
        <v>0</v>
      </c>
      <c r="AU102" s="1" t="n">
        <f aca="false">MAX(AU101-AG102/AG$9*100,0)</f>
        <v>0</v>
      </c>
      <c r="AY102" s="1" t="n">
        <f aca="false">$V102</f>
        <v>92</v>
      </c>
      <c r="AZ102" s="1" t="n">
        <f aca="false">AO102</f>
        <v>0</v>
      </c>
      <c r="BA102" s="1" t="n">
        <f aca="false">BA$7*EXP(-AY102/BA$8)</f>
        <v>1.05043882226805E-039</v>
      </c>
      <c r="BB102" s="1" t="n">
        <f aca="false">(AZ102-BA102)^2</f>
        <v>1.10342171932789E-078</v>
      </c>
      <c r="BD102" s="1" t="n">
        <f aca="false">$V102</f>
        <v>92</v>
      </c>
      <c r="BE102" s="1" t="n">
        <f aca="false">AT102</f>
        <v>0</v>
      </c>
      <c r="BF102" s="1" t="n">
        <f aca="false">BF$7*EXP(-BD102/BF$8)</f>
        <v>5.64905755869899E-021</v>
      </c>
      <c r="BG102" s="1" t="n">
        <f aca="false">(BE102-BF102)^2</f>
        <v>3.19118513014942E-041</v>
      </c>
      <c r="BI102" s="1" t="n">
        <f aca="false">$V102</f>
        <v>92</v>
      </c>
      <c r="BJ102" s="1" t="n">
        <f aca="false">AN102</f>
        <v>0</v>
      </c>
      <c r="BK102" s="1" t="n">
        <f aca="false">BK$7*EXP(-BI102/BK$8)</f>
        <v>4.97582361050026E-046</v>
      </c>
      <c r="BL102" s="1" t="n">
        <f aca="false">(BJ102-BK102)^2</f>
        <v>2.47588206028118E-091</v>
      </c>
      <c r="BN102" s="1" t="n">
        <f aca="false">$V102</f>
        <v>92</v>
      </c>
      <c r="BO102" s="1" t="n">
        <f aca="false">AR102</f>
        <v>0</v>
      </c>
      <c r="BP102" s="1" t="n">
        <f aca="false">BP$7*EXP(-BN102/BP$8)</f>
        <v>3.03718475036827E-042</v>
      </c>
      <c r="BQ102" s="1" t="n">
        <f aca="false">(BO102-BP102)^2</f>
        <v>9.22449120786957E-084</v>
      </c>
      <c r="BU102" s="1" t="n">
        <f aca="false">V102</f>
        <v>92</v>
      </c>
      <c r="BV102" s="1" t="n">
        <f aca="false">W102/W$9*100</f>
        <v>0</v>
      </c>
      <c r="BW102" s="1" t="n">
        <f aca="false">X102/X$9*100</f>
        <v>0</v>
      </c>
      <c r="BX102" s="1" t="n">
        <f aca="false">Z102/Z$9*100</f>
        <v>0</v>
      </c>
      <c r="BY102" s="1" t="n">
        <f aca="false">AA102/AA$9*100</f>
        <v>0</v>
      </c>
      <c r="BZ102" s="1" t="n">
        <f aca="false">AC102/AC$9*100</f>
        <v>0</v>
      </c>
      <c r="CA102" s="1" t="n">
        <f aca="false">AD102/AD$9*100</f>
        <v>0</v>
      </c>
      <c r="CB102" s="1" t="n">
        <f aca="false">AF102/AF$9*100</f>
        <v>0</v>
      </c>
      <c r="CC102" s="1" t="n">
        <f aca="false">AG102/AG$9*100</f>
        <v>0</v>
      </c>
      <c r="CE102" s="1" t="n">
        <f aca="false">$V102</f>
        <v>92</v>
      </c>
      <c r="CF102" s="1" t="n">
        <f aca="false">BV102</f>
        <v>0</v>
      </c>
      <c r="CG102" s="1" t="n">
        <f aca="false">CG$6*(1+CG$5*(-1)^$BU102)*EXP(-$BU102/CG$4)</f>
        <v>1.10447535729409E-028</v>
      </c>
      <c r="CH102" s="1" t="n">
        <f aca="false">(CF102-CG102)^2</f>
        <v>1.21986581486991E-056</v>
      </c>
      <c r="CI102" s="1" t="n">
        <f aca="false">EXP($BU102/CE102)*CF102</f>
        <v>0</v>
      </c>
      <c r="CJ102" s="1" t="n">
        <f aca="false">EXP($BU102/CE102)*(-1)^$BU102*CF102</f>
        <v>0</v>
      </c>
      <c r="CK102" s="1" t="n">
        <f aca="false">(-1)^CE102*CF102</f>
        <v>0</v>
      </c>
      <c r="CM102" s="1" t="n">
        <f aca="false">$V102</f>
        <v>92</v>
      </c>
      <c r="CN102" s="1" t="n">
        <f aca="false">BZ102</f>
        <v>0</v>
      </c>
      <c r="CO102" s="1" t="n">
        <f aca="false">CO$6*(1+CO$5*(-1)^$BU102)*EXP(-$BU102/CO$4)</f>
        <v>1.10447535729409E-028</v>
      </c>
      <c r="CP102" s="1" t="n">
        <f aca="false">(CN102-CO102)^2</f>
        <v>1.21986581486991E-056</v>
      </c>
      <c r="CQ102" s="1" t="n">
        <f aca="false">EXP($BU102/CM102)*CN102</f>
        <v>0</v>
      </c>
      <c r="CR102" s="1" t="n">
        <f aca="false">EXP($BU102/CM102)*(-1)^$BU102*CN102</f>
        <v>0</v>
      </c>
      <c r="CS102" s="1" t="n">
        <f aca="false">(-1)^CM102*CN102</f>
        <v>0</v>
      </c>
      <c r="CU102" s="1" t="n">
        <f aca="false">$V102</f>
        <v>92</v>
      </c>
      <c r="CV102" s="1" t="n">
        <f aca="false">CB102</f>
        <v>0</v>
      </c>
      <c r="CW102" s="1" t="n">
        <f aca="false">CW$6*(1+CW$5*(-1)^$BU102)*EXP(-$BU102/CW$4)</f>
        <v>2.64885786592602E-012</v>
      </c>
      <c r="CX102" s="1" t="n">
        <f aca="false">(CV102-CW102)^2</f>
        <v>7.01644799387815E-024</v>
      </c>
      <c r="CY102" s="1" t="n">
        <f aca="false">EXP($BU102/CU102)*CV102</f>
        <v>0</v>
      </c>
      <c r="CZ102" s="1" t="n">
        <f aca="false">EXP($BU102/CU102)*(-1)^$BU102*CV102</f>
        <v>0</v>
      </c>
      <c r="DA102" s="1" t="n">
        <f aca="false">(-1)^CU102*CV102</f>
        <v>0</v>
      </c>
      <c r="DB102" s="1" t="n">
        <v>0</v>
      </c>
    </row>
    <row r="103" customFormat="false" ht="16" hidden="false" customHeight="false" outlineLevel="0" collapsed="false">
      <c r="C103" s="1" t="n">
        <f aca="false">B103-A103</f>
        <v>0</v>
      </c>
      <c r="V103" s="1" t="n">
        <v>93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K103" s="1" t="n">
        <f aca="false">V103</f>
        <v>93</v>
      </c>
      <c r="AN103" s="1" t="n">
        <f aca="false">MAX(AN102-W103/W$9*100,0)</f>
        <v>0</v>
      </c>
      <c r="AO103" s="1" t="n">
        <f aca="false">MAX(AO102-X103/X$9*100,0)</f>
        <v>0</v>
      </c>
      <c r="AP103" s="1" t="n">
        <f aca="false">MAX(AP102-Z103/Z$9*100,0)</f>
        <v>0</v>
      </c>
      <c r="AQ103" s="1" t="n">
        <f aca="false">MAX(AQ102-AA103/AA$9*100,0)</f>
        <v>0</v>
      </c>
      <c r="AR103" s="1" t="n">
        <f aca="false">MAX(AR102-AC103/AC$9*100,0)</f>
        <v>0</v>
      </c>
      <c r="AS103" s="1" t="n">
        <f aca="false">MAX(AS102-AD103/AD$9*100,0)</f>
        <v>0</v>
      </c>
      <c r="AT103" s="1" t="n">
        <f aca="false">MAX(AT102-AF103/AF$9*100,0)</f>
        <v>0</v>
      </c>
      <c r="AU103" s="1" t="n">
        <f aca="false">MAX(AU102-AG103/AG$9*100,0)</f>
        <v>0</v>
      </c>
      <c r="AY103" s="1" t="n">
        <f aca="false">$V103</f>
        <v>93</v>
      </c>
      <c r="AZ103" s="1" t="n">
        <f aca="false">AO103</f>
        <v>0</v>
      </c>
      <c r="BA103" s="1" t="n">
        <f aca="false">BA$7*EXP(-AY103/BA$8)</f>
        <v>3.74666181465157E-040</v>
      </c>
      <c r="BB103" s="1" t="n">
        <f aca="false">(AZ103-BA103)^2</f>
        <v>1.40374747533682E-079</v>
      </c>
      <c r="BD103" s="1" t="n">
        <f aca="false">$V103</f>
        <v>93</v>
      </c>
      <c r="BE103" s="1" t="n">
        <f aca="false">AT103</f>
        <v>0</v>
      </c>
      <c r="BF103" s="1" t="n">
        <f aca="false">BF$7*EXP(-BD103/BF$8)</f>
        <v>3.22099711500606E-021</v>
      </c>
      <c r="BG103" s="1" t="n">
        <f aca="false">(BE103-BF103)^2</f>
        <v>1.03748224148774E-041</v>
      </c>
      <c r="BI103" s="1" t="n">
        <f aca="false">$V103</f>
        <v>93</v>
      </c>
      <c r="BJ103" s="1" t="n">
        <f aca="false">AN103</f>
        <v>0</v>
      </c>
      <c r="BK103" s="1" t="n">
        <f aca="false">BK$7*EXP(-BI103/BK$8)</f>
        <v>1.51303068618373E-046</v>
      </c>
      <c r="BL103" s="1" t="n">
        <f aca="false">(BJ103-BK103)^2</f>
        <v>2.28926185733361E-092</v>
      </c>
      <c r="BN103" s="1" t="n">
        <f aca="false">$V103</f>
        <v>93</v>
      </c>
      <c r="BO103" s="1" t="n">
        <f aca="false">AR103</f>
        <v>0</v>
      </c>
      <c r="BP103" s="1" t="n">
        <f aca="false">BP$7*EXP(-BN103/BP$8)</f>
        <v>1.01210256899618E-042</v>
      </c>
      <c r="BQ103" s="1" t="n">
        <f aca="false">(BO103-BP103)^2</f>
        <v>1.02435161016867E-084</v>
      </c>
      <c r="BU103" s="1" t="n">
        <f aca="false">V103</f>
        <v>93</v>
      </c>
      <c r="BV103" s="1" t="n">
        <f aca="false">W103/W$9*100</f>
        <v>0</v>
      </c>
      <c r="BW103" s="1" t="n">
        <f aca="false">X103/X$9*100</f>
        <v>0</v>
      </c>
      <c r="BX103" s="1" t="n">
        <f aca="false">Z103/Z$9*100</f>
        <v>0</v>
      </c>
      <c r="BY103" s="1" t="n">
        <f aca="false">AA103/AA$9*100</f>
        <v>0</v>
      </c>
      <c r="BZ103" s="1" t="n">
        <f aca="false">AC103/AC$9*100</f>
        <v>0</v>
      </c>
      <c r="CA103" s="1" t="n">
        <f aca="false">AD103/AD$9*100</f>
        <v>0</v>
      </c>
      <c r="CB103" s="1" t="n">
        <f aca="false">AF103/AF$9*100</f>
        <v>0</v>
      </c>
      <c r="CC103" s="1" t="n">
        <f aca="false">AG103/AG$9*100</f>
        <v>0</v>
      </c>
      <c r="CE103" s="1" t="n">
        <f aca="false">$V103</f>
        <v>93</v>
      </c>
      <c r="CF103" s="1" t="n">
        <f aca="false">BV103</f>
        <v>0</v>
      </c>
      <c r="CG103" s="1" t="n">
        <f aca="false">CG$6*(1+CG$5*(-1)^$BU103)*EXP(-$BU103/CG$4)</f>
        <v>1.77226624963345E-029</v>
      </c>
      <c r="CH103" s="1" t="n">
        <f aca="false">(CF103-CG103)^2</f>
        <v>3.14092765958981E-058</v>
      </c>
      <c r="CI103" s="1" t="n">
        <f aca="false">EXP($BU103/CE103)*CF103</f>
        <v>0</v>
      </c>
      <c r="CJ103" s="1" t="n">
        <f aca="false">EXP($BU103/CE103)*(-1)^$BU103*CF103</f>
        <v>-0</v>
      </c>
      <c r="CK103" s="1" t="n">
        <f aca="false">(-1)^CE103*CF103</f>
        <v>-0</v>
      </c>
      <c r="CM103" s="1" t="n">
        <f aca="false">$V103</f>
        <v>93</v>
      </c>
      <c r="CN103" s="1" t="n">
        <f aca="false">BZ103</f>
        <v>0</v>
      </c>
      <c r="CO103" s="1" t="n">
        <f aca="false">CO$6*(1+CO$5*(-1)^$BU103)*EXP(-$BU103/CO$4)</f>
        <v>1.77226624963345E-029</v>
      </c>
      <c r="CP103" s="1" t="n">
        <f aca="false">(CN103-CO103)^2</f>
        <v>3.14092765958981E-058</v>
      </c>
      <c r="CQ103" s="1" t="n">
        <f aca="false">EXP($BU103/CM103)*CN103</f>
        <v>0</v>
      </c>
      <c r="CR103" s="1" t="n">
        <f aca="false">EXP($BU103/CM103)*(-1)^$BU103*CN103</f>
        <v>-0</v>
      </c>
      <c r="CS103" s="1" t="n">
        <f aca="false">(-1)^CM103*CN103</f>
        <v>-0</v>
      </c>
      <c r="CU103" s="1" t="n">
        <f aca="false">$V103</f>
        <v>93</v>
      </c>
      <c r="CV103" s="1" t="n">
        <f aca="false">CB103</f>
        <v>0</v>
      </c>
      <c r="CW103" s="1" t="n">
        <f aca="false">CW$6*(1+CW$5*(-1)^$BU103)*EXP(-$BU103/CW$4)</f>
        <v>9.77752217252313E-013</v>
      </c>
      <c r="CX103" s="1" t="n">
        <f aca="false">(CV103-CW103)^2</f>
        <v>9.55999398341814E-025</v>
      </c>
      <c r="CY103" s="1" t="n">
        <f aca="false">EXP($BU103/CU103)*CV103</f>
        <v>0</v>
      </c>
      <c r="CZ103" s="1" t="n">
        <f aca="false">EXP($BU103/CU103)*(-1)^$BU103*CV103</f>
        <v>-0</v>
      </c>
      <c r="DA103" s="1" t="n">
        <f aca="false">(-1)^CU103*CV103</f>
        <v>-0</v>
      </c>
      <c r="DB103" s="1" t="n">
        <v>0</v>
      </c>
    </row>
    <row r="104" customFormat="false" ht="16" hidden="false" customHeight="false" outlineLevel="0" collapsed="false">
      <c r="C104" s="1" t="n">
        <f aca="false">B104-A104</f>
        <v>0</v>
      </c>
      <c r="V104" s="1" t="n">
        <v>94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K104" s="1" t="n">
        <f aca="false">V104</f>
        <v>94</v>
      </c>
      <c r="AN104" s="1" t="n">
        <f aca="false">MAX(AN103-W104/W$9*100,0)</f>
        <v>0</v>
      </c>
      <c r="AO104" s="1" t="n">
        <f aca="false">MAX(AO103-X104/X$9*100,0)</f>
        <v>0</v>
      </c>
      <c r="AP104" s="1" t="n">
        <f aca="false">MAX(AP103-Z104/Z$9*100,0)</f>
        <v>0</v>
      </c>
      <c r="AQ104" s="1" t="n">
        <f aca="false">MAX(AQ103-AA104/AA$9*100,0)</f>
        <v>0</v>
      </c>
      <c r="AR104" s="1" t="n">
        <f aca="false">MAX(AR103-AC104/AC$9*100,0)</f>
        <v>0</v>
      </c>
      <c r="AS104" s="1" t="n">
        <f aca="false">MAX(AS103-AD104/AD$9*100,0)</f>
        <v>0</v>
      </c>
      <c r="AT104" s="1" t="n">
        <f aca="false">MAX(AT103-AF104/AF$9*100,0)</f>
        <v>0</v>
      </c>
      <c r="AU104" s="1" t="n">
        <f aca="false">MAX(AU103-AG104/AG$9*100,0)</f>
        <v>0</v>
      </c>
      <c r="AY104" s="1" t="n">
        <f aca="false">$V104</f>
        <v>94</v>
      </c>
      <c r="AZ104" s="1" t="n">
        <f aca="false">AO104</f>
        <v>0</v>
      </c>
      <c r="BA104" s="1" t="n">
        <f aca="false">BA$7*EXP(-AY104/BA$8)</f>
        <v>1.33634386465832E-040</v>
      </c>
      <c r="BB104" s="1" t="n">
        <f aca="false">(AZ104-BA104)^2</f>
        <v>1.78581492460993E-080</v>
      </c>
      <c r="BD104" s="1" t="n">
        <f aca="false">$V104</f>
        <v>94</v>
      </c>
      <c r="BE104" s="1" t="n">
        <f aca="false">AT104</f>
        <v>0</v>
      </c>
      <c r="BF104" s="1" t="n">
        <f aca="false">BF$7*EXP(-BD104/BF$8)</f>
        <v>1.83655809966057E-021</v>
      </c>
      <c r="BG104" s="1" t="n">
        <f aca="false">(BE104-BF104)^2</f>
        <v>3.37294565342884E-042</v>
      </c>
      <c r="BI104" s="1" t="n">
        <f aca="false">$V104</f>
        <v>94</v>
      </c>
      <c r="BJ104" s="1" t="n">
        <f aca="false">AN104</f>
        <v>0</v>
      </c>
      <c r="BK104" s="1" t="n">
        <f aca="false">BK$7*EXP(-BI104/BK$8)</f>
        <v>4.60076971479193E-047</v>
      </c>
      <c r="BL104" s="1" t="n">
        <f aca="false">(BJ104-BK104)^2</f>
        <v>2.11670819685466E-093</v>
      </c>
      <c r="BN104" s="1" t="n">
        <f aca="false">$V104</f>
        <v>94</v>
      </c>
      <c r="BO104" s="1" t="n">
        <f aca="false">AR104</f>
        <v>0</v>
      </c>
      <c r="BP104" s="1" t="n">
        <f aca="false">BP$7*EXP(-BN104/BP$8)</f>
        <v>3.3727010187459E-043</v>
      </c>
      <c r="BQ104" s="1" t="n">
        <f aca="false">(BO104-BP104)^2</f>
        <v>1.13751121618496E-085</v>
      </c>
      <c r="BU104" s="1" t="n">
        <f aca="false">V104</f>
        <v>94</v>
      </c>
      <c r="BV104" s="1" t="n">
        <f aca="false">W104/W$9*100</f>
        <v>0</v>
      </c>
      <c r="BW104" s="1" t="n">
        <f aca="false">X104/X$9*100</f>
        <v>0</v>
      </c>
      <c r="BX104" s="1" t="n">
        <f aca="false">Z104/Z$9*100</f>
        <v>0</v>
      </c>
      <c r="BY104" s="1" t="n">
        <f aca="false">AA104/AA$9*100</f>
        <v>0</v>
      </c>
      <c r="BZ104" s="1" t="n">
        <f aca="false">AC104/AC$9*100</f>
        <v>0</v>
      </c>
      <c r="CA104" s="1" t="n">
        <f aca="false">AD104/AD$9*100</f>
        <v>0</v>
      </c>
      <c r="CB104" s="1" t="n">
        <f aca="false">AF104/AF$9*100</f>
        <v>0</v>
      </c>
      <c r="CC104" s="1" t="n">
        <f aca="false">AG104/AG$9*100</f>
        <v>0</v>
      </c>
      <c r="CE104" s="1" t="n">
        <f aca="false">$V104</f>
        <v>94</v>
      </c>
      <c r="CF104" s="1" t="n">
        <f aca="false">BV104</f>
        <v>0</v>
      </c>
      <c r="CG104" s="1" t="n">
        <f aca="false">CG$6*(1+CG$5*(-1)^$BU104)*EXP(-$BU104/CG$4)</f>
        <v>2.4273594253642E-029</v>
      </c>
      <c r="CH104" s="1" t="n">
        <f aca="false">(CF104-CG104)^2</f>
        <v>5.89207377990442E-058</v>
      </c>
      <c r="CI104" s="1" t="n">
        <f aca="false">EXP($BU104/CE104)*CF104</f>
        <v>0</v>
      </c>
      <c r="CJ104" s="1" t="n">
        <f aca="false">EXP($BU104/CE104)*(-1)^$BU104*CF104</f>
        <v>0</v>
      </c>
      <c r="CK104" s="1" t="n">
        <f aca="false">(-1)^CE104*CF104</f>
        <v>0</v>
      </c>
      <c r="CM104" s="1" t="n">
        <f aca="false">$V104</f>
        <v>94</v>
      </c>
      <c r="CN104" s="1" t="n">
        <f aca="false">BZ104</f>
        <v>0</v>
      </c>
      <c r="CO104" s="1" t="n">
        <f aca="false">CO$6*(1+CO$5*(-1)^$BU104)*EXP(-$BU104/CO$4)</f>
        <v>2.4273594253642E-029</v>
      </c>
      <c r="CP104" s="1" t="n">
        <f aca="false">(CN104-CO104)^2</f>
        <v>5.89207377990442E-058</v>
      </c>
      <c r="CQ104" s="1" t="n">
        <f aca="false">EXP($BU104/CM104)*CN104</f>
        <v>0</v>
      </c>
      <c r="CR104" s="1" t="n">
        <f aca="false">EXP($BU104/CM104)*(-1)^$BU104*CN104</f>
        <v>0</v>
      </c>
      <c r="CS104" s="1" t="n">
        <f aca="false">(-1)^CM104*CN104</f>
        <v>0</v>
      </c>
      <c r="CU104" s="1" t="n">
        <f aca="false">$V104</f>
        <v>94</v>
      </c>
      <c r="CV104" s="1" t="n">
        <f aca="false">CB104</f>
        <v>0</v>
      </c>
      <c r="CW104" s="1" t="n">
        <f aca="false">CW$6*(1+CW$5*(-1)^$BU104)*EXP(-$BU104/CW$4)</f>
        <v>1.35996897425056E-012</v>
      </c>
      <c r="CX104" s="1" t="n">
        <f aca="false">(CV104-CW104)^2</f>
        <v>1.84951561092412E-024</v>
      </c>
      <c r="CY104" s="1" t="n">
        <f aca="false">EXP($BU104/CU104)*CV104</f>
        <v>0</v>
      </c>
      <c r="CZ104" s="1" t="n">
        <f aca="false">EXP($BU104/CU104)*(-1)^$BU104*CV104</f>
        <v>0</v>
      </c>
      <c r="DA104" s="1" t="n">
        <f aca="false">(-1)^CU104*CV104</f>
        <v>0</v>
      </c>
      <c r="DB104" s="1" t="n">
        <v>0</v>
      </c>
    </row>
    <row r="105" customFormat="false" ht="16" hidden="false" customHeight="false" outlineLevel="0" collapsed="false">
      <c r="C105" s="1" t="n">
        <f aca="false">B105-A105</f>
        <v>0</v>
      </c>
      <c r="V105" s="1" t="n">
        <v>95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K105" s="1" t="n">
        <f aca="false">V105</f>
        <v>95</v>
      </c>
      <c r="AN105" s="1" t="n">
        <f aca="false">MAX(AN104-W105/W$9*100,0)</f>
        <v>0</v>
      </c>
      <c r="AO105" s="1" t="n">
        <f aca="false">MAX(AO104-X105/X$9*100,0)</f>
        <v>0</v>
      </c>
      <c r="AP105" s="1" t="n">
        <f aca="false">MAX(AP104-Z105/Z$9*100,0)</f>
        <v>0</v>
      </c>
      <c r="AQ105" s="1" t="n">
        <f aca="false">MAX(AQ104-AA105/AA$9*100,0)</f>
        <v>0</v>
      </c>
      <c r="AR105" s="1" t="n">
        <f aca="false">MAX(AR104-AC105/AC$9*100,0)</f>
        <v>0</v>
      </c>
      <c r="AS105" s="1" t="n">
        <f aca="false">MAX(AS104-AD105/AD$9*100,0)</f>
        <v>0</v>
      </c>
      <c r="AT105" s="1" t="n">
        <f aca="false">MAX(AT104-AF105/AF$9*100,0)</f>
        <v>0</v>
      </c>
      <c r="AU105" s="1" t="n">
        <f aca="false">MAX(AU104-AG105/AG$9*100,0)</f>
        <v>0</v>
      </c>
      <c r="AY105" s="1" t="n">
        <f aca="false">$V105</f>
        <v>95</v>
      </c>
      <c r="AZ105" s="1" t="n">
        <f aca="false">AO105</f>
        <v>0</v>
      </c>
      <c r="BA105" s="1" t="n">
        <f aca="false">BA$7*EXP(-AY105/BA$8)</f>
        <v>4.76641611374253E-041</v>
      </c>
      <c r="BB105" s="1" t="n">
        <f aca="false">(AZ105-BA105)^2</f>
        <v>2.27187225693444E-081</v>
      </c>
      <c r="BD105" s="1" t="n">
        <f aca="false">$V105</f>
        <v>95</v>
      </c>
      <c r="BE105" s="1" t="n">
        <f aca="false">AT105</f>
        <v>0</v>
      </c>
      <c r="BF105" s="1" t="n">
        <f aca="false">BF$7*EXP(-BD105/BF$8)</f>
        <v>1.04717437892598E-021</v>
      </c>
      <c r="BG105" s="1" t="n">
        <f aca="false">(BE105-BF105)^2</f>
        <v>1.09657417987901E-042</v>
      </c>
      <c r="BI105" s="1" t="n">
        <f aca="false">$V105</f>
        <v>95</v>
      </c>
      <c r="BJ105" s="1" t="n">
        <f aca="false">AN105</f>
        <v>0</v>
      </c>
      <c r="BK105" s="1" t="n">
        <f aca="false">BK$7*EXP(-BI105/BK$8)</f>
        <v>1.39898563603727E-047</v>
      </c>
      <c r="BL105" s="1" t="n">
        <f aca="false">(BJ105-BK105)^2</f>
        <v>1.95716080983861E-094</v>
      </c>
      <c r="BN105" s="1" t="n">
        <f aca="false">$V105</f>
        <v>95</v>
      </c>
      <c r="BO105" s="1" t="n">
        <f aca="false">AR105</f>
        <v>0</v>
      </c>
      <c r="BP105" s="1" t="n">
        <f aca="false">BP$7*EXP(-BN105/BP$8)</f>
        <v>1.12390902960871E-043</v>
      </c>
      <c r="BQ105" s="1" t="n">
        <f aca="false">(BO105-BP105)^2</f>
        <v>1.26317150683599E-086</v>
      </c>
      <c r="BU105" s="1" t="n">
        <f aca="false">V105</f>
        <v>95</v>
      </c>
      <c r="BV105" s="1" t="n">
        <f aca="false">W105/W$9*100</f>
        <v>0</v>
      </c>
      <c r="BW105" s="1" t="n">
        <f aca="false">X105/X$9*100</f>
        <v>0</v>
      </c>
      <c r="BX105" s="1" t="n">
        <f aca="false">Z105/Z$9*100</f>
        <v>0</v>
      </c>
      <c r="BY105" s="1" t="n">
        <f aca="false">AA105/AA$9*100</f>
        <v>0</v>
      </c>
      <c r="BZ105" s="1" t="n">
        <f aca="false">AC105/AC$9*100</f>
        <v>0</v>
      </c>
      <c r="CA105" s="1" t="n">
        <f aca="false">AD105/AD$9*100</f>
        <v>0</v>
      </c>
      <c r="CB105" s="1" t="n">
        <f aca="false">AF105/AF$9*100</f>
        <v>0</v>
      </c>
      <c r="CC105" s="1" t="n">
        <f aca="false">AG105/AG$9*100</f>
        <v>0</v>
      </c>
      <c r="CE105" s="1" t="n">
        <f aca="false">$V105</f>
        <v>95</v>
      </c>
      <c r="CF105" s="1" t="n">
        <f aca="false">BV105</f>
        <v>0</v>
      </c>
      <c r="CG105" s="1" t="n">
        <f aca="false">CG$6*(1+CG$5*(-1)^$BU105)*EXP(-$BU105/CG$4)</f>
        <v>3.89499607835716E-030</v>
      </c>
      <c r="CH105" s="1" t="n">
        <f aca="false">(CF105-CG105)^2</f>
        <v>1.51709944504177E-059</v>
      </c>
      <c r="CI105" s="1" t="n">
        <f aca="false">EXP($BU105/CE105)*CF105</f>
        <v>0</v>
      </c>
      <c r="CJ105" s="1" t="n">
        <f aca="false">EXP($BU105/CE105)*(-1)^$BU105*CF105</f>
        <v>-0</v>
      </c>
      <c r="CK105" s="1" t="n">
        <f aca="false">(-1)^CE105*CF105</f>
        <v>-0</v>
      </c>
      <c r="CM105" s="1" t="n">
        <f aca="false">$V105</f>
        <v>95</v>
      </c>
      <c r="CN105" s="1" t="n">
        <f aca="false">BZ105</f>
        <v>0</v>
      </c>
      <c r="CO105" s="1" t="n">
        <f aca="false">CO$6*(1+CO$5*(-1)^$BU105)*EXP(-$BU105/CO$4)</f>
        <v>3.89499607835716E-030</v>
      </c>
      <c r="CP105" s="1" t="n">
        <f aca="false">(CN105-CO105)^2</f>
        <v>1.51709944504177E-059</v>
      </c>
      <c r="CQ105" s="1" t="n">
        <f aca="false">EXP($BU105/CM105)*CN105</f>
        <v>0</v>
      </c>
      <c r="CR105" s="1" t="n">
        <f aca="false">EXP($BU105/CM105)*(-1)^$BU105*CN105</f>
        <v>-0</v>
      </c>
      <c r="CS105" s="1" t="n">
        <f aca="false">(-1)^CM105*CN105</f>
        <v>-0</v>
      </c>
      <c r="CU105" s="1" t="n">
        <f aca="false">$V105</f>
        <v>95</v>
      </c>
      <c r="CV105" s="1" t="n">
        <f aca="false">CB105</f>
        <v>0</v>
      </c>
      <c r="CW105" s="1" t="n">
        <f aca="false">CW$6*(1+CW$5*(-1)^$BU105)*EXP(-$BU105/CW$4)</f>
        <v>5.01994726509411E-013</v>
      </c>
      <c r="CX105" s="1" t="n">
        <f aca="false">(CV105-CW105)^2</f>
        <v>2.51998705443258E-025</v>
      </c>
      <c r="CY105" s="1" t="n">
        <f aca="false">EXP($BU105/CU105)*CV105</f>
        <v>0</v>
      </c>
      <c r="CZ105" s="1" t="n">
        <f aca="false">EXP($BU105/CU105)*(-1)^$BU105*CV105</f>
        <v>-0</v>
      </c>
      <c r="DA105" s="1" t="n">
        <f aca="false">(-1)^CU105*CV105</f>
        <v>-0</v>
      </c>
      <c r="DB105" s="1" t="n">
        <v>0</v>
      </c>
    </row>
    <row r="106" customFormat="false" ht="16" hidden="false" customHeight="false" outlineLevel="0" collapsed="false">
      <c r="C106" s="1" t="n">
        <f aca="false">B106-A106</f>
        <v>0</v>
      </c>
      <c r="V106" s="1" t="n">
        <v>96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K106" s="1" t="n">
        <f aca="false">V106</f>
        <v>96</v>
      </c>
      <c r="AN106" s="1" t="n">
        <f aca="false">MAX(AN105-W106/W$9*100,0)</f>
        <v>0</v>
      </c>
      <c r="AO106" s="1" t="n">
        <f aca="false">MAX(AO105-X106/X$9*100,0)</f>
        <v>0</v>
      </c>
      <c r="AP106" s="1" t="n">
        <f aca="false">MAX(AP105-Z106/Z$9*100,0)</f>
        <v>0</v>
      </c>
      <c r="AQ106" s="1" t="n">
        <f aca="false">MAX(AQ105-AA106/AA$9*100,0)</f>
        <v>0</v>
      </c>
      <c r="AR106" s="1" t="n">
        <f aca="false">MAX(AR105-AC106/AC$9*100,0)</f>
        <v>0</v>
      </c>
      <c r="AS106" s="1" t="n">
        <f aca="false">MAX(AS105-AD106/AD$9*100,0)</f>
        <v>0</v>
      </c>
      <c r="AT106" s="1" t="n">
        <f aca="false">MAX(AT105-AF106/AF$9*100,0)</f>
        <v>0</v>
      </c>
      <c r="AU106" s="1" t="n">
        <f aca="false">MAX(AU105-AG106/AG$9*100,0)</f>
        <v>0</v>
      </c>
      <c r="AY106" s="1" t="n">
        <f aca="false">$V106</f>
        <v>96</v>
      </c>
      <c r="AZ106" s="1" t="n">
        <f aca="false">AO106</f>
        <v>0</v>
      </c>
      <c r="BA106" s="1" t="n">
        <f aca="false">BA$7*EXP(-AY106/BA$8)</f>
        <v>1.70006561710474E-041</v>
      </c>
      <c r="BB106" s="1" t="n">
        <f aca="false">(AZ106-BA106)^2</f>
        <v>2.89022310246172E-082</v>
      </c>
      <c r="BD106" s="1" t="n">
        <f aca="false">$V106</f>
        <v>96</v>
      </c>
      <c r="BE106" s="1" t="n">
        <f aca="false">AT106</f>
        <v>0</v>
      </c>
      <c r="BF106" s="1" t="n">
        <f aca="false">BF$7*EXP(-BD106/BF$8)</f>
        <v>5.97081126963355E-022</v>
      </c>
      <c r="BG106" s="1" t="n">
        <f aca="false">(BE106-BF106)^2</f>
        <v>3.5650587217583E-043</v>
      </c>
      <c r="BI106" s="1" t="n">
        <f aca="false">$V106</f>
        <v>96</v>
      </c>
      <c r="BJ106" s="1" t="n">
        <f aca="false">AN106</f>
        <v>0</v>
      </c>
      <c r="BK106" s="1" t="n">
        <f aca="false">BK$7*EXP(-BI106/BK$8)</f>
        <v>4.25398559624956E-048</v>
      </c>
      <c r="BL106" s="1" t="n">
        <f aca="false">(BJ106-BK106)^2</f>
        <v>1.80963934530987E-095</v>
      </c>
      <c r="BN106" s="1" t="n">
        <f aca="false">$V106</f>
        <v>96</v>
      </c>
      <c r="BO106" s="1" t="n">
        <f aca="false">AR106</f>
        <v>0</v>
      </c>
      <c r="BP106" s="1" t="n">
        <f aca="false">BP$7*EXP(-BN106/BP$8)</f>
        <v>3.74528160016294E-044</v>
      </c>
      <c r="BQ106" s="1" t="n">
        <f aca="false">(BO106-BP106)^2</f>
        <v>1.40271342645191E-087</v>
      </c>
      <c r="BU106" s="1" t="n">
        <f aca="false">V106</f>
        <v>96</v>
      </c>
      <c r="BV106" s="1" t="n">
        <f aca="false">W106/W$9*100</f>
        <v>0</v>
      </c>
      <c r="BW106" s="1" t="n">
        <f aca="false">X106/X$9*100</f>
        <v>0</v>
      </c>
      <c r="BX106" s="1" t="n">
        <f aca="false">Z106/Z$9*100</f>
        <v>0</v>
      </c>
      <c r="BY106" s="1" t="n">
        <f aca="false">AA106/AA$9*100</f>
        <v>0</v>
      </c>
      <c r="BZ106" s="1" t="n">
        <f aca="false">AC106/AC$9*100</f>
        <v>0</v>
      </c>
      <c r="CA106" s="1" t="n">
        <f aca="false">AD106/AD$9*100</f>
        <v>0</v>
      </c>
      <c r="CB106" s="1" t="n">
        <f aca="false">AF106/AF$9*100</f>
        <v>0</v>
      </c>
      <c r="CC106" s="1" t="n">
        <f aca="false">AG106/AG$9*100</f>
        <v>0</v>
      </c>
      <c r="CE106" s="1" t="n">
        <f aca="false">$V106</f>
        <v>96</v>
      </c>
      <c r="CF106" s="1" t="n">
        <f aca="false">BV106</f>
        <v>0</v>
      </c>
      <c r="CG106" s="1" t="n">
        <f aca="false">CG$6*(1+CG$5*(-1)^$BU106)*EXP(-$BU106/CG$4)</f>
        <v>5.33472633951716E-030</v>
      </c>
      <c r="CH106" s="1" t="n">
        <f aca="false">(CF106-CG106)^2</f>
        <v>2.84593051175382E-059</v>
      </c>
      <c r="CI106" s="1" t="n">
        <f aca="false">EXP($BU106/CE106)*CF106</f>
        <v>0</v>
      </c>
      <c r="CJ106" s="1" t="n">
        <f aca="false">EXP($BU106/CE106)*(-1)^$BU106*CF106</f>
        <v>0</v>
      </c>
      <c r="CK106" s="1" t="n">
        <f aca="false">(-1)^CE106*CF106</f>
        <v>0</v>
      </c>
      <c r="CM106" s="1" t="n">
        <f aca="false">$V106</f>
        <v>96</v>
      </c>
      <c r="CN106" s="1" t="n">
        <f aca="false">BZ106</f>
        <v>0</v>
      </c>
      <c r="CO106" s="1" t="n">
        <f aca="false">CO$6*(1+CO$5*(-1)^$BU106)*EXP(-$BU106/CO$4)</f>
        <v>5.33472633951716E-030</v>
      </c>
      <c r="CP106" s="1" t="n">
        <f aca="false">(CN106-CO106)^2</f>
        <v>2.84593051175382E-059</v>
      </c>
      <c r="CQ106" s="1" t="n">
        <f aca="false">EXP($BU106/CM106)*CN106</f>
        <v>0</v>
      </c>
      <c r="CR106" s="1" t="n">
        <f aca="false">EXP($BU106/CM106)*(-1)^$BU106*CN106</f>
        <v>0</v>
      </c>
      <c r="CS106" s="1" t="n">
        <f aca="false">(-1)^CM106*CN106</f>
        <v>0</v>
      </c>
      <c r="CU106" s="1" t="n">
        <f aca="false">$V106</f>
        <v>96</v>
      </c>
      <c r="CV106" s="1" t="n">
        <f aca="false">CB106</f>
        <v>0</v>
      </c>
      <c r="CW106" s="1" t="n">
        <f aca="false">CW$6*(1+CW$5*(-1)^$BU106)*EXP(-$BU106/CW$4)</f>
        <v>6.98231352733432E-013</v>
      </c>
      <c r="CX106" s="1" t="n">
        <f aca="false">(CV106-CW106)^2</f>
        <v>4.87527021939958E-025</v>
      </c>
      <c r="CY106" s="1" t="n">
        <f aca="false">EXP($BU106/CU106)*CV106</f>
        <v>0</v>
      </c>
      <c r="CZ106" s="1" t="n">
        <f aca="false">EXP($BU106/CU106)*(-1)^$BU106*CV106</f>
        <v>0</v>
      </c>
      <c r="DA106" s="1" t="n">
        <f aca="false">(-1)^CU106*CV106</f>
        <v>0</v>
      </c>
      <c r="DB106" s="1" t="n">
        <v>0</v>
      </c>
    </row>
    <row r="107" customFormat="false" ht="16" hidden="false" customHeight="false" outlineLevel="0" collapsed="false">
      <c r="C107" s="1" t="n">
        <f aca="false">B107-A107</f>
        <v>0</v>
      </c>
      <c r="V107" s="1" t="n">
        <v>97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K107" s="1" t="n">
        <f aca="false">V107</f>
        <v>97</v>
      </c>
      <c r="AN107" s="1" t="n">
        <f aca="false">MAX(AN106-W107/W$9*100,0)</f>
        <v>0</v>
      </c>
      <c r="AO107" s="1" t="n">
        <f aca="false">MAX(AO106-X107/X$9*100,0)</f>
        <v>0</v>
      </c>
      <c r="AP107" s="1" t="n">
        <f aca="false">MAX(AP106-Z107/Z$9*100,0)</f>
        <v>0</v>
      </c>
      <c r="AQ107" s="1" t="n">
        <f aca="false">MAX(AQ106-AA107/AA$9*100,0)</f>
        <v>0</v>
      </c>
      <c r="AR107" s="1" t="n">
        <f aca="false">MAX(AR106-AC107/AC$9*100,0)</f>
        <v>0</v>
      </c>
      <c r="AS107" s="1" t="n">
        <f aca="false">MAX(AS106-AD107/AD$9*100,0)</f>
        <v>0</v>
      </c>
      <c r="AT107" s="1" t="n">
        <f aca="false">MAX(AT106-AF107/AF$9*100,0)</f>
        <v>0</v>
      </c>
      <c r="AU107" s="1" t="n">
        <f aca="false">MAX(AU106-AG107/AG$9*100,0)</f>
        <v>0</v>
      </c>
      <c r="AY107" s="1" t="n">
        <f aca="false">$V107</f>
        <v>97</v>
      </c>
      <c r="AZ107" s="1" t="n">
        <f aca="false">AO107</f>
        <v>0</v>
      </c>
      <c r="BA107" s="1" t="n">
        <f aca="false">BA$7*EXP(-AY107/BA$8)</f>
        <v>6.06372384091396E-042</v>
      </c>
      <c r="BB107" s="1" t="n">
        <f aca="false">(AZ107-BA107)^2</f>
        <v>3.67687468188684E-083</v>
      </c>
      <c r="BD107" s="1" t="n">
        <f aca="false">$V107</f>
        <v>97</v>
      </c>
      <c r="BE107" s="1" t="n">
        <f aca="false">AT107</f>
        <v>0</v>
      </c>
      <c r="BF107" s="1" t="n">
        <f aca="false">BF$7*EXP(-BD107/BF$8)</f>
        <v>3.40445564129896E-022</v>
      </c>
      <c r="BG107" s="1" t="n">
        <f aca="false">(BE107-BF107)^2</f>
        <v>1.15903182135723E-043</v>
      </c>
      <c r="BI107" s="1" t="n">
        <f aca="false">$V107</f>
        <v>97</v>
      </c>
      <c r="BJ107" s="1" t="n">
        <f aca="false">AN107</f>
        <v>0</v>
      </c>
      <c r="BK107" s="1" t="n">
        <f aca="false">BK$7*EXP(-BI107/BK$8)</f>
        <v>1.29353675884465E-048</v>
      </c>
      <c r="BL107" s="1" t="n">
        <f aca="false">(BJ107-BK107)^2</f>
        <v>1.67323734648232E-096</v>
      </c>
      <c r="BN107" s="1" t="n">
        <f aca="false">$V107</f>
        <v>97</v>
      </c>
      <c r="BO107" s="1" t="n">
        <f aca="false">AR107</f>
        <v>0</v>
      </c>
      <c r="BP107" s="1" t="n">
        <f aca="false">BP$7*EXP(-BN107/BP$8)</f>
        <v>1.24806669356529E-044</v>
      </c>
      <c r="BQ107" s="1" t="n">
        <f aca="false">(BO107-BP107)^2</f>
        <v>1.557670471587E-088</v>
      </c>
      <c r="BU107" s="1" t="n">
        <f aca="false">V107</f>
        <v>97</v>
      </c>
      <c r="BV107" s="1" t="n">
        <f aca="false">W107/W$9*100</f>
        <v>0</v>
      </c>
      <c r="BW107" s="1" t="n">
        <f aca="false">X107/X$9*100</f>
        <v>0</v>
      </c>
      <c r="BX107" s="1" t="n">
        <f aca="false">Z107/Z$9*100</f>
        <v>0</v>
      </c>
      <c r="BY107" s="1" t="n">
        <f aca="false">AA107/AA$9*100</f>
        <v>0</v>
      </c>
      <c r="BZ107" s="1" t="n">
        <f aca="false">AC107/AC$9*100</f>
        <v>0</v>
      </c>
      <c r="CA107" s="1" t="n">
        <f aca="false">AD107/AD$9*100</f>
        <v>0</v>
      </c>
      <c r="CB107" s="1" t="n">
        <f aca="false">AF107/AF$9*100</f>
        <v>0</v>
      </c>
      <c r="CC107" s="1" t="n">
        <f aca="false">AG107/AG$9*100</f>
        <v>0</v>
      </c>
      <c r="CE107" s="1" t="n">
        <f aca="false">$V107</f>
        <v>97</v>
      </c>
      <c r="CF107" s="1" t="n">
        <f aca="false">BV107</f>
        <v>0</v>
      </c>
      <c r="CG107" s="1" t="n">
        <f aca="false">CG$6*(1+CG$5*(-1)^$BU107)*EXP(-$BU107/CG$4)</f>
        <v>8.5602230779689E-031</v>
      </c>
      <c r="CH107" s="1" t="n">
        <f aca="false">(CF107-CG107)^2</f>
        <v>7.32774191445914E-061</v>
      </c>
      <c r="CI107" s="1" t="n">
        <f aca="false">EXP($BU107/CE107)*CF107</f>
        <v>0</v>
      </c>
      <c r="CJ107" s="1" t="n">
        <f aca="false">EXP($BU107/CE107)*(-1)^$BU107*CF107</f>
        <v>-0</v>
      </c>
      <c r="CK107" s="1" t="n">
        <f aca="false">(-1)^CE107*CF107</f>
        <v>-0</v>
      </c>
      <c r="CM107" s="1" t="n">
        <f aca="false">$V107</f>
        <v>97</v>
      </c>
      <c r="CN107" s="1" t="n">
        <f aca="false">BZ107</f>
        <v>0</v>
      </c>
      <c r="CO107" s="1" t="n">
        <f aca="false">CO$6*(1+CO$5*(-1)^$BU107)*EXP(-$BU107/CO$4)</f>
        <v>8.5602230779689E-031</v>
      </c>
      <c r="CP107" s="1" t="n">
        <f aca="false">(CN107-CO107)^2</f>
        <v>7.32774191445914E-061</v>
      </c>
      <c r="CQ107" s="1" t="n">
        <f aca="false">EXP($BU107/CM107)*CN107</f>
        <v>0</v>
      </c>
      <c r="CR107" s="1" t="n">
        <f aca="false">EXP($BU107/CM107)*(-1)^$BU107*CN107</f>
        <v>-0</v>
      </c>
      <c r="CS107" s="1" t="n">
        <f aca="false">(-1)^CM107*CN107</f>
        <v>-0</v>
      </c>
      <c r="CU107" s="1" t="n">
        <f aca="false">$V107</f>
        <v>97</v>
      </c>
      <c r="CV107" s="1" t="n">
        <f aca="false">CB107</f>
        <v>0</v>
      </c>
      <c r="CW107" s="1" t="n">
        <f aca="false">CW$6*(1+CW$5*(-1)^$BU107)*EXP(-$BU107/CW$4)</f>
        <v>2.57732686254015E-013</v>
      </c>
      <c r="CX107" s="1" t="n">
        <f aca="false">(CV107-CW107)^2</f>
        <v>6.64261375637106E-026</v>
      </c>
      <c r="CY107" s="1" t="n">
        <f aca="false">EXP($BU107/CU107)*CV107</f>
        <v>0</v>
      </c>
      <c r="CZ107" s="1" t="n">
        <f aca="false">EXP($BU107/CU107)*(-1)^$BU107*CV107</f>
        <v>-0</v>
      </c>
      <c r="DA107" s="1" t="n">
        <f aca="false">(-1)^CU107*CV107</f>
        <v>-0</v>
      </c>
      <c r="DB107" s="1" t="n">
        <v>0</v>
      </c>
    </row>
    <row r="108" customFormat="false" ht="16" hidden="false" customHeight="false" outlineLevel="0" collapsed="false">
      <c r="C108" s="1" t="n">
        <f aca="false">B108-A108</f>
        <v>0</v>
      </c>
      <c r="V108" s="1" t="n">
        <v>98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K108" s="1" t="n">
        <f aca="false">V108</f>
        <v>98</v>
      </c>
      <c r="AN108" s="1" t="n">
        <f aca="false">MAX(AN107-W108/W$9*100,0)</f>
        <v>0</v>
      </c>
      <c r="AO108" s="1" t="n">
        <f aca="false">MAX(AO107-X108/X$9*100,0)</f>
        <v>0</v>
      </c>
      <c r="AP108" s="1" t="n">
        <f aca="false">MAX(AP107-Z108/Z$9*100,0)</f>
        <v>0</v>
      </c>
      <c r="AQ108" s="1" t="n">
        <f aca="false">MAX(AQ107-AA108/AA$9*100,0)</f>
        <v>0</v>
      </c>
      <c r="AR108" s="1" t="n">
        <f aca="false">MAX(AR107-AC108/AC$9*100,0)</f>
        <v>0</v>
      </c>
      <c r="AS108" s="1" t="n">
        <f aca="false">MAX(AS107-AD108/AD$9*100,0)</f>
        <v>0</v>
      </c>
      <c r="AT108" s="1" t="n">
        <f aca="false">MAX(AT107-AF108/AF$9*100,0)</f>
        <v>0</v>
      </c>
      <c r="AU108" s="1" t="n">
        <f aca="false">MAX(AU107-AG108/AG$9*100,0)</f>
        <v>0</v>
      </c>
      <c r="AY108" s="1" t="n">
        <f aca="false">$V108</f>
        <v>98</v>
      </c>
      <c r="AZ108" s="1" t="n">
        <f aca="false">AO108</f>
        <v>0</v>
      </c>
      <c r="BA108" s="1" t="n">
        <f aca="false">BA$7*EXP(-AY108/BA$8)</f>
        <v>2.16278398015523E-042</v>
      </c>
      <c r="BB108" s="1" t="n">
        <f aca="false">(AZ108-BA108)^2</f>
        <v>4.6776345448161E-084</v>
      </c>
      <c r="BD108" s="1" t="n">
        <f aca="false">$V108</f>
        <v>98</v>
      </c>
      <c r="BE108" s="1" t="n">
        <f aca="false">AT108</f>
        <v>0</v>
      </c>
      <c r="BF108" s="1" t="n">
        <f aca="false">BF$7*EXP(-BD108/BF$8)</f>
        <v>1.94116304973809E-022</v>
      </c>
      <c r="BG108" s="1" t="n">
        <f aca="false">(BE108-BF108)^2</f>
        <v>3.76811398566848E-044</v>
      </c>
      <c r="BI108" s="1" t="n">
        <f aca="false">$V108</f>
        <v>98</v>
      </c>
      <c r="BJ108" s="1" t="n">
        <f aca="false">AN108</f>
        <v>0</v>
      </c>
      <c r="BK108" s="1" t="n">
        <f aca="false">BK$7*EXP(-BI108/BK$8)</f>
        <v>3.93334041365232E-049</v>
      </c>
      <c r="BL108" s="1" t="n">
        <f aca="false">(BJ108-BK108)^2</f>
        <v>1.54711668096706E-097</v>
      </c>
      <c r="BN108" s="1" t="n">
        <f aca="false">$V108</f>
        <v>98</v>
      </c>
      <c r="BO108" s="1" t="n">
        <f aca="false">AR108</f>
        <v>0</v>
      </c>
      <c r="BP108" s="1" t="n">
        <f aca="false">BP$7*EXP(-BN108/BP$8)</f>
        <v>4.15902097059725E-045</v>
      </c>
      <c r="BQ108" s="1" t="n">
        <f aca="false">(BO108-BP108)^2</f>
        <v>1.72974554338677E-089</v>
      </c>
      <c r="BU108" s="1" t="n">
        <f aca="false">V108</f>
        <v>98</v>
      </c>
      <c r="BV108" s="1" t="n">
        <f aca="false">W108/W$9*100</f>
        <v>0</v>
      </c>
      <c r="BW108" s="1" t="n">
        <f aca="false">X108/X$9*100</f>
        <v>0</v>
      </c>
      <c r="BX108" s="1" t="n">
        <f aca="false">Z108/Z$9*100</f>
        <v>0</v>
      </c>
      <c r="BY108" s="1" t="n">
        <f aca="false">AA108/AA$9*100</f>
        <v>0</v>
      </c>
      <c r="BZ108" s="1" t="n">
        <f aca="false">AC108/AC$9*100</f>
        <v>0</v>
      </c>
      <c r="CA108" s="1" t="n">
        <f aca="false">AD108/AD$9*100</f>
        <v>0</v>
      </c>
      <c r="CB108" s="1" t="n">
        <f aca="false">AF108/AF$9*100</f>
        <v>0</v>
      </c>
      <c r="CC108" s="1" t="n">
        <f aca="false">AG108/AG$9*100</f>
        <v>0</v>
      </c>
      <c r="CE108" s="1" t="n">
        <f aca="false">$V108</f>
        <v>98</v>
      </c>
      <c r="CF108" s="1" t="n">
        <f aca="false">BV108</f>
        <v>0</v>
      </c>
      <c r="CG108" s="1" t="n">
        <f aca="false">CG$6*(1+CG$5*(-1)^$BU108)*EXP(-$BU108/CG$4)</f>
        <v>1.17243885763923E-030</v>
      </c>
      <c r="CH108" s="1" t="n">
        <f aca="false">(CF108-CG108)^2</f>
        <v>1.37461287490238E-060</v>
      </c>
      <c r="CI108" s="1" t="n">
        <f aca="false">EXP($BU108/CE108)*CF108</f>
        <v>0</v>
      </c>
      <c r="CJ108" s="1" t="n">
        <f aca="false">EXP($BU108/CE108)*(-1)^$BU108*CF108</f>
        <v>0</v>
      </c>
      <c r="CK108" s="1" t="n">
        <f aca="false">(-1)^CE108*CF108</f>
        <v>0</v>
      </c>
      <c r="CM108" s="1" t="n">
        <f aca="false">$V108</f>
        <v>98</v>
      </c>
      <c r="CN108" s="1" t="n">
        <f aca="false">BZ108</f>
        <v>0</v>
      </c>
      <c r="CO108" s="1" t="n">
        <f aca="false">CO$6*(1+CO$5*(-1)^$BU108)*EXP(-$BU108/CO$4)</f>
        <v>1.17243885763923E-030</v>
      </c>
      <c r="CP108" s="1" t="n">
        <f aca="false">(CN108-CO108)^2</f>
        <v>1.37461287490238E-060</v>
      </c>
      <c r="CQ108" s="1" t="n">
        <f aca="false">EXP($BU108/CM108)*CN108</f>
        <v>0</v>
      </c>
      <c r="CR108" s="1" t="n">
        <f aca="false">EXP($BU108/CM108)*(-1)^$BU108*CN108</f>
        <v>0</v>
      </c>
      <c r="CS108" s="1" t="n">
        <f aca="false">(-1)^CM108*CN108</f>
        <v>0</v>
      </c>
      <c r="CU108" s="1" t="n">
        <f aca="false">$V108</f>
        <v>98</v>
      </c>
      <c r="CV108" s="1" t="n">
        <f aca="false">CB108</f>
        <v>0</v>
      </c>
      <c r="CW108" s="1" t="n">
        <f aca="false">CW$6*(1+CW$5*(-1)^$BU108)*EXP(-$BU108/CW$4)</f>
        <v>3.58483929538629E-013</v>
      </c>
      <c r="CX108" s="1" t="n">
        <f aca="false">(CV108-CW108)^2</f>
        <v>1.28510727737457E-025</v>
      </c>
      <c r="CY108" s="1" t="n">
        <f aca="false">EXP($BU108/CU108)*CV108</f>
        <v>0</v>
      </c>
      <c r="CZ108" s="1" t="n">
        <f aca="false">EXP($BU108/CU108)*(-1)^$BU108*CV108</f>
        <v>0</v>
      </c>
      <c r="DA108" s="1" t="n">
        <f aca="false">(-1)^CU108*CV108</f>
        <v>0</v>
      </c>
      <c r="DB108" s="1" t="n">
        <v>0</v>
      </c>
    </row>
    <row r="109" customFormat="false" ht="16" hidden="false" customHeight="false" outlineLevel="0" collapsed="false">
      <c r="C109" s="1" t="n">
        <f aca="false">B109-A109</f>
        <v>0</v>
      </c>
      <c r="V109" s="1" t="n">
        <v>99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K109" s="1" t="n">
        <f aca="false">V109</f>
        <v>99</v>
      </c>
      <c r="AN109" s="1" t="n">
        <f aca="false">MAX(AN108-W109/W$9*100,0)</f>
        <v>0</v>
      </c>
      <c r="AO109" s="1" t="n">
        <f aca="false">MAX(AO108-X109/X$9*100,0)</f>
        <v>0</v>
      </c>
      <c r="AP109" s="1" t="n">
        <f aca="false">MAX(AP108-Z109/Z$9*100,0)</f>
        <v>0</v>
      </c>
      <c r="AQ109" s="1" t="n">
        <f aca="false">MAX(AQ108-AA109/AA$9*100,0)</f>
        <v>0</v>
      </c>
      <c r="AR109" s="1" t="n">
        <f aca="false">MAX(AR108-AC109/AC$9*100,0)</f>
        <v>0</v>
      </c>
      <c r="AS109" s="1" t="n">
        <f aca="false">MAX(AS108-AD109/AD$9*100,0)</f>
        <v>0</v>
      </c>
      <c r="AT109" s="1" t="n">
        <f aca="false">MAX(AT108-AF109/AF$9*100,0)</f>
        <v>0</v>
      </c>
      <c r="AU109" s="1" t="n">
        <f aca="false">MAX(AU108-AG109/AG$9*100,0)</f>
        <v>0</v>
      </c>
      <c r="AY109" s="1" t="n">
        <f aca="false">$V109</f>
        <v>99</v>
      </c>
      <c r="AZ109" s="1" t="n">
        <f aca="false">AO109</f>
        <v>0</v>
      </c>
      <c r="BA109" s="1" t="n">
        <f aca="false">BA$7*EXP(-AY109/BA$8)</f>
        <v>7.71412859084129E-043</v>
      </c>
      <c r="BB109" s="1" t="n">
        <f aca="false">(AZ109-BA109)^2</f>
        <v>5.9507779916035E-085</v>
      </c>
      <c r="BD109" s="1" t="n">
        <f aca="false">$V109</f>
        <v>99</v>
      </c>
      <c r="BE109" s="1" t="n">
        <f aca="false">AT109</f>
        <v>0</v>
      </c>
      <c r="BF109" s="1" t="n">
        <f aca="false">BF$7*EXP(-BD109/BF$8)</f>
        <v>1.10681835297191E-022</v>
      </c>
      <c r="BG109" s="1" t="n">
        <f aca="false">(BE109-BF109)^2</f>
        <v>1.22504686647545E-044</v>
      </c>
      <c r="BI109" s="1" t="n">
        <f aca="false">$V109</f>
        <v>99</v>
      </c>
      <c r="BJ109" s="1" t="n">
        <f aca="false">AN109</f>
        <v>0</v>
      </c>
      <c r="BK109" s="1" t="n">
        <f aca="false">BK$7*EXP(-BI109/BK$8)</f>
        <v>1.19603611601181E-049</v>
      </c>
      <c r="BL109" s="1" t="n">
        <f aca="false">(BJ109-BK109)^2</f>
        <v>1.43050239080462E-098</v>
      </c>
      <c r="BN109" s="1" t="n">
        <f aca="false">$V109</f>
        <v>99</v>
      </c>
      <c r="BO109" s="1" t="n">
        <f aca="false">AR109</f>
        <v>0</v>
      </c>
      <c r="BP109" s="1" t="n">
        <f aca="false">BP$7*EXP(-BN109/BP$8)</f>
        <v>1.38593999207327E-045</v>
      </c>
      <c r="BQ109" s="1" t="n">
        <f aca="false">(BO109-BP109)^2</f>
        <v>1.92082966162806E-090</v>
      </c>
      <c r="BU109" s="1" t="n">
        <f aca="false">V109</f>
        <v>99</v>
      </c>
      <c r="BV109" s="1" t="n">
        <f aca="false">W109/W$9*100</f>
        <v>0</v>
      </c>
      <c r="BW109" s="1" t="n">
        <f aca="false">X109/X$9*100</f>
        <v>0</v>
      </c>
      <c r="BX109" s="1" t="n">
        <f aca="false">Z109/Z$9*100</f>
        <v>0</v>
      </c>
      <c r="BY109" s="1" t="n">
        <f aca="false">AA109/AA$9*100</f>
        <v>0</v>
      </c>
      <c r="BZ109" s="1" t="n">
        <f aca="false">AC109/AC$9*100</f>
        <v>0</v>
      </c>
      <c r="CA109" s="1" t="n">
        <f aca="false">AD109/AD$9*100</f>
        <v>0</v>
      </c>
      <c r="CB109" s="1" t="n">
        <f aca="false">AF109/AF$9*100</f>
        <v>0</v>
      </c>
      <c r="CC109" s="1" t="n">
        <f aca="false">AG109/AG$9*100</f>
        <v>0</v>
      </c>
      <c r="CE109" s="1" t="n">
        <f aca="false">$V109</f>
        <v>99</v>
      </c>
      <c r="CF109" s="1" t="n">
        <f aca="false">BV109</f>
        <v>0</v>
      </c>
      <c r="CG109" s="1" t="n">
        <f aca="false">CG$6*(1+CG$5*(-1)^$BU109)*EXP(-$BU109/CG$4)</f>
        <v>1.88132202627271E-031</v>
      </c>
      <c r="CH109" s="1" t="n">
        <f aca="false">(CF109-CG109)^2</f>
        <v>3.53937256653886E-062</v>
      </c>
      <c r="CI109" s="1" t="n">
        <f aca="false">EXP($BU109/CE109)*CF109</f>
        <v>0</v>
      </c>
      <c r="CJ109" s="1" t="n">
        <f aca="false">EXP($BU109/CE109)*(-1)^$BU109*CF109</f>
        <v>-0</v>
      </c>
      <c r="CK109" s="1" t="n">
        <f aca="false">(-1)^CE109*CF109</f>
        <v>-0</v>
      </c>
      <c r="CM109" s="1" t="n">
        <f aca="false">$V109</f>
        <v>99</v>
      </c>
      <c r="CN109" s="1" t="n">
        <f aca="false">BZ109</f>
        <v>0</v>
      </c>
      <c r="CO109" s="1" t="n">
        <f aca="false">CO$6*(1+CO$5*(-1)^$BU109)*EXP(-$BU109/CO$4)</f>
        <v>1.88132202627271E-031</v>
      </c>
      <c r="CP109" s="1" t="n">
        <f aca="false">(CN109-CO109)^2</f>
        <v>3.53937256653886E-062</v>
      </c>
      <c r="CQ109" s="1" t="n">
        <f aca="false">EXP($BU109/CM109)*CN109</f>
        <v>0</v>
      </c>
      <c r="CR109" s="1" t="n">
        <f aca="false">EXP($BU109/CM109)*(-1)^$BU109*CN109</f>
        <v>-0</v>
      </c>
      <c r="CS109" s="1" t="n">
        <f aca="false">(-1)^CM109*CN109</f>
        <v>-0</v>
      </c>
      <c r="CU109" s="1" t="n">
        <f aca="false">$V109</f>
        <v>99</v>
      </c>
      <c r="CV109" s="1" t="n">
        <f aca="false">CB109</f>
        <v>0</v>
      </c>
      <c r="CW109" s="1" t="n">
        <f aca="false">CW$6*(1+CW$5*(-1)^$BU109)*EXP(-$BU109/CW$4)</f>
        <v>1.32324373257068E-013</v>
      </c>
      <c r="CX109" s="1" t="n">
        <f aca="false">(CV109-CW109)^2</f>
        <v>1.75097397578759E-026</v>
      </c>
      <c r="CY109" s="1" t="n">
        <f aca="false">EXP($BU109/CU109)*CV109</f>
        <v>0</v>
      </c>
      <c r="CZ109" s="1" t="n">
        <f aca="false">EXP($BU109/CU109)*(-1)^$BU109*CV109</f>
        <v>-0</v>
      </c>
      <c r="DA109" s="1" t="n">
        <f aca="false">(-1)^CU109*CV109</f>
        <v>-0</v>
      </c>
      <c r="DB109" s="1" t="n">
        <v>0</v>
      </c>
    </row>
    <row r="110" customFormat="false" ht="16" hidden="false" customHeight="false" outlineLevel="0" collapsed="false">
      <c r="C110" s="1" t="n">
        <f aca="false">B110-A110</f>
        <v>0</v>
      </c>
      <c r="V110" s="1" t="n">
        <v>100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K110" s="1" t="n">
        <f aca="false">V110</f>
        <v>100</v>
      </c>
      <c r="AN110" s="1" t="n">
        <f aca="false">MAX(AN109-W110/W$9*100,0)</f>
        <v>0</v>
      </c>
      <c r="AO110" s="1" t="n">
        <f aca="false">MAX(AO109-X110/X$9*100,0)</f>
        <v>0</v>
      </c>
      <c r="AP110" s="1" t="n">
        <f aca="false">MAX(AP109-Z110/Z$9*100,0)</f>
        <v>0</v>
      </c>
      <c r="AQ110" s="1" t="n">
        <f aca="false">MAX(AQ109-AA110/AA$9*100,0)</f>
        <v>0</v>
      </c>
      <c r="AR110" s="1" t="n">
        <f aca="false">MAX(AR109-AC110/AC$9*100,0)</f>
        <v>0</v>
      </c>
      <c r="AS110" s="1" t="n">
        <f aca="false">MAX(AS109-AD110/AD$9*100,0)</f>
        <v>0</v>
      </c>
      <c r="AT110" s="1" t="n">
        <f aca="false">MAX(AT109-AF110/AF$9*100,0)</f>
        <v>0</v>
      </c>
      <c r="AU110" s="1" t="n">
        <f aca="false">MAX(AU109-AG110/AG$9*100,0)</f>
        <v>0</v>
      </c>
      <c r="AY110" s="1" t="n">
        <f aca="false">$V110</f>
        <v>100</v>
      </c>
      <c r="AZ110" s="1" t="n">
        <f aca="false">AO110</f>
        <v>0</v>
      </c>
      <c r="BA110" s="1" t="n">
        <f aca="false">BA$7*EXP(-AY110/BA$8)</f>
        <v>2.7514435312104E-043</v>
      </c>
      <c r="BB110" s="1" t="n">
        <f aca="false">(AZ110-BA110)^2</f>
        <v>7.57044150543956E-086</v>
      </c>
      <c r="BD110" s="1" t="n">
        <f aca="false">$V110</f>
        <v>100</v>
      </c>
      <c r="BE110" s="1" t="n">
        <f aca="false">AT110</f>
        <v>0</v>
      </c>
      <c r="BF110" s="1" t="n">
        <f aca="false">BF$7*EXP(-BD110/BF$8)</f>
        <v>6.31089112602237E-023</v>
      </c>
      <c r="BG110" s="1" t="n">
        <f aca="false">(BE110-BF110)^2</f>
        <v>3.98273468045079E-045</v>
      </c>
      <c r="BI110" s="1" t="n">
        <f aca="false">$V110</f>
        <v>100</v>
      </c>
      <c r="BJ110" s="1" t="n">
        <f aca="false">AN110</f>
        <v>0</v>
      </c>
      <c r="BK110" s="1" t="n">
        <f aca="false">BK$7*EXP(-BI110/BK$8)</f>
        <v>3.63686393844644E-050</v>
      </c>
      <c r="BL110" s="1" t="n">
        <f aca="false">(BJ110-BK110)^2</f>
        <v>1.32267793067722E-099</v>
      </c>
      <c r="BN110" s="1" t="n">
        <f aca="false">$V110</f>
        <v>100</v>
      </c>
      <c r="BO110" s="1" t="n">
        <f aca="false">AR110</f>
        <v>0</v>
      </c>
      <c r="BP110" s="1" t="n">
        <f aca="false">BP$7*EXP(-BN110/BP$8)</f>
        <v>4.6184659207242E-046</v>
      </c>
      <c r="BQ110" s="1" t="n">
        <f aca="false">(BO110-BP110)^2</f>
        <v>2.13302274608908E-091</v>
      </c>
      <c r="BU110" s="1" t="n">
        <f aca="false">V110</f>
        <v>100</v>
      </c>
      <c r="BV110" s="1" t="n">
        <f aca="false">W110/W$9*100</f>
        <v>0</v>
      </c>
      <c r="BW110" s="1" t="n">
        <f aca="false">X110/X$9*100</f>
        <v>0</v>
      </c>
      <c r="BX110" s="1" t="n">
        <f aca="false">Z110/Z$9*100</f>
        <v>0</v>
      </c>
      <c r="BY110" s="1" t="n">
        <f aca="false">AA110/AA$9*100</f>
        <v>0</v>
      </c>
      <c r="BZ110" s="1" t="n">
        <f aca="false">AC110/AC$9*100</f>
        <v>0</v>
      </c>
      <c r="CA110" s="1" t="n">
        <f aca="false">AD110/AD$9*100</f>
        <v>0</v>
      </c>
      <c r="CB110" s="1" t="n">
        <f aca="false">AF110/AF$9*100</f>
        <v>0</v>
      </c>
      <c r="CC110" s="1" t="n">
        <f aca="false">AG110/AG$9*100</f>
        <v>0</v>
      </c>
      <c r="CE110" s="1" t="n">
        <f aca="false">$V110</f>
        <v>100</v>
      </c>
      <c r="CF110" s="1" t="n">
        <f aca="false">BV110</f>
        <v>0</v>
      </c>
      <c r="CG110" s="1" t="n">
        <f aca="false">CG$6*(1+CG$5*(-1)^$BU110)*EXP(-$BU110/CG$4)</f>
        <v>2.57672612879856E-031</v>
      </c>
      <c r="CH110" s="1" t="n">
        <f aca="false">(CF110-CG110)^2</f>
        <v>6.63951754283321E-062</v>
      </c>
      <c r="CI110" s="1" t="n">
        <f aca="false">EXP($BU110/CE110)*CF110</f>
        <v>0</v>
      </c>
      <c r="CJ110" s="1" t="n">
        <f aca="false">EXP($BU110/CE110)*(-1)^$BU110*CF110</f>
        <v>0</v>
      </c>
      <c r="CK110" s="1" t="n">
        <f aca="false">(-1)^CE110*CF110</f>
        <v>0</v>
      </c>
      <c r="CM110" s="1" t="n">
        <f aca="false">$V110</f>
        <v>100</v>
      </c>
      <c r="CN110" s="1" t="n">
        <f aca="false">BZ110</f>
        <v>0</v>
      </c>
      <c r="CO110" s="1" t="n">
        <f aca="false">CO$6*(1+CO$5*(-1)^$BU110)*EXP(-$BU110/CO$4)</f>
        <v>2.57672612879856E-031</v>
      </c>
      <c r="CP110" s="1" t="n">
        <f aca="false">(CN110-CO110)^2</f>
        <v>6.63951754283321E-062</v>
      </c>
      <c r="CQ110" s="1" t="n">
        <f aca="false">EXP($BU110/CM110)*CN110</f>
        <v>0</v>
      </c>
      <c r="CR110" s="1" t="n">
        <f aca="false">EXP($BU110/CM110)*(-1)^$BU110*CN110</f>
        <v>0</v>
      </c>
      <c r="CS110" s="1" t="n">
        <f aca="false">(-1)^CM110*CN110</f>
        <v>0</v>
      </c>
      <c r="CU110" s="1" t="n">
        <f aca="false">$V110</f>
        <v>100</v>
      </c>
      <c r="CV110" s="1" t="n">
        <f aca="false">CB110</f>
        <v>0</v>
      </c>
      <c r="CW110" s="1" t="n">
        <f aca="false">CW$6*(1+CW$5*(-1)^$BU110)*EXP(-$BU110/CW$4)</f>
        <v>1.84051786323205E-013</v>
      </c>
      <c r="CX110" s="1" t="n">
        <f aca="false">(CV110-CW110)^2</f>
        <v>3.38750600487627E-026</v>
      </c>
      <c r="CY110" s="1" t="n">
        <f aca="false">EXP($BU110/CU110)*CV110</f>
        <v>0</v>
      </c>
      <c r="CZ110" s="1" t="n">
        <f aca="false">EXP($BU110/CU110)*(-1)^$BU110*CV110</f>
        <v>0</v>
      </c>
      <c r="DA110" s="1" t="n">
        <f aca="false">(-1)^CU110*CV110</f>
        <v>0</v>
      </c>
      <c r="DB110" s="1" t="n">
        <v>0</v>
      </c>
    </row>
    <row r="111" customFormat="false" ht="16" hidden="false" customHeight="false" outlineLevel="0" collapsed="false">
      <c r="C111" s="1" t="n">
        <f aca="false">B111-A111</f>
        <v>0</v>
      </c>
      <c r="DB111" s="1" t="n">
        <v>0</v>
      </c>
    </row>
    <row r="112" customFormat="false" ht="16" hidden="false" customHeight="false" outlineLevel="0" collapsed="false">
      <c r="C112" s="1" t="n">
        <f aca="false">B112-A112</f>
        <v>0</v>
      </c>
      <c r="DB112" s="1" t="n">
        <v>0</v>
      </c>
    </row>
    <row r="113" customFormat="false" ht="16" hidden="false" customHeight="false" outlineLevel="0" collapsed="false">
      <c r="C113" s="1" t="n">
        <f aca="false">B113-A113</f>
        <v>0</v>
      </c>
      <c r="DB113" s="1" t="n">
        <v>0</v>
      </c>
    </row>
    <row r="114" customFormat="false" ht="16" hidden="false" customHeight="false" outlineLevel="0" collapsed="false">
      <c r="C114" s="1" t="n">
        <f aca="false">B114-A114</f>
        <v>0</v>
      </c>
      <c r="DB114" s="1" t="n">
        <v>0</v>
      </c>
    </row>
    <row r="115" customFormat="false" ht="16" hidden="false" customHeight="false" outlineLevel="0" collapsed="false">
      <c r="C115" s="1" t="n">
        <f aca="false">B115-A115</f>
        <v>0</v>
      </c>
      <c r="DB115" s="1" t="n">
        <v>0</v>
      </c>
    </row>
    <row r="116" customFormat="false" ht="16" hidden="false" customHeight="false" outlineLevel="0" collapsed="false">
      <c r="C116" s="1" t="n">
        <f aca="false">B116-A116</f>
        <v>0</v>
      </c>
      <c r="DB116" s="1" t="n">
        <v>0</v>
      </c>
    </row>
    <row r="117" customFormat="false" ht="16" hidden="false" customHeight="false" outlineLevel="0" collapsed="false">
      <c r="C11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0.50390625" defaultRowHeight="16" zeroHeight="false" outlineLevelRow="0" outlineLevelCol="0"/>
  <sheetData>
    <row r="1" customFormat="false" ht="16" hidden="false" customHeight="false" outlineLevel="0" collapsed="false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</row>
    <row r="2" customFormat="false" ht="16" hidden="false" customHeight="false" outlineLevel="0" collapsed="false">
      <c r="A2" s="1" t="n">
        <v>69.91983</v>
      </c>
      <c r="B2" s="1" t="n">
        <v>101.1762</v>
      </c>
      <c r="C2" s="1" t="n">
        <v>99.88548</v>
      </c>
      <c r="D2" s="1" t="n">
        <v>98.74061</v>
      </c>
      <c r="E2" s="1" t="n">
        <v>73.91177</v>
      </c>
      <c r="F2" s="1" t="n">
        <v>71.84996</v>
      </c>
      <c r="G2" s="1" t="n">
        <v>56.87938</v>
      </c>
      <c r="H2" s="1" t="n">
        <v>74.8181</v>
      </c>
      <c r="I2" s="1" t="n">
        <v>62.52344</v>
      </c>
      <c r="J2" s="1" t="n">
        <v>74.1565</v>
      </c>
      <c r="K2" s="1" t="n">
        <v>56.56079</v>
      </c>
      <c r="L2" s="1" t="n">
        <v>49.368</v>
      </c>
      <c r="M2" s="1" t="n">
        <v>23.17343</v>
      </c>
    </row>
    <row r="3" customFormat="false" ht="16" hidden="false" customHeight="false" outlineLevel="0" collapsed="false">
      <c r="A3" s="1" t="n">
        <v>89.2485</v>
      </c>
      <c r="B3" s="1" t="n">
        <v>60.19483</v>
      </c>
      <c r="C3" s="1" t="n">
        <v>73.07169</v>
      </c>
      <c r="D3" s="1" t="n">
        <v>89.17363</v>
      </c>
      <c r="E3" s="1" t="n">
        <v>65.82433</v>
      </c>
      <c r="F3" s="1" t="n">
        <v>68.25861</v>
      </c>
      <c r="G3" s="1" t="n">
        <v>62.46366</v>
      </c>
      <c r="H3" s="1" t="n">
        <v>62.19334</v>
      </c>
      <c r="I3" s="1" t="n">
        <v>59.8502</v>
      </c>
      <c r="J3" s="1" t="n">
        <v>59.85871</v>
      </c>
      <c r="K3" s="1" t="n">
        <v>50.18687</v>
      </c>
      <c r="L3" s="1" t="n">
        <v>29.6208</v>
      </c>
      <c r="M3" s="1" t="n">
        <v>24.7716</v>
      </c>
    </row>
    <row r="4" customFormat="false" ht="16" hidden="false" customHeight="false" outlineLevel="0" collapsed="false">
      <c r="A4" s="1" t="n">
        <v>76.57887</v>
      </c>
      <c r="B4" s="1" t="n">
        <v>108.6707</v>
      </c>
      <c r="C4" s="1" t="n">
        <v>51.94044</v>
      </c>
      <c r="D4" s="1" t="n">
        <v>62.46006</v>
      </c>
      <c r="E4" s="1" t="n">
        <v>89.77314</v>
      </c>
      <c r="F4" s="1" t="n">
        <v>59.19281</v>
      </c>
      <c r="G4" s="1" t="n">
        <v>80.51031</v>
      </c>
      <c r="H4" s="1" t="n">
        <v>62.52391</v>
      </c>
      <c r="I4" s="1" t="n">
        <v>50.02646</v>
      </c>
      <c r="J4" s="1" t="n">
        <v>58.14185</v>
      </c>
      <c r="K4" s="1" t="n">
        <v>47.44829</v>
      </c>
      <c r="L4" s="1" t="n">
        <v>56.88768</v>
      </c>
      <c r="M4" s="1" t="n">
        <v>24.7716</v>
      </c>
    </row>
    <row r="5" customFormat="false" ht="16" hidden="false" customHeight="false" outlineLevel="0" collapsed="false">
      <c r="A5" s="1" t="n">
        <v>112.4634</v>
      </c>
      <c r="B5" s="1" t="n">
        <v>60.59719</v>
      </c>
      <c r="C5" s="1" t="n">
        <v>80.90723</v>
      </c>
      <c r="D5" s="1" t="n">
        <v>82.71793</v>
      </c>
      <c r="E5" s="1" t="n">
        <v>92.89098</v>
      </c>
      <c r="G5" s="1" t="n">
        <v>75.7477</v>
      </c>
      <c r="I5" s="1" t="n">
        <v>53.23291</v>
      </c>
      <c r="J5" s="1" t="n">
        <v>56.83089</v>
      </c>
      <c r="K5" s="1" t="n">
        <v>32.54525</v>
      </c>
      <c r="L5" s="1" t="n">
        <v>35.54496</v>
      </c>
      <c r="M5" s="1" t="n">
        <v>23.97251</v>
      </c>
    </row>
    <row r="6" customFormat="false" ht="16" hidden="false" customHeight="false" outlineLevel="0" collapsed="false">
      <c r="A6" s="1" t="n">
        <v>94.93661</v>
      </c>
      <c r="B6" s="1" t="n">
        <v>98.50052</v>
      </c>
      <c r="D6" s="1" t="n">
        <v>87.39811</v>
      </c>
      <c r="M6" s="1" t="n">
        <v>19.97709</v>
      </c>
    </row>
    <row r="7" customFormat="false" ht="16" hidden="false" customHeight="false" outlineLevel="0" collapsed="false">
      <c r="A7" s="1" t="n">
        <v>104.6367</v>
      </c>
      <c r="B7" s="1" t="n">
        <v>93.09184</v>
      </c>
      <c r="M7" s="1" t="n">
        <v>12.78534</v>
      </c>
    </row>
    <row r="8" customFormat="false" ht="16" hidden="false" customHeight="false" outlineLevel="0" collapsed="false">
      <c r="A8" s="1" t="n">
        <v>100</v>
      </c>
      <c r="B8" s="1" t="n">
        <v>91.71134</v>
      </c>
    </row>
    <row r="14" customFormat="false" ht="16" hidden="false" customHeight="false" outlineLevel="0" collapsed="false">
      <c r="A14" s="1" t="n">
        <f aca="false">AVERAGE(A2:A8)</f>
        <v>92.5405585714286</v>
      </c>
      <c r="B14" s="1" t="n">
        <f aca="false">AVERAGE(B2:B8)</f>
        <v>87.7060885714286</v>
      </c>
      <c r="C14" s="1" t="n">
        <f aca="false">AVERAGE(C2:C8)</f>
        <v>76.45121</v>
      </c>
      <c r="D14" s="1" t="n">
        <f aca="false">AVERAGE(D2:D8)</f>
        <v>84.098068</v>
      </c>
      <c r="E14" s="1" t="n">
        <f aca="false">AVERAGE(E2:E8)</f>
        <v>80.600055</v>
      </c>
      <c r="F14" s="1" t="n">
        <f aca="false">AVERAGE(F2:F8)</f>
        <v>66.4337933333333</v>
      </c>
      <c r="G14" s="1" t="n">
        <f aca="false">AVERAGE(G2:G8)</f>
        <v>68.9002625</v>
      </c>
      <c r="H14" s="1" t="n">
        <f aca="false">AVERAGE(H2:H8)</f>
        <v>66.5117833333333</v>
      </c>
      <c r="I14" s="1" t="n">
        <f aca="false">AVERAGE(I2:I8)</f>
        <v>56.4082525</v>
      </c>
      <c r="J14" s="1" t="n">
        <f aca="false">AVERAGE(J2:J8)</f>
        <v>62.2469875</v>
      </c>
      <c r="K14" s="1" t="n">
        <f aca="false">AVERAGE(K2:K8)</f>
        <v>46.6853</v>
      </c>
      <c r="L14" s="1" t="n">
        <f aca="false">AVERAGE(L2:L8)</f>
        <v>42.85536</v>
      </c>
      <c r="M14" s="1" t="n">
        <f aca="false">AVERAGE(M2:M8)</f>
        <v>21.5752616666667</v>
      </c>
    </row>
    <row r="15" customFormat="false" ht="16" hidden="false" customHeight="false" outlineLevel="0" collapsed="false">
      <c r="A15" s="1" t="n">
        <f aca="false">STDEV(A2:A8)</f>
        <v>15.1763582023372</v>
      </c>
      <c r="B15" s="1" t="n">
        <f aca="false">STDEV(B2:B8)</f>
        <v>19.4691579663481</v>
      </c>
      <c r="C15" s="1" t="n">
        <f aca="false">STDEV(C2:C8)</f>
        <v>19.8428839141945</v>
      </c>
      <c r="D15" s="1" t="n">
        <f aca="false">STDEV(D2:D8)</f>
        <v>13.42724668488</v>
      </c>
      <c r="E15" s="1" t="n">
        <f aca="false">STDEV(E2:E8)</f>
        <v>12.8875590045814</v>
      </c>
      <c r="F15" s="1" t="n">
        <f aca="false">STDEV(F2:F8)</f>
        <v>6.5229079735064</v>
      </c>
      <c r="G15" s="1" t="n">
        <f aca="false">STDEV(G2:G8)</f>
        <v>11.0696593005457</v>
      </c>
      <c r="H15" s="1" t="n">
        <f aca="false">STDEV(H2:H8)</f>
        <v>7.19537987575592</v>
      </c>
      <c r="I15" s="1" t="n">
        <f aca="false">STDEV(I2:I8)</f>
        <v>5.77502081549712</v>
      </c>
      <c r="J15" s="1" t="n">
        <f aca="false">STDEV(J2:J8)</f>
        <v>8.03589081201901</v>
      </c>
      <c r="K15" s="1" t="n">
        <f aca="false">STDEV(K2:K8)</f>
        <v>10.1703730339255</v>
      </c>
      <c r="L15" s="1" t="n">
        <f aca="false">STDEV(L2:L8)</f>
        <v>12.4888751949565</v>
      </c>
      <c r="M15" s="1" t="n">
        <f aca="false">STDEV(M2:M8)</f>
        <v>4.65942002094431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0.50390625" defaultRowHeight="16" zeroHeight="false" outlineLevelRow="0" outlineLevelCol="0"/>
  <sheetData>
    <row r="1" customFormat="false" ht="16" hidden="false" customHeight="false" outlineLevel="0" collapsed="false">
      <c r="A1" s="1" t="s">
        <v>97</v>
      </c>
      <c r="B1" s="1" t="s">
        <v>98</v>
      </c>
      <c r="C1" s="1" t="s">
        <v>100</v>
      </c>
      <c r="D1" s="1" t="s">
        <v>101</v>
      </c>
      <c r="E1" s="1" t="s">
        <v>103</v>
      </c>
      <c r="F1" s="1" t="s">
        <v>104</v>
      </c>
      <c r="G1" s="1" t="s">
        <v>106</v>
      </c>
      <c r="H1" s="1" t="s">
        <v>107</v>
      </c>
    </row>
    <row r="2" customFormat="false" ht="16" hidden="false" customHeight="false" outlineLevel="0" collapsed="false">
      <c r="A2" s="1" t="n">
        <v>3</v>
      </c>
      <c r="B2" s="1" t="n">
        <v>3</v>
      </c>
      <c r="C2" s="1" t="n">
        <v>1</v>
      </c>
      <c r="D2" s="1" t="n">
        <v>2</v>
      </c>
      <c r="E2" s="1" t="n">
        <v>2</v>
      </c>
      <c r="F2" s="1" t="n">
        <f aca="false">SUM(D2:E2)</f>
        <v>4</v>
      </c>
      <c r="G2" s="1" t="n">
        <v>4</v>
      </c>
      <c r="H2" s="1" t="n">
        <v>7</v>
      </c>
      <c r="I2" s="1" t="n">
        <f aca="false">H2-G2</f>
        <v>3</v>
      </c>
    </row>
    <row r="3" customFormat="false" ht="16" hidden="false" customHeight="false" outlineLevel="0" collapsed="false">
      <c r="A3" s="1" t="n">
        <v>2</v>
      </c>
      <c r="B3" s="1" t="n">
        <v>2</v>
      </c>
      <c r="C3" s="1" t="n">
        <v>1</v>
      </c>
      <c r="D3" s="1" t="n">
        <v>3</v>
      </c>
      <c r="E3" s="1" t="n">
        <v>2</v>
      </c>
      <c r="F3" s="1" t="n">
        <f aca="false">SUM(D3:E3)</f>
        <v>5</v>
      </c>
      <c r="G3" s="1" t="n">
        <v>2</v>
      </c>
      <c r="H3" s="1" t="n">
        <v>2</v>
      </c>
      <c r="I3" s="1" t="n">
        <f aca="false">H3-G3</f>
        <v>0</v>
      </c>
    </row>
    <row r="4" customFormat="false" ht="16" hidden="false" customHeight="false" outlineLevel="0" collapsed="false">
      <c r="A4" s="1" t="n">
        <v>2</v>
      </c>
      <c r="B4" s="1" t="n">
        <v>2</v>
      </c>
      <c r="C4" s="1" t="n">
        <v>1</v>
      </c>
      <c r="D4" s="1" t="n">
        <v>1</v>
      </c>
      <c r="E4" s="1" t="n">
        <v>2</v>
      </c>
      <c r="F4" s="1" t="n">
        <f aca="false">SUM(D4:E4)</f>
        <v>3</v>
      </c>
      <c r="G4" s="1" t="n">
        <v>2</v>
      </c>
      <c r="H4" s="1" t="n">
        <v>4</v>
      </c>
      <c r="I4" s="1" t="n">
        <f aca="false">H4-G4</f>
        <v>2</v>
      </c>
    </row>
    <row r="5" customFormat="false" ht="16" hidden="false" customHeight="false" outlineLevel="0" collapsed="false">
      <c r="A5" s="1" t="n">
        <v>2</v>
      </c>
      <c r="B5" s="1" t="n">
        <v>2</v>
      </c>
      <c r="C5" s="1" t="n">
        <v>1</v>
      </c>
      <c r="D5" s="1" t="n">
        <v>2</v>
      </c>
      <c r="E5" s="1" t="n">
        <v>2</v>
      </c>
      <c r="F5" s="1" t="n">
        <f aca="false">SUM(D5:E5)</f>
        <v>4</v>
      </c>
      <c r="G5" s="1" t="n">
        <v>4</v>
      </c>
      <c r="H5" s="1" t="n">
        <v>8</v>
      </c>
      <c r="I5" s="1" t="n">
        <f aca="false">H5-G5</f>
        <v>4</v>
      </c>
    </row>
    <row r="6" customFormat="false" ht="16" hidden="false" customHeight="false" outlineLevel="0" collapsed="false">
      <c r="A6" s="1" t="n">
        <v>1</v>
      </c>
      <c r="B6" s="1" t="n">
        <v>1</v>
      </c>
      <c r="C6" s="1" t="n">
        <v>1</v>
      </c>
      <c r="D6" s="1" t="n">
        <v>2</v>
      </c>
      <c r="E6" s="1" t="n">
        <v>2</v>
      </c>
      <c r="F6" s="1" t="n">
        <f aca="false">SUM(D6:E6)</f>
        <v>4</v>
      </c>
      <c r="G6" s="1" t="n">
        <v>9</v>
      </c>
      <c r="H6" s="1" t="n">
        <v>15</v>
      </c>
      <c r="I6" s="1" t="n">
        <f aca="false">H6-G6</f>
        <v>6</v>
      </c>
    </row>
    <row r="7" customFormat="false" ht="16" hidden="false" customHeight="false" outlineLevel="0" collapsed="false">
      <c r="A7" s="1" t="n">
        <v>2</v>
      </c>
      <c r="B7" s="1" t="n">
        <v>2</v>
      </c>
      <c r="C7" s="1" t="n">
        <v>1</v>
      </c>
      <c r="D7" s="1" t="n">
        <v>2</v>
      </c>
      <c r="E7" s="1" t="n">
        <v>2</v>
      </c>
      <c r="F7" s="1" t="n">
        <f aca="false">SUM(D7:E7)</f>
        <v>4</v>
      </c>
      <c r="G7" s="1" t="n">
        <v>3</v>
      </c>
      <c r="H7" s="1" t="n">
        <v>4</v>
      </c>
      <c r="I7" s="1" t="n">
        <f aca="false">H7-G7</f>
        <v>1</v>
      </c>
    </row>
    <row r="8" customFormat="false" ht="16" hidden="false" customHeight="false" outlineLevel="0" collapsed="false">
      <c r="A8" s="1" t="n">
        <v>2</v>
      </c>
      <c r="B8" s="1" t="n">
        <v>2</v>
      </c>
      <c r="C8" s="1" t="n">
        <v>1</v>
      </c>
      <c r="D8" s="1" t="n">
        <v>1</v>
      </c>
      <c r="E8" s="1" t="n">
        <v>2</v>
      </c>
      <c r="F8" s="1" t="n">
        <f aca="false">SUM(D8:E8)</f>
        <v>3</v>
      </c>
      <c r="G8" s="1" t="n">
        <v>2</v>
      </c>
      <c r="H8" s="1" t="n">
        <v>6</v>
      </c>
      <c r="I8" s="1" t="n">
        <f aca="false">H8-G8</f>
        <v>4</v>
      </c>
    </row>
    <row r="9" customFormat="false" ht="16" hidden="false" customHeight="false" outlineLevel="0" collapsed="false">
      <c r="A9" s="1" t="n">
        <v>1</v>
      </c>
      <c r="B9" s="1" t="n">
        <v>1</v>
      </c>
      <c r="C9" s="1" t="n">
        <v>1</v>
      </c>
      <c r="D9" s="1" t="n">
        <v>2</v>
      </c>
      <c r="E9" s="1" t="n">
        <v>1</v>
      </c>
      <c r="F9" s="1" t="n">
        <f aca="false">SUM(D9:E9)</f>
        <v>3</v>
      </c>
      <c r="G9" s="1" t="n">
        <v>2</v>
      </c>
      <c r="H9" s="1" t="n">
        <v>6</v>
      </c>
      <c r="I9" s="1" t="n">
        <f aca="false">H9-G9</f>
        <v>4</v>
      </c>
    </row>
    <row r="10" customFormat="false" ht="16" hidden="false" customHeight="false" outlineLevel="0" collapsed="false">
      <c r="A10" s="1" t="n">
        <v>2</v>
      </c>
      <c r="B10" s="1" t="n">
        <v>2</v>
      </c>
      <c r="C10" s="1" t="n">
        <v>1</v>
      </c>
      <c r="D10" s="1" t="n">
        <v>2</v>
      </c>
      <c r="E10" s="1" t="n">
        <v>1</v>
      </c>
      <c r="F10" s="1" t="n">
        <f aca="false">SUM(D10:E10)</f>
        <v>3</v>
      </c>
      <c r="G10" s="1" t="n">
        <v>3</v>
      </c>
      <c r="H10" s="1" t="n">
        <v>9</v>
      </c>
      <c r="I10" s="1" t="n">
        <f aca="false">H10-G10</f>
        <v>6</v>
      </c>
    </row>
    <row r="11" customFormat="false" ht="16" hidden="false" customHeight="false" outlineLevel="0" collapsed="false">
      <c r="A11" s="1" t="n">
        <v>2</v>
      </c>
      <c r="B11" s="1" t="n">
        <v>2</v>
      </c>
      <c r="C11" s="1" t="n">
        <v>3</v>
      </c>
      <c r="D11" s="1" t="n">
        <v>5</v>
      </c>
      <c r="E11" s="1" t="n">
        <v>2</v>
      </c>
      <c r="F11" s="1" t="n">
        <f aca="false">SUM(D11:E11)</f>
        <v>7</v>
      </c>
      <c r="G11" s="1" t="n">
        <v>3</v>
      </c>
      <c r="H11" s="1" t="n">
        <v>7</v>
      </c>
      <c r="I11" s="1" t="n">
        <f aca="false">H11-G11</f>
        <v>4</v>
      </c>
    </row>
    <row r="12" customFormat="false" ht="16" hidden="false" customHeight="false" outlineLevel="0" collapsed="false">
      <c r="A12" s="1" t="n">
        <v>2</v>
      </c>
      <c r="B12" s="1" t="n">
        <v>2</v>
      </c>
      <c r="C12" s="1" t="n">
        <v>3</v>
      </c>
      <c r="D12" s="1" t="n">
        <v>5</v>
      </c>
      <c r="E12" s="1" t="n">
        <v>1</v>
      </c>
      <c r="F12" s="1" t="n">
        <f aca="false">SUM(D12:E12)</f>
        <v>6</v>
      </c>
      <c r="G12" s="1" t="n">
        <v>2</v>
      </c>
      <c r="H12" s="1" t="n">
        <v>5</v>
      </c>
      <c r="I12" s="1" t="n">
        <f aca="false">H12-G12</f>
        <v>3</v>
      </c>
    </row>
    <row r="13" customFormat="false" ht="16" hidden="false" customHeight="false" outlineLevel="0" collapsed="false">
      <c r="A13" s="1" t="n">
        <v>2</v>
      </c>
      <c r="B13" s="1" t="n">
        <v>2</v>
      </c>
      <c r="C13" s="1" t="n">
        <v>1</v>
      </c>
      <c r="D13" s="1" t="n">
        <v>3</v>
      </c>
      <c r="E13" s="1" t="n">
        <v>2</v>
      </c>
      <c r="F13" s="1" t="n">
        <f aca="false">SUM(D13:E13)</f>
        <v>5</v>
      </c>
      <c r="G13" s="1" t="n">
        <v>1</v>
      </c>
      <c r="H13" s="1" t="n">
        <v>3</v>
      </c>
      <c r="I13" s="1" t="n">
        <f aca="false">H13-G13</f>
        <v>2</v>
      </c>
    </row>
    <row r="14" customFormat="false" ht="16" hidden="false" customHeight="false" outlineLevel="0" collapsed="false">
      <c r="A14" s="1" t="n">
        <v>1</v>
      </c>
      <c r="B14" s="1" t="n">
        <v>1</v>
      </c>
      <c r="C14" s="1" t="n">
        <v>2</v>
      </c>
      <c r="D14" s="1" t="n">
        <v>2</v>
      </c>
      <c r="E14" s="1" t="n">
        <v>2</v>
      </c>
      <c r="F14" s="1" t="n">
        <f aca="false">SUM(D14:E14)</f>
        <v>4</v>
      </c>
      <c r="G14" s="1" t="n">
        <v>4</v>
      </c>
      <c r="H14" s="1" t="n">
        <v>6</v>
      </c>
      <c r="I14" s="1" t="n">
        <f aca="false">H14-G14</f>
        <v>2</v>
      </c>
    </row>
    <row r="15" customFormat="false" ht="16" hidden="false" customHeight="false" outlineLevel="0" collapsed="false">
      <c r="A15" s="1" t="n">
        <v>2</v>
      </c>
      <c r="B15" s="1" t="n">
        <v>2</v>
      </c>
      <c r="C15" s="1" t="n">
        <v>1</v>
      </c>
      <c r="D15" s="1" t="n">
        <v>2</v>
      </c>
      <c r="E15" s="1" t="n">
        <v>2</v>
      </c>
      <c r="F15" s="1" t="n">
        <f aca="false">SUM(D15:E15)</f>
        <v>4</v>
      </c>
      <c r="G15" s="1" t="n">
        <v>2</v>
      </c>
      <c r="H15" s="1" t="n">
        <v>4</v>
      </c>
      <c r="I15" s="1" t="n">
        <f aca="false">H15-G15</f>
        <v>2</v>
      </c>
    </row>
    <row r="16" customFormat="false" ht="16" hidden="false" customHeight="false" outlineLevel="0" collapsed="false">
      <c r="A16" s="1" t="n">
        <v>1</v>
      </c>
      <c r="B16" s="1" t="n">
        <v>3</v>
      </c>
      <c r="C16" s="1" t="n">
        <v>1</v>
      </c>
      <c r="D16" s="1" t="n">
        <v>2</v>
      </c>
      <c r="E16" s="1" t="n">
        <v>1</v>
      </c>
      <c r="F16" s="1" t="n">
        <f aca="false">SUM(D16:E16)</f>
        <v>3</v>
      </c>
      <c r="G16" s="1" t="n">
        <v>2</v>
      </c>
      <c r="H16" s="1" t="n">
        <v>4</v>
      </c>
      <c r="I16" s="1" t="n">
        <f aca="false">H16-G16</f>
        <v>2</v>
      </c>
    </row>
    <row r="17" customFormat="false" ht="16" hidden="false" customHeight="false" outlineLevel="0" collapsed="false">
      <c r="A17" s="1" t="n">
        <v>1</v>
      </c>
      <c r="B17" s="1" t="n">
        <v>1</v>
      </c>
      <c r="C17" s="1" t="n">
        <v>1</v>
      </c>
      <c r="D17" s="1" t="n">
        <v>3</v>
      </c>
      <c r="E17" s="1" t="n">
        <v>2</v>
      </c>
      <c r="F17" s="1" t="n">
        <f aca="false">SUM(D17:E17)</f>
        <v>5</v>
      </c>
      <c r="G17" s="1" t="n">
        <v>6</v>
      </c>
      <c r="H17" s="1" t="n">
        <v>12</v>
      </c>
      <c r="I17" s="1" t="n">
        <f aca="false">H17-G17</f>
        <v>6</v>
      </c>
    </row>
    <row r="18" customFormat="false" ht="16" hidden="false" customHeight="false" outlineLevel="0" collapsed="false">
      <c r="A18" s="1" t="n">
        <v>1</v>
      </c>
      <c r="B18" s="1" t="n">
        <v>1</v>
      </c>
      <c r="C18" s="1" t="n">
        <v>1</v>
      </c>
      <c r="D18" s="1" t="n">
        <v>5</v>
      </c>
      <c r="E18" s="1" t="n">
        <v>2</v>
      </c>
      <c r="F18" s="1" t="n">
        <f aca="false">SUM(D18:E18)</f>
        <v>7</v>
      </c>
      <c r="G18" s="1" t="n">
        <v>6</v>
      </c>
      <c r="H18" s="1" t="n">
        <v>10</v>
      </c>
      <c r="I18" s="1" t="n">
        <f aca="false">H18-G18</f>
        <v>4</v>
      </c>
    </row>
    <row r="19" customFormat="false" ht="16" hidden="false" customHeight="false" outlineLevel="0" collapsed="false">
      <c r="A19" s="1" t="n">
        <v>2</v>
      </c>
      <c r="B19" s="1" t="n">
        <v>2</v>
      </c>
      <c r="C19" s="1" t="n">
        <v>1</v>
      </c>
      <c r="D19" s="1" t="n">
        <v>3</v>
      </c>
      <c r="E19" s="1" t="n">
        <v>2</v>
      </c>
      <c r="F19" s="1" t="n">
        <f aca="false">SUM(D19:E19)</f>
        <v>5</v>
      </c>
      <c r="G19" s="1" t="n">
        <v>5</v>
      </c>
      <c r="H19" s="1" t="n">
        <v>8</v>
      </c>
      <c r="I19" s="1" t="n">
        <f aca="false">H19-G19</f>
        <v>3</v>
      </c>
    </row>
    <row r="20" customFormat="false" ht="16" hidden="false" customHeight="false" outlineLevel="0" collapsed="false">
      <c r="A20" s="1" t="n">
        <v>2</v>
      </c>
      <c r="B20" s="1" t="n">
        <v>2</v>
      </c>
      <c r="C20" s="1" t="n">
        <v>1</v>
      </c>
      <c r="D20" s="1" t="n">
        <v>3</v>
      </c>
      <c r="E20" s="1" t="n">
        <v>2</v>
      </c>
      <c r="F20" s="1" t="n">
        <f aca="false">SUM(D20:E20)</f>
        <v>5</v>
      </c>
      <c r="G20" s="1" t="n">
        <v>2</v>
      </c>
      <c r="H20" s="1" t="n">
        <v>6</v>
      </c>
      <c r="I20" s="1" t="n">
        <f aca="false">H20-G20</f>
        <v>4</v>
      </c>
    </row>
    <row r="21" customFormat="false" ht="16" hidden="false" customHeight="false" outlineLevel="0" collapsed="false">
      <c r="A21" s="1" t="n">
        <v>2</v>
      </c>
      <c r="B21" s="1" t="n">
        <v>2</v>
      </c>
      <c r="C21" s="1" t="n">
        <v>1</v>
      </c>
      <c r="D21" s="1" t="n">
        <v>2</v>
      </c>
      <c r="E21" s="1" t="n">
        <v>2</v>
      </c>
      <c r="F21" s="1" t="n">
        <f aca="false">SUM(D21:E21)</f>
        <v>4</v>
      </c>
      <c r="G21" s="1" t="n">
        <v>2</v>
      </c>
      <c r="H21" s="1" t="n">
        <v>8</v>
      </c>
      <c r="I21" s="1" t="n">
        <f aca="false">H21-G21</f>
        <v>6</v>
      </c>
    </row>
    <row r="22" customFormat="false" ht="16" hidden="false" customHeight="false" outlineLevel="0" collapsed="false">
      <c r="A22" s="1" t="n">
        <v>2</v>
      </c>
      <c r="B22" s="1" t="n">
        <v>2</v>
      </c>
      <c r="C22" s="1" t="n">
        <v>1</v>
      </c>
      <c r="D22" s="1" t="n">
        <v>2</v>
      </c>
      <c r="G22" s="1" t="n">
        <v>2</v>
      </c>
      <c r="H22" s="1" t="n">
        <v>2</v>
      </c>
      <c r="I22" s="1" t="n">
        <f aca="false">H22-G22</f>
        <v>0</v>
      </c>
    </row>
    <row r="23" customFormat="false" ht="16" hidden="false" customHeight="false" outlineLevel="0" collapsed="false">
      <c r="A23" s="1" t="n">
        <v>2</v>
      </c>
      <c r="B23" s="1" t="n">
        <v>2</v>
      </c>
      <c r="C23" s="1" t="n">
        <v>2</v>
      </c>
      <c r="D23" s="1" t="n">
        <v>2</v>
      </c>
      <c r="G23" s="1" t="n">
        <v>1</v>
      </c>
      <c r="H23" s="1" t="n">
        <v>5</v>
      </c>
      <c r="I23" s="1" t="n">
        <f aca="false">H23-G23</f>
        <v>4</v>
      </c>
    </row>
    <row r="24" customFormat="false" ht="16" hidden="false" customHeight="false" outlineLevel="0" collapsed="false">
      <c r="A24" s="1" t="n">
        <v>2</v>
      </c>
      <c r="B24" s="1" t="n">
        <v>2</v>
      </c>
      <c r="C24" s="1" t="n">
        <v>1</v>
      </c>
      <c r="D24" s="1" t="n">
        <v>2</v>
      </c>
      <c r="G24" s="1" t="n">
        <v>2</v>
      </c>
      <c r="H24" s="1" t="n">
        <v>7</v>
      </c>
      <c r="I24" s="1" t="n">
        <f aca="false">H24-G24</f>
        <v>5</v>
      </c>
    </row>
    <row r="25" customFormat="false" ht="16" hidden="false" customHeight="false" outlineLevel="0" collapsed="false">
      <c r="A25" s="1" t="n">
        <v>1</v>
      </c>
      <c r="B25" s="1" t="n">
        <v>1</v>
      </c>
      <c r="C25" s="1" t="n">
        <v>1</v>
      </c>
      <c r="D25" s="1" t="n">
        <v>2</v>
      </c>
      <c r="G25" s="1" t="n">
        <v>2</v>
      </c>
      <c r="H25" s="1" t="n">
        <v>6</v>
      </c>
      <c r="I25" s="1" t="n">
        <f aca="false">H25-G25</f>
        <v>4</v>
      </c>
    </row>
    <row r="26" customFormat="false" ht="16" hidden="false" customHeight="false" outlineLevel="0" collapsed="false">
      <c r="A26" s="1" t="n">
        <v>2</v>
      </c>
      <c r="B26" s="1" t="n">
        <v>2</v>
      </c>
      <c r="C26" s="1" t="n">
        <v>1</v>
      </c>
      <c r="D26" s="1" t="n">
        <v>5</v>
      </c>
      <c r="G26" s="1" t="n">
        <v>1</v>
      </c>
      <c r="H26" s="1" t="n">
        <v>3</v>
      </c>
      <c r="I26" s="1" t="n">
        <f aca="false">H26-G26</f>
        <v>2</v>
      </c>
    </row>
    <row r="27" customFormat="false" ht="16" hidden="false" customHeight="false" outlineLevel="0" collapsed="false">
      <c r="A27" s="1" t="n">
        <v>2</v>
      </c>
      <c r="B27" s="1" t="n">
        <v>2</v>
      </c>
      <c r="C27" s="1" t="n">
        <v>1</v>
      </c>
      <c r="D27" s="1" t="n">
        <v>3</v>
      </c>
      <c r="G27" s="1" t="n">
        <v>2</v>
      </c>
      <c r="H27" s="1" t="n">
        <v>10</v>
      </c>
      <c r="I27" s="1" t="n">
        <f aca="false">H27-G27</f>
        <v>8</v>
      </c>
    </row>
    <row r="28" customFormat="false" ht="16" hidden="false" customHeight="false" outlineLevel="0" collapsed="false">
      <c r="A28" s="1" t="n">
        <v>2</v>
      </c>
      <c r="B28" s="1" t="n">
        <v>2</v>
      </c>
      <c r="C28" s="1" t="n">
        <v>2</v>
      </c>
      <c r="D28" s="1" t="n">
        <v>2</v>
      </c>
      <c r="G28" s="1" t="n">
        <v>3</v>
      </c>
      <c r="H28" s="1" t="n">
        <v>13</v>
      </c>
      <c r="I28" s="1" t="n">
        <f aca="false">H28-G28</f>
        <v>10</v>
      </c>
    </row>
    <row r="29" customFormat="false" ht="16" hidden="false" customHeight="false" outlineLevel="0" collapsed="false">
      <c r="A29" s="1" t="n">
        <v>4</v>
      </c>
      <c r="B29" s="1" t="n">
        <v>4</v>
      </c>
      <c r="C29" s="1" t="n">
        <v>2</v>
      </c>
      <c r="D29" s="1" t="n">
        <v>3</v>
      </c>
      <c r="G29" s="1" t="n">
        <v>4</v>
      </c>
      <c r="H29" s="1" t="n">
        <v>10</v>
      </c>
      <c r="I29" s="1" t="n">
        <f aca="false">H29-G29</f>
        <v>6</v>
      </c>
    </row>
    <row r="30" customFormat="false" ht="16" hidden="false" customHeight="false" outlineLevel="0" collapsed="false">
      <c r="A30" s="1" t="n">
        <v>1</v>
      </c>
      <c r="B30" s="1" t="n">
        <v>1</v>
      </c>
      <c r="C30" s="1" t="n">
        <v>1</v>
      </c>
      <c r="D30" s="1" t="n">
        <v>2</v>
      </c>
      <c r="G30" s="1" t="n">
        <v>2</v>
      </c>
      <c r="H30" s="1" t="n">
        <v>14</v>
      </c>
      <c r="I30" s="1" t="n">
        <f aca="false">H30-G30</f>
        <v>12</v>
      </c>
    </row>
    <row r="31" customFormat="false" ht="16" hidden="false" customHeight="false" outlineLevel="0" collapsed="false">
      <c r="A31" s="1" t="n">
        <v>2</v>
      </c>
      <c r="B31" s="1" t="n">
        <v>2</v>
      </c>
      <c r="C31" s="1" t="n">
        <v>1</v>
      </c>
      <c r="D31" s="1" t="n">
        <v>3</v>
      </c>
      <c r="G31" s="1" t="n">
        <v>2</v>
      </c>
      <c r="H31" s="1" t="n">
        <v>4</v>
      </c>
      <c r="I31" s="1" t="n">
        <f aca="false">H31-G31</f>
        <v>2</v>
      </c>
    </row>
    <row r="32" customFormat="false" ht="16" hidden="false" customHeight="false" outlineLevel="0" collapsed="false">
      <c r="A32" s="1" t="n">
        <v>2</v>
      </c>
      <c r="B32" s="1" t="n">
        <v>2</v>
      </c>
      <c r="C32" s="1" t="n">
        <v>1</v>
      </c>
      <c r="D32" s="1" t="n">
        <v>3</v>
      </c>
      <c r="G32" s="1" t="n">
        <v>2</v>
      </c>
      <c r="H32" s="1" t="n">
        <v>6</v>
      </c>
      <c r="I32" s="1" t="n">
        <f aca="false">H32-G32</f>
        <v>4</v>
      </c>
    </row>
    <row r="33" customFormat="false" ht="16" hidden="false" customHeight="false" outlineLevel="0" collapsed="false">
      <c r="A33" s="1" t="n">
        <v>2</v>
      </c>
      <c r="B33" s="1" t="n">
        <v>2</v>
      </c>
      <c r="C33" s="1" t="n">
        <v>1</v>
      </c>
      <c r="D33" s="1" t="n">
        <v>3</v>
      </c>
      <c r="G33" s="1" t="n">
        <v>6</v>
      </c>
      <c r="H33" s="1" t="n">
        <v>10</v>
      </c>
      <c r="I33" s="1" t="n">
        <f aca="false">H33-G33</f>
        <v>4</v>
      </c>
    </row>
    <row r="34" customFormat="false" ht="16" hidden="false" customHeight="false" outlineLevel="0" collapsed="false">
      <c r="A34" s="1" t="n">
        <v>1</v>
      </c>
      <c r="B34" s="1" t="n">
        <v>1</v>
      </c>
      <c r="C34" s="1" t="n">
        <v>2</v>
      </c>
      <c r="D34" s="1" t="n">
        <v>2</v>
      </c>
      <c r="G34" s="1" t="n">
        <v>1</v>
      </c>
      <c r="H34" s="1" t="n">
        <v>5</v>
      </c>
      <c r="I34" s="1" t="n">
        <f aca="false">H34-G34</f>
        <v>4</v>
      </c>
    </row>
    <row r="35" customFormat="false" ht="16" hidden="false" customHeight="false" outlineLevel="0" collapsed="false">
      <c r="A35" s="1" t="n">
        <v>2</v>
      </c>
      <c r="B35" s="1" t="n">
        <v>4</v>
      </c>
      <c r="C35" s="1" t="n">
        <v>1</v>
      </c>
      <c r="D35" s="1" t="n">
        <v>2</v>
      </c>
      <c r="G35" s="1" t="n">
        <v>2</v>
      </c>
      <c r="H35" s="1" t="n">
        <v>4</v>
      </c>
      <c r="I35" s="1" t="n">
        <f aca="false">H35-G35</f>
        <v>2</v>
      </c>
    </row>
    <row r="36" customFormat="false" ht="16" hidden="false" customHeight="false" outlineLevel="0" collapsed="false">
      <c r="A36" s="1" t="n">
        <v>2</v>
      </c>
      <c r="B36" s="1" t="n">
        <v>2</v>
      </c>
      <c r="C36" s="1" t="n">
        <v>1</v>
      </c>
      <c r="D36" s="1" t="n">
        <v>3</v>
      </c>
      <c r="G36" s="1" t="n">
        <v>2</v>
      </c>
      <c r="H36" s="1" t="n">
        <v>3</v>
      </c>
      <c r="I36" s="1" t="n">
        <f aca="false">H36-G36</f>
        <v>1</v>
      </c>
    </row>
    <row r="37" customFormat="false" ht="16" hidden="false" customHeight="false" outlineLevel="0" collapsed="false">
      <c r="A37" s="1" t="n">
        <v>2</v>
      </c>
      <c r="B37" s="1" t="n">
        <v>2</v>
      </c>
      <c r="C37" s="1" t="n">
        <v>3</v>
      </c>
      <c r="D37" s="1" t="n">
        <v>6</v>
      </c>
      <c r="G37" s="1" t="n">
        <v>1</v>
      </c>
      <c r="H37" s="1" t="n">
        <v>2</v>
      </c>
      <c r="I37" s="1" t="n">
        <f aca="false">H37-G37</f>
        <v>1</v>
      </c>
    </row>
    <row r="38" customFormat="false" ht="16" hidden="false" customHeight="false" outlineLevel="0" collapsed="false">
      <c r="A38" s="1" t="n">
        <v>4</v>
      </c>
      <c r="B38" s="1" t="n">
        <v>4</v>
      </c>
      <c r="C38" s="1" t="n">
        <v>1</v>
      </c>
      <c r="D38" s="1" t="n">
        <v>1</v>
      </c>
      <c r="G38" s="1" t="n">
        <v>2</v>
      </c>
      <c r="H38" s="1" t="n">
        <v>6</v>
      </c>
      <c r="I38" s="1" t="n">
        <f aca="false">H38-G38</f>
        <v>4</v>
      </c>
    </row>
    <row r="39" customFormat="false" ht="16" hidden="false" customHeight="false" outlineLevel="0" collapsed="false">
      <c r="A39" s="1" t="n">
        <v>2</v>
      </c>
      <c r="B39" s="1" t="n">
        <v>3</v>
      </c>
      <c r="C39" s="1" t="n">
        <v>2</v>
      </c>
      <c r="D39" s="1" t="n">
        <v>4</v>
      </c>
      <c r="G39" s="1" t="n">
        <v>2</v>
      </c>
      <c r="H39" s="1" t="n">
        <v>6</v>
      </c>
      <c r="I39" s="1" t="n">
        <f aca="false">H39-G39</f>
        <v>4</v>
      </c>
    </row>
    <row r="40" customFormat="false" ht="16" hidden="false" customHeight="false" outlineLevel="0" collapsed="false">
      <c r="A40" s="1" t="n">
        <v>2</v>
      </c>
      <c r="B40" s="1" t="n">
        <v>2</v>
      </c>
      <c r="C40" s="1" t="n">
        <v>1</v>
      </c>
      <c r="D40" s="1" t="n">
        <v>3</v>
      </c>
      <c r="G40" s="1" t="n">
        <v>2</v>
      </c>
      <c r="H40" s="1" t="n">
        <v>4</v>
      </c>
      <c r="I40" s="1" t="n">
        <f aca="false">H40-G40</f>
        <v>2</v>
      </c>
    </row>
    <row r="41" customFormat="false" ht="16" hidden="false" customHeight="false" outlineLevel="0" collapsed="false">
      <c r="A41" s="1" t="n">
        <v>2</v>
      </c>
      <c r="B41" s="1" t="n">
        <v>2</v>
      </c>
      <c r="C41" s="1" t="n">
        <v>1</v>
      </c>
      <c r="D41" s="1" t="n">
        <v>2</v>
      </c>
      <c r="G41" s="1" t="n">
        <v>4</v>
      </c>
      <c r="H41" s="1" t="n">
        <v>8</v>
      </c>
      <c r="I41" s="1" t="n">
        <f aca="false">H41-G41</f>
        <v>4</v>
      </c>
    </row>
    <row r="42" customFormat="false" ht="16" hidden="false" customHeight="false" outlineLevel="0" collapsed="false">
      <c r="A42" s="1" t="n">
        <v>2</v>
      </c>
      <c r="B42" s="1" t="n">
        <v>2</v>
      </c>
      <c r="C42" s="1" t="n">
        <v>1</v>
      </c>
      <c r="D42" s="1" t="n">
        <v>1</v>
      </c>
      <c r="G42" s="1" t="n">
        <v>4</v>
      </c>
      <c r="H42" s="1" t="n">
        <v>10</v>
      </c>
      <c r="I42" s="1" t="n">
        <f aca="false">H42-G42</f>
        <v>6</v>
      </c>
    </row>
    <row r="43" customFormat="false" ht="16" hidden="false" customHeight="false" outlineLevel="0" collapsed="false">
      <c r="A43" s="1" t="n">
        <v>2</v>
      </c>
      <c r="B43" s="1" t="n">
        <v>2</v>
      </c>
      <c r="C43" s="1" t="n">
        <v>2</v>
      </c>
      <c r="D43" s="1" t="n">
        <v>6</v>
      </c>
      <c r="G43" s="1" t="n">
        <v>2</v>
      </c>
      <c r="H43" s="1" t="n">
        <v>6</v>
      </c>
      <c r="I43" s="1" t="n">
        <f aca="false">H43-G43</f>
        <v>4</v>
      </c>
    </row>
    <row r="44" customFormat="false" ht="16" hidden="false" customHeight="false" outlineLevel="0" collapsed="false">
      <c r="A44" s="1" t="n">
        <v>2</v>
      </c>
      <c r="B44" s="1" t="n">
        <v>2</v>
      </c>
      <c r="C44" s="1" t="n">
        <v>2</v>
      </c>
      <c r="D44" s="1" t="n">
        <v>6</v>
      </c>
      <c r="G44" s="1" t="n">
        <v>8</v>
      </c>
      <c r="H44" s="1" t="n">
        <v>16</v>
      </c>
      <c r="I44" s="1" t="n">
        <f aca="false">H44-G44</f>
        <v>8</v>
      </c>
    </row>
    <row r="45" customFormat="false" ht="16" hidden="false" customHeight="false" outlineLevel="0" collapsed="false">
      <c r="A45" s="1" t="n">
        <v>1</v>
      </c>
      <c r="B45" s="1" t="n">
        <v>1</v>
      </c>
      <c r="C45" s="1" t="n">
        <v>1</v>
      </c>
      <c r="D45" s="1" t="n">
        <v>1</v>
      </c>
      <c r="G45" s="1" t="n">
        <v>6</v>
      </c>
      <c r="H45" s="1" t="n">
        <v>14</v>
      </c>
      <c r="I45" s="1" t="n">
        <f aca="false">H45-G45</f>
        <v>8</v>
      </c>
    </row>
    <row r="46" customFormat="false" ht="16" hidden="false" customHeight="false" outlineLevel="0" collapsed="false">
      <c r="A46" s="1" t="n">
        <v>1</v>
      </c>
      <c r="B46" s="1" t="n">
        <v>2</v>
      </c>
      <c r="C46" s="1" t="n">
        <v>4</v>
      </c>
      <c r="D46" s="1" t="n">
        <v>6</v>
      </c>
      <c r="G46" s="1" t="n">
        <v>4</v>
      </c>
      <c r="H46" s="1" t="n">
        <v>8</v>
      </c>
      <c r="I46" s="1" t="n">
        <f aca="false">H46-G46</f>
        <v>4</v>
      </c>
    </row>
    <row r="47" customFormat="false" ht="16" hidden="false" customHeight="false" outlineLevel="0" collapsed="false">
      <c r="A47" s="1" t="n">
        <v>4</v>
      </c>
      <c r="B47" s="1" t="n">
        <v>4</v>
      </c>
      <c r="C47" s="1" t="n">
        <v>4</v>
      </c>
      <c r="D47" s="1" t="n">
        <v>6</v>
      </c>
      <c r="G47" s="1" t="n">
        <v>2</v>
      </c>
      <c r="H47" s="1" t="n">
        <v>6</v>
      </c>
      <c r="I47" s="1" t="n">
        <f aca="false">H47-G47</f>
        <v>4</v>
      </c>
    </row>
    <row r="48" customFormat="false" ht="16" hidden="false" customHeight="false" outlineLevel="0" collapsed="false">
      <c r="A48" s="1" t="n">
        <v>2</v>
      </c>
      <c r="B48" s="1" t="n">
        <v>2</v>
      </c>
      <c r="C48" s="1" t="n">
        <v>2</v>
      </c>
      <c r="D48" s="1" t="n">
        <v>2</v>
      </c>
      <c r="G48" s="1" t="n">
        <v>8</v>
      </c>
      <c r="H48" s="1" t="n">
        <v>16</v>
      </c>
      <c r="I48" s="1" t="n">
        <f aca="false">H48-G48</f>
        <v>8</v>
      </c>
    </row>
    <row r="49" customFormat="false" ht="16" hidden="false" customHeight="false" outlineLevel="0" collapsed="false">
      <c r="A49" s="1" t="n">
        <v>2</v>
      </c>
      <c r="B49" s="1" t="n">
        <v>2</v>
      </c>
      <c r="C49" s="1" t="n">
        <v>3</v>
      </c>
      <c r="D49" s="1" t="n">
        <v>5</v>
      </c>
      <c r="G49" s="1" t="n">
        <v>2</v>
      </c>
      <c r="H49" s="1" t="n">
        <v>6</v>
      </c>
      <c r="I49" s="1" t="n">
        <f aca="false">H49-G49</f>
        <v>4</v>
      </c>
    </row>
    <row r="50" customFormat="false" ht="16" hidden="false" customHeight="false" outlineLevel="0" collapsed="false">
      <c r="A50" s="1" t="n">
        <v>1</v>
      </c>
      <c r="B50" s="1" t="n">
        <v>1</v>
      </c>
      <c r="C50" s="1" t="n">
        <v>1</v>
      </c>
      <c r="D50" s="1" t="n">
        <v>3</v>
      </c>
      <c r="G50" s="1" t="n">
        <v>4</v>
      </c>
      <c r="H50" s="1" t="n">
        <v>8</v>
      </c>
      <c r="I50" s="1" t="n">
        <f aca="false">H50-G50</f>
        <v>4</v>
      </c>
    </row>
    <row r="51" customFormat="false" ht="16" hidden="false" customHeight="false" outlineLevel="0" collapsed="false">
      <c r="A51" s="1" t="n">
        <v>1</v>
      </c>
      <c r="B51" s="1" t="n">
        <v>1</v>
      </c>
      <c r="C51" s="1" t="n">
        <v>1</v>
      </c>
      <c r="D51" s="1" t="n">
        <v>4</v>
      </c>
      <c r="G51" s="1" t="n">
        <v>4</v>
      </c>
      <c r="H51" s="1" t="n">
        <v>8</v>
      </c>
      <c r="I51" s="1" t="n">
        <f aca="false">H51-G51</f>
        <v>4</v>
      </c>
    </row>
    <row r="52" customFormat="false" ht="16" hidden="false" customHeight="false" outlineLevel="0" collapsed="false">
      <c r="A52" s="1" t="n">
        <v>2</v>
      </c>
      <c r="B52" s="1" t="n">
        <v>2</v>
      </c>
      <c r="C52" s="1" t="n">
        <v>1</v>
      </c>
      <c r="D52" s="1" t="n">
        <v>2</v>
      </c>
      <c r="G52" s="1" t="n">
        <v>2</v>
      </c>
      <c r="H52" s="1" t="n">
        <v>2</v>
      </c>
      <c r="I52" s="1" t="n">
        <f aca="false">H52-G52</f>
        <v>0</v>
      </c>
    </row>
    <row r="53" customFormat="false" ht="16" hidden="false" customHeight="false" outlineLevel="0" collapsed="false">
      <c r="A53" s="1" t="n">
        <v>2</v>
      </c>
      <c r="B53" s="1" t="n">
        <v>2</v>
      </c>
      <c r="C53" s="1" t="n">
        <v>3</v>
      </c>
      <c r="D53" s="1" t="n">
        <v>5</v>
      </c>
      <c r="G53" s="1" t="n">
        <v>4</v>
      </c>
      <c r="H53" s="1" t="n">
        <v>18</v>
      </c>
      <c r="I53" s="1" t="n">
        <f aca="false">H53-G53</f>
        <v>14</v>
      </c>
    </row>
    <row r="54" customFormat="false" ht="16" hidden="false" customHeight="false" outlineLevel="0" collapsed="false">
      <c r="A54" s="1" t="n">
        <v>1</v>
      </c>
      <c r="B54" s="1" t="n">
        <v>1</v>
      </c>
      <c r="C54" s="1" t="n">
        <v>2</v>
      </c>
      <c r="D54" s="1" t="n">
        <v>5</v>
      </c>
      <c r="G54" s="1" t="n">
        <v>4</v>
      </c>
      <c r="H54" s="1" t="n">
        <v>12</v>
      </c>
      <c r="I54" s="1" t="n">
        <f aca="false">H54-G54</f>
        <v>8</v>
      </c>
    </row>
    <row r="55" customFormat="false" ht="16" hidden="false" customHeight="false" outlineLevel="0" collapsed="false">
      <c r="A55" s="1" t="n">
        <v>1</v>
      </c>
      <c r="B55" s="1" t="n">
        <v>1</v>
      </c>
      <c r="C55" s="1" t="n">
        <v>1</v>
      </c>
      <c r="D55" s="1" t="n">
        <v>1</v>
      </c>
      <c r="G55" s="1" t="n">
        <v>2</v>
      </c>
      <c r="H55" s="1" t="n">
        <v>6</v>
      </c>
      <c r="I55" s="1" t="n">
        <f aca="false">H55-G55</f>
        <v>4</v>
      </c>
    </row>
    <row r="56" customFormat="false" ht="16" hidden="false" customHeight="false" outlineLevel="0" collapsed="false">
      <c r="A56" s="1" t="n">
        <v>1</v>
      </c>
      <c r="B56" s="1" t="n">
        <v>1</v>
      </c>
      <c r="C56" s="1" t="n">
        <v>2</v>
      </c>
      <c r="D56" s="1" t="n">
        <v>2</v>
      </c>
    </row>
    <row r="57" customFormat="false" ht="16" hidden="false" customHeight="false" outlineLevel="0" collapsed="false">
      <c r="A57" s="1" t="n">
        <v>4</v>
      </c>
      <c r="B57" s="1" t="n">
        <v>4</v>
      </c>
      <c r="C57" s="1" t="n">
        <v>4</v>
      </c>
      <c r="D57" s="1" t="n">
        <v>6</v>
      </c>
    </row>
    <row r="58" customFormat="false" ht="16" hidden="false" customHeight="false" outlineLevel="0" collapsed="false">
      <c r="A58" s="1" t="n">
        <v>1</v>
      </c>
      <c r="B58" s="1" t="n">
        <v>1</v>
      </c>
      <c r="C58" s="1" t="n">
        <v>2</v>
      </c>
      <c r="D58" s="1" t="n">
        <v>2</v>
      </c>
    </row>
    <row r="59" customFormat="false" ht="16" hidden="false" customHeight="false" outlineLevel="0" collapsed="false">
      <c r="A59" s="1" t="n">
        <v>1</v>
      </c>
      <c r="B59" s="1" t="n">
        <v>1</v>
      </c>
      <c r="C59" s="1" t="n">
        <v>2</v>
      </c>
      <c r="D59" s="1" t="n">
        <v>2</v>
      </c>
    </row>
    <row r="60" customFormat="false" ht="16" hidden="false" customHeight="false" outlineLevel="0" collapsed="false">
      <c r="A60" s="1" t="n">
        <v>2</v>
      </c>
      <c r="B60" s="1" t="n">
        <v>2</v>
      </c>
      <c r="C60" s="1" t="n">
        <v>2</v>
      </c>
      <c r="D60" s="1" t="n">
        <v>2</v>
      </c>
    </row>
    <row r="61" customFormat="false" ht="16" hidden="false" customHeight="false" outlineLevel="0" collapsed="false">
      <c r="A61" s="1" t="n">
        <v>2</v>
      </c>
      <c r="B61" s="1" t="n">
        <v>4</v>
      </c>
      <c r="C61" s="1" t="n">
        <v>1</v>
      </c>
      <c r="D61" s="1" t="n">
        <v>2</v>
      </c>
    </row>
    <row r="62" customFormat="false" ht="16" hidden="false" customHeight="false" outlineLevel="0" collapsed="false">
      <c r="A62" s="1" t="n">
        <v>2</v>
      </c>
      <c r="B62" s="1" t="n">
        <v>2</v>
      </c>
      <c r="C62" s="1" t="n">
        <v>2</v>
      </c>
      <c r="D62" s="1" t="n">
        <v>2</v>
      </c>
    </row>
    <row r="63" customFormat="false" ht="16" hidden="false" customHeight="false" outlineLevel="0" collapsed="false">
      <c r="A63" s="1" t="n">
        <v>2</v>
      </c>
      <c r="B63" s="1" t="n">
        <v>2</v>
      </c>
      <c r="C63" s="1" t="n">
        <v>3</v>
      </c>
      <c r="D63" s="1" t="n">
        <v>4</v>
      </c>
    </row>
    <row r="64" customFormat="false" ht="16" hidden="false" customHeight="false" outlineLevel="0" collapsed="false">
      <c r="A64" s="1" t="n">
        <v>1</v>
      </c>
      <c r="B64" s="1" t="n">
        <v>2</v>
      </c>
      <c r="C64" s="1" t="n">
        <v>3</v>
      </c>
      <c r="D64" s="1" t="n">
        <v>5</v>
      </c>
    </row>
    <row r="65" customFormat="false" ht="16" hidden="false" customHeight="false" outlineLevel="0" collapsed="false">
      <c r="A65" s="1" t="n">
        <v>1</v>
      </c>
      <c r="B65" s="1" t="n">
        <v>1</v>
      </c>
      <c r="C65" s="1" t="n">
        <v>4</v>
      </c>
      <c r="D65" s="1" t="n">
        <v>4</v>
      </c>
    </row>
    <row r="66" customFormat="false" ht="16" hidden="false" customHeight="false" outlineLevel="0" collapsed="false">
      <c r="A66" s="1" t="n">
        <v>2</v>
      </c>
      <c r="B66" s="1" t="n">
        <v>1</v>
      </c>
      <c r="C66" s="1" t="n">
        <v>1</v>
      </c>
      <c r="D66" s="1" t="n">
        <v>1</v>
      </c>
    </row>
    <row r="67" customFormat="false" ht="16" hidden="false" customHeight="false" outlineLevel="0" collapsed="false">
      <c r="A67" s="1" t="n">
        <v>2</v>
      </c>
      <c r="B67" s="1" t="n">
        <v>2</v>
      </c>
      <c r="C67" s="1" t="n">
        <v>1</v>
      </c>
      <c r="D67" s="1" t="n">
        <v>2</v>
      </c>
    </row>
    <row r="68" customFormat="false" ht="16" hidden="false" customHeight="false" outlineLevel="0" collapsed="false">
      <c r="A68" s="1" t="n">
        <v>1</v>
      </c>
      <c r="B68" s="1" t="n">
        <v>2</v>
      </c>
      <c r="C68" s="1" t="n">
        <v>2</v>
      </c>
      <c r="D68" s="1" t="n">
        <v>4</v>
      </c>
    </row>
    <row r="69" customFormat="false" ht="16" hidden="false" customHeight="false" outlineLevel="0" collapsed="false">
      <c r="A69" s="1" t="n">
        <v>2</v>
      </c>
      <c r="B69" s="1" t="n">
        <v>1</v>
      </c>
      <c r="C69" s="1" t="n">
        <v>1</v>
      </c>
      <c r="D69" s="1" t="n">
        <v>2</v>
      </c>
    </row>
    <row r="70" customFormat="false" ht="16" hidden="false" customHeight="false" outlineLevel="0" collapsed="false">
      <c r="A70" s="1" t="n">
        <v>1</v>
      </c>
      <c r="B70" s="1" t="n">
        <v>2</v>
      </c>
      <c r="C70" s="1" t="n">
        <v>1</v>
      </c>
      <c r="D70" s="1" t="n">
        <v>2</v>
      </c>
    </row>
    <row r="71" customFormat="false" ht="16" hidden="false" customHeight="false" outlineLevel="0" collapsed="false">
      <c r="A71" s="1" t="n">
        <v>2</v>
      </c>
      <c r="B71" s="1" t="n">
        <v>4</v>
      </c>
      <c r="C71" s="1" t="n">
        <v>2</v>
      </c>
      <c r="D71" s="1" t="n">
        <v>6</v>
      </c>
    </row>
    <row r="72" customFormat="false" ht="16" hidden="false" customHeight="false" outlineLevel="0" collapsed="false">
      <c r="A72" s="1" t="n">
        <v>2</v>
      </c>
      <c r="B72" s="1" t="n">
        <v>4</v>
      </c>
      <c r="C72" s="1" t="n">
        <v>2</v>
      </c>
      <c r="D72" s="1" t="n">
        <v>5</v>
      </c>
    </row>
    <row r="73" customFormat="false" ht="16" hidden="false" customHeight="false" outlineLevel="0" collapsed="false">
      <c r="A73" s="1" t="n">
        <v>2</v>
      </c>
      <c r="B73" s="1" t="n">
        <v>2</v>
      </c>
      <c r="C73" s="1" t="n">
        <v>1</v>
      </c>
      <c r="D73" s="1" t="n">
        <v>3</v>
      </c>
    </row>
    <row r="74" customFormat="false" ht="16" hidden="false" customHeight="false" outlineLevel="0" collapsed="false">
      <c r="A74" s="1" t="n">
        <v>1</v>
      </c>
      <c r="B74" s="1" t="n">
        <v>2</v>
      </c>
      <c r="C74" s="1" t="n">
        <v>3</v>
      </c>
      <c r="D74" s="1" t="n">
        <v>4</v>
      </c>
    </row>
    <row r="75" customFormat="false" ht="16" hidden="false" customHeight="false" outlineLevel="0" collapsed="false">
      <c r="A75" s="1" t="n">
        <v>2</v>
      </c>
      <c r="B75" s="1" t="n">
        <v>3</v>
      </c>
      <c r="C75" s="1" t="n">
        <v>1</v>
      </c>
      <c r="D75" s="1" t="n">
        <v>2</v>
      </c>
    </row>
    <row r="76" customFormat="false" ht="16" hidden="false" customHeight="false" outlineLevel="0" collapsed="false">
      <c r="A76" s="1" t="n">
        <v>2</v>
      </c>
      <c r="B76" s="1" t="n">
        <v>2</v>
      </c>
      <c r="C76" s="1" t="n">
        <v>1</v>
      </c>
      <c r="D76" s="1" t="n">
        <v>3</v>
      </c>
    </row>
    <row r="77" customFormat="false" ht="16" hidden="false" customHeight="false" outlineLevel="0" collapsed="false">
      <c r="A77" s="1" t="n">
        <v>1</v>
      </c>
      <c r="B77" s="1" t="n">
        <v>2</v>
      </c>
      <c r="C77" s="1" t="n">
        <v>2</v>
      </c>
      <c r="D77" s="1" t="n">
        <v>4</v>
      </c>
    </row>
    <row r="78" customFormat="false" ht="16" hidden="false" customHeight="false" outlineLevel="0" collapsed="false">
      <c r="A78" s="1" t="n">
        <v>3</v>
      </c>
      <c r="B78" s="1" t="n">
        <v>1</v>
      </c>
      <c r="C78" s="1" t="n">
        <v>3</v>
      </c>
      <c r="D78" s="1" t="n">
        <v>5</v>
      </c>
    </row>
    <row r="79" customFormat="false" ht="16" hidden="false" customHeight="false" outlineLevel="0" collapsed="false">
      <c r="A79" s="1" t="n">
        <v>2</v>
      </c>
      <c r="B79" s="1" t="n">
        <v>3</v>
      </c>
      <c r="C79" s="1" t="n">
        <v>2</v>
      </c>
      <c r="D79" s="1" t="n">
        <v>4</v>
      </c>
    </row>
    <row r="80" customFormat="false" ht="16" hidden="false" customHeight="false" outlineLevel="0" collapsed="false">
      <c r="A80" s="1" t="n">
        <v>1</v>
      </c>
      <c r="B80" s="1" t="n">
        <v>2</v>
      </c>
      <c r="C80" s="1" t="n">
        <v>1</v>
      </c>
      <c r="D80" s="1" t="n">
        <v>2</v>
      </c>
    </row>
    <row r="81" customFormat="false" ht="16" hidden="false" customHeight="false" outlineLevel="0" collapsed="false">
      <c r="A81" s="1" t="n">
        <v>2</v>
      </c>
      <c r="B81" s="1" t="n">
        <v>2</v>
      </c>
      <c r="C81" s="1" t="n">
        <v>4</v>
      </c>
      <c r="D81" s="1" t="n">
        <v>4</v>
      </c>
    </row>
    <row r="82" customFormat="false" ht="16" hidden="false" customHeight="false" outlineLevel="0" collapsed="false">
      <c r="A82" s="1" t="n">
        <v>3</v>
      </c>
      <c r="B82" s="1" t="n">
        <v>2</v>
      </c>
      <c r="C82" s="1" t="n">
        <v>1</v>
      </c>
      <c r="D82" s="1" t="n">
        <v>1</v>
      </c>
    </row>
    <row r="83" customFormat="false" ht="16" hidden="false" customHeight="false" outlineLevel="0" collapsed="false">
      <c r="A83" s="1" t="n">
        <v>1</v>
      </c>
      <c r="B83" s="1" t="n">
        <v>3</v>
      </c>
      <c r="C83" s="1" t="n">
        <v>2</v>
      </c>
      <c r="D83" s="1" t="n">
        <v>3</v>
      </c>
    </row>
    <row r="84" customFormat="false" ht="16" hidden="false" customHeight="false" outlineLevel="0" collapsed="false">
      <c r="A84" s="1" t="n">
        <v>3</v>
      </c>
      <c r="B84" s="1" t="n">
        <v>1</v>
      </c>
      <c r="C84" s="1" t="n">
        <v>2</v>
      </c>
      <c r="D84" s="1" t="n">
        <v>4</v>
      </c>
    </row>
    <row r="85" customFormat="false" ht="16" hidden="false" customHeight="false" outlineLevel="0" collapsed="false">
      <c r="A85" s="1" t="n">
        <v>2</v>
      </c>
      <c r="B85" s="1" t="n">
        <v>3</v>
      </c>
      <c r="C85" s="1" t="n">
        <v>4</v>
      </c>
      <c r="D85" s="1" t="n">
        <v>4</v>
      </c>
    </row>
    <row r="86" customFormat="false" ht="16" hidden="false" customHeight="false" outlineLevel="0" collapsed="false">
      <c r="C86" s="1" t="n">
        <v>2</v>
      </c>
      <c r="D86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0.50390625" defaultRowHeight="16" zeroHeight="false" outlineLevelRow="0" outlineLevelCol="0"/>
  <sheetData>
    <row r="1" customFormat="false" ht="16" hidden="false" customHeight="false" outlineLevel="0" collapsed="false">
      <c r="A1" s="1" t="s">
        <v>109</v>
      </c>
      <c r="B1" s="1" t="s">
        <v>122</v>
      </c>
      <c r="C1" s="1" t="s">
        <v>112</v>
      </c>
      <c r="D1" s="1" t="s">
        <v>123</v>
      </c>
      <c r="E1" s="1" t="s">
        <v>118</v>
      </c>
      <c r="F1" s="1" t="s">
        <v>124</v>
      </c>
    </row>
    <row r="2" customFormat="false" ht="16" hidden="false" customHeight="false" outlineLevel="0" collapsed="false">
      <c r="A2" s="1" t="n">
        <v>100</v>
      </c>
      <c r="B2" s="1" t="n">
        <v>96.6805</v>
      </c>
      <c r="C2" s="1" t="n">
        <v>102.5455</v>
      </c>
      <c r="D2" s="1" t="n">
        <v>57.26141</v>
      </c>
      <c r="E2" s="1" t="n">
        <v>77.01404</v>
      </c>
      <c r="F2" s="1" t="n">
        <v>19.91701</v>
      </c>
    </row>
    <row r="3" customFormat="false" ht="16" hidden="false" customHeight="false" outlineLevel="0" collapsed="false">
      <c r="A3" s="1" t="n">
        <v>95.02074</v>
      </c>
      <c r="B3" s="1" t="n">
        <v>80.08298</v>
      </c>
      <c r="C3" s="1" t="n">
        <v>92.60983</v>
      </c>
      <c r="D3" s="1" t="n">
        <v>69.70954</v>
      </c>
      <c r="E3" s="1" t="n">
        <v>62.16529</v>
      </c>
      <c r="F3" s="1" t="n">
        <v>47.30291</v>
      </c>
      <c r="I3" s="1" t="s">
        <v>125</v>
      </c>
      <c r="J3" s="1" t="s">
        <v>126</v>
      </c>
    </row>
    <row r="4" customFormat="false" ht="16" hidden="false" customHeight="false" outlineLevel="0" collapsed="false">
      <c r="A4" s="1" t="n">
        <v>93.36099</v>
      </c>
      <c r="B4" s="1" t="n">
        <v>85.89211</v>
      </c>
      <c r="C4" s="1" t="n">
        <v>64.86688</v>
      </c>
      <c r="D4" s="1" t="n">
        <v>50.62241</v>
      </c>
      <c r="E4" s="1" t="n">
        <v>60.38228</v>
      </c>
      <c r="F4" s="1" t="n">
        <v>24.89627</v>
      </c>
      <c r="J4" s="1" t="n">
        <v>4.4</v>
      </c>
      <c r="K4" s="1" t="n">
        <f aca="false">4.4/4.6*1.08888</f>
        <v>1.04153739130435</v>
      </c>
    </row>
    <row r="5" customFormat="false" ht="16" hidden="false" customHeight="false" outlineLevel="0" collapsed="false">
      <c r="A5" s="1" t="n">
        <v>85.47718</v>
      </c>
      <c r="B5" s="1" t="n">
        <v>93.77593</v>
      </c>
      <c r="C5" s="1" t="n">
        <v>85.90536</v>
      </c>
      <c r="E5" s="1" t="n">
        <v>59.0208</v>
      </c>
      <c r="F5" s="1" t="n">
        <v>24.06639</v>
      </c>
    </row>
    <row r="6" customFormat="false" ht="16" hidden="false" customHeight="false" outlineLevel="0" collapsed="false">
      <c r="A6" s="1" t="n">
        <v>100.4149</v>
      </c>
      <c r="C6" s="1" t="n">
        <v>90.76589</v>
      </c>
      <c r="F6" s="1" t="n">
        <v>31.95021</v>
      </c>
      <c r="I6" s="1" t="n">
        <f aca="false">1.08888/4.4*4.6*1.3</f>
        <v>1.47988690909091</v>
      </c>
    </row>
    <row r="7" customFormat="false" ht="16" hidden="false" customHeight="false" outlineLevel="0" collapsed="false">
      <c r="I7" s="1" t="n">
        <f aca="false">0.9222*0.029</f>
        <v>0.0267438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8" activeCellId="0" sqref="O38"/>
    </sheetView>
  </sheetViews>
  <sheetFormatPr defaultColWidth="10.50390625" defaultRowHeight="16" zeroHeight="false" outlineLevelRow="0" outlineLevelCol="0"/>
  <sheetData>
    <row r="1" customFormat="false" ht="34.3" hidden="false" customHeight="false" outlineLevel="0" collapsed="false">
      <c r="A1" s="5" t="s">
        <v>127</v>
      </c>
      <c r="B1" s="5" t="s">
        <v>128</v>
      </c>
      <c r="C1" s="5" t="s">
        <v>129</v>
      </c>
      <c r="D1" s="5" t="s">
        <v>130</v>
      </c>
      <c r="E1" s="5" t="s">
        <v>131</v>
      </c>
      <c r="F1" s="5" t="s">
        <v>132</v>
      </c>
      <c r="G1" s="5" t="s">
        <v>133</v>
      </c>
    </row>
    <row r="2" customFormat="false" ht="16" hidden="false" customHeight="false" outlineLevel="0" collapsed="false">
      <c r="A2" s="1" t="n">
        <v>5.853914</v>
      </c>
      <c r="B2" s="1" t="n">
        <v>3.39613</v>
      </c>
      <c r="C2" s="1" t="n">
        <v>4.904533</v>
      </c>
      <c r="D2" s="1" t="n">
        <v>8.496564</v>
      </c>
      <c r="E2" s="1" t="n">
        <v>6.247391</v>
      </c>
      <c r="F2" s="1" t="n">
        <v>6.376441</v>
      </c>
      <c r="G2" s="1" t="n">
        <v>8.157174</v>
      </c>
    </row>
    <row r="3" customFormat="false" ht="16" hidden="false" customHeight="false" outlineLevel="0" collapsed="false">
      <c r="A3" s="1" t="n">
        <v>5.27464</v>
      </c>
      <c r="B3" s="1" t="n">
        <v>6.373317</v>
      </c>
      <c r="C3" s="1" t="n">
        <v>9.501887</v>
      </c>
      <c r="D3" s="1" t="n">
        <v>8.681566</v>
      </c>
      <c r="E3" s="1" t="n">
        <v>6.248249</v>
      </c>
      <c r="F3" s="1" t="n">
        <v>7.536709</v>
      </c>
      <c r="G3" s="1" t="n">
        <v>4.824072</v>
      </c>
    </row>
    <row r="4" customFormat="false" ht="16" hidden="false" customHeight="false" outlineLevel="0" collapsed="false">
      <c r="A4" s="1" t="n">
        <v>4.069367</v>
      </c>
      <c r="B4" s="1" t="n">
        <v>3.034696</v>
      </c>
      <c r="C4" s="1" t="n">
        <v>7.116892</v>
      </c>
      <c r="D4" s="1" t="n">
        <v>8.3804</v>
      </c>
      <c r="E4" s="1" t="n">
        <v>5.783316</v>
      </c>
      <c r="F4" s="1" t="n">
        <v>4.759748</v>
      </c>
      <c r="G4" s="1" t="n">
        <v>3.645257</v>
      </c>
    </row>
    <row r="5" customFormat="false" ht="16" hidden="false" customHeight="false" outlineLevel="0" collapsed="false">
      <c r="A5" s="1" t="n">
        <v>6.562446</v>
      </c>
      <c r="B5" s="1" t="n">
        <v>1.040886</v>
      </c>
      <c r="C5" s="1" t="n">
        <v>8.374624</v>
      </c>
      <c r="D5" s="1" t="n">
        <v>6.706006</v>
      </c>
      <c r="E5" s="1" t="n">
        <v>7.88348</v>
      </c>
      <c r="F5" s="1" t="n">
        <v>6.197491</v>
      </c>
      <c r="G5" s="1" t="n">
        <v>4.888306</v>
      </c>
      <c r="T5" s="1" t="s">
        <v>134</v>
      </c>
      <c r="U5" s="1" t="n">
        <f aca="false">1/4.42</f>
        <v>0.226244343891403</v>
      </c>
    </row>
    <row r="6" customFormat="false" ht="16" hidden="false" customHeight="false" outlineLevel="0" collapsed="false">
      <c r="A6" s="1" t="n">
        <v>3.707916</v>
      </c>
      <c r="B6" s="1" t="n">
        <v>2.472256</v>
      </c>
      <c r="C6" s="1" t="n">
        <v>9.001256</v>
      </c>
      <c r="D6" s="1" t="n">
        <v>8.733545</v>
      </c>
      <c r="G6" s="1" t="n">
        <v>5.284927</v>
      </c>
      <c r="T6" s="1" t="s">
        <v>135</v>
      </c>
      <c r="U6" s="1" t="n">
        <v>0.203</v>
      </c>
    </row>
    <row r="7" customFormat="false" ht="16" hidden="false" customHeight="false" outlineLevel="0" collapsed="false">
      <c r="A7" s="1" t="n">
        <v>4.969173</v>
      </c>
    </row>
    <row r="8" customFormat="false" ht="16" hidden="false" customHeight="false" outlineLevel="0" collapsed="false">
      <c r="A8" s="1" t="n">
        <v>3.797984</v>
      </c>
      <c r="Q8" s="1" t="n">
        <v>2.3</v>
      </c>
    </row>
    <row r="9" customFormat="false" ht="16" hidden="false" customHeight="false" outlineLevel="0" collapsed="false">
      <c r="A9" s="1" t="n">
        <v>2.828878</v>
      </c>
      <c r="N9" s="1" t="s">
        <v>136</v>
      </c>
      <c r="O9" s="1" t="n">
        <v>3.39</v>
      </c>
      <c r="P9" s="1" t="n">
        <f aca="false">SUM(P10:P16)</f>
        <v>4.96674024788972</v>
      </c>
      <c r="Q9" s="1" t="n">
        <v>0.59</v>
      </c>
      <c r="T9" s="1" t="s">
        <v>62</v>
      </c>
      <c r="U9" s="1" t="s">
        <v>62</v>
      </c>
    </row>
    <row r="10" customFormat="false" ht="16" hidden="false" customHeight="false" outlineLevel="0" collapsed="false">
      <c r="A10" s="1" t="n">
        <v>2.674247</v>
      </c>
      <c r="I10" s="1" t="s">
        <v>137</v>
      </c>
      <c r="J10" s="1" t="n">
        <v>0</v>
      </c>
      <c r="K10" s="1" t="n">
        <f aca="false">AVERAGE(A2:A12)</f>
        <v>3.91988863636364</v>
      </c>
      <c r="M10" s="1" t="n">
        <v>0</v>
      </c>
      <c r="N10" s="1" t="n">
        <v>1</v>
      </c>
      <c r="O10" s="1" t="n">
        <f aca="false">O$9*N10</f>
        <v>3.39</v>
      </c>
      <c r="P10" s="1" t="n">
        <f aca="false">(K10-O10)^2</f>
        <v>0.280781966947315</v>
      </c>
      <c r="Q10" s="1" t="n">
        <f aca="false">Q$9*J10^2*EXP(-J10/Q$8)+N$10</f>
        <v>1</v>
      </c>
      <c r="T10" s="1" t="n">
        <f aca="false">1-(1-U$6)/K10*K$10</f>
        <v>0.203</v>
      </c>
      <c r="U10" s="1" t="n">
        <v>0.203</v>
      </c>
    </row>
    <row r="11" customFormat="false" ht="16" hidden="false" customHeight="false" outlineLevel="0" collapsed="false">
      <c r="A11" s="1" t="n">
        <v>1.472478</v>
      </c>
      <c r="J11" s="1" t="n">
        <v>1</v>
      </c>
      <c r="K11" s="1" t="n">
        <f aca="false">AVERAGE(B2:B6)</f>
        <v>3.263457</v>
      </c>
      <c r="M11" s="1" t="n">
        <v>1</v>
      </c>
      <c r="N11" s="1" t="n">
        <v>1</v>
      </c>
      <c r="O11" s="1" t="n">
        <f aca="false">O$9*N11</f>
        <v>3.39</v>
      </c>
      <c r="P11" s="1" t="n">
        <f aca="false">(K11-O11)^2</f>
        <v>0.0160131308490001</v>
      </c>
      <c r="Q11" s="1" t="n">
        <f aca="false">Q$9*J11^2*EXP(-J11/Q$8)+N$10</f>
        <v>1.38196918132951</v>
      </c>
      <c r="T11" s="1" t="n">
        <f aca="false">1-(1-U$6)/K11*K$10</f>
        <v>0.0426865611583609</v>
      </c>
      <c r="U11" s="1" t="n">
        <v>0.203</v>
      </c>
    </row>
    <row r="12" customFormat="false" ht="16" hidden="false" customHeight="false" outlineLevel="0" collapsed="false">
      <c r="A12" s="1" t="n">
        <v>1.907732</v>
      </c>
      <c r="J12" s="1" t="n">
        <v>2</v>
      </c>
      <c r="K12" s="1" t="n">
        <f aca="false">AVERAGE(C2:C6)</f>
        <v>7.7798384</v>
      </c>
      <c r="M12" s="1" t="n">
        <v>2</v>
      </c>
      <c r="N12" s="1" t="n">
        <v>1.9</v>
      </c>
      <c r="O12" s="1" t="n">
        <f aca="false">O$9*N12</f>
        <v>6.441</v>
      </c>
      <c r="P12" s="1" t="n">
        <f aca="false">(K12-O12)^2</f>
        <v>1.79248826131456</v>
      </c>
      <c r="Q12" s="1" t="n">
        <f aca="false">Q$9*J12^2*EXP(-J12/Q$8)+N$10</f>
        <v>1.9891556304104</v>
      </c>
      <c r="T12" s="1" t="n">
        <f aca="false">1-(1-U$6)/K12*K$10</f>
        <v>0.598429802451704</v>
      </c>
      <c r="U12" s="1" t="n">
        <v>0.273</v>
      </c>
    </row>
    <row r="13" customFormat="false" ht="16" hidden="false" customHeight="false" outlineLevel="0" collapsed="false">
      <c r="J13" s="1" t="n">
        <v>4</v>
      </c>
      <c r="K13" s="1" t="n">
        <f aca="false">AVERAGE(D2:D6)</f>
        <v>8.1996162</v>
      </c>
      <c r="M13" s="1" t="n">
        <v>4</v>
      </c>
      <c r="N13" s="1" t="n">
        <v>2.6</v>
      </c>
      <c r="O13" s="1" t="n">
        <f aca="false">O$9*N13</f>
        <v>8.814</v>
      </c>
      <c r="P13" s="1" t="n">
        <f aca="false">(K13-O13)^2</f>
        <v>0.377467453702441</v>
      </c>
      <c r="Q13" s="1" t="n">
        <f aca="false">Q$9*J13^2*EXP(-J13/Q$8)+N$10</f>
        <v>2.65835400198745</v>
      </c>
      <c r="T13" s="1" t="n">
        <f aca="false">1-(1-U$6)/K13*K$10</f>
        <v>0.618988112738518</v>
      </c>
      <c r="U13" s="1" t="n">
        <v>0.545</v>
      </c>
    </row>
    <row r="14" customFormat="false" ht="16" hidden="false" customHeight="false" outlineLevel="0" collapsed="false">
      <c r="J14" s="1" t="n">
        <v>8</v>
      </c>
      <c r="K14" s="1" t="n">
        <f aca="false">AVERAGE(E2:E5)</f>
        <v>6.540609</v>
      </c>
      <c r="M14" s="1" t="n">
        <v>8</v>
      </c>
      <c r="N14" s="1" t="n">
        <v>2.3</v>
      </c>
      <c r="O14" s="1" t="n">
        <f aca="false">O$9*N14</f>
        <v>7.797</v>
      </c>
      <c r="P14" s="1" t="n">
        <f aca="false">(K14-O14)^2</f>
        <v>1.578518344881</v>
      </c>
      <c r="Q14" s="1" t="n">
        <f aca="false">Q$9*J14^2*EXP(-J14/Q$8)+N$10</f>
        <v>2.16531271013043</v>
      </c>
      <c r="T14" s="1" t="n">
        <f aca="false">1-(1-U$6)/K14*K$10</f>
        <v>0.522345511987979</v>
      </c>
      <c r="U14" s="1" t="n">
        <v>0.272</v>
      </c>
    </row>
    <row r="15" customFormat="false" ht="16" hidden="false" customHeight="false" outlineLevel="0" collapsed="false">
      <c r="J15" s="1" t="n">
        <v>10</v>
      </c>
      <c r="K15" s="1" t="n">
        <f aca="false">AVERAGE(F2:F5)</f>
        <v>6.21759725</v>
      </c>
      <c r="M15" s="1" t="n">
        <v>10</v>
      </c>
      <c r="N15" s="1" t="n">
        <v>1.8</v>
      </c>
      <c r="O15" s="1" t="n">
        <f aca="false">O$9*N15</f>
        <v>6.102</v>
      </c>
      <c r="P15" s="1" t="n">
        <f aca="false">(K15-O15)^2</f>
        <v>0.0133627242075624</v>
      </c>
      <c r="Q15" s="1" t="n">
        <f aca="false">Q$9*J15^2*EXP(-J15/Q$8)+N$10</f>
        <v>1.76315918194804</v>
      </c>
      <c r="T15" s="1" t="n">
        <f aca="false">1-(1-U$6)/K15*K$10</f>
        <v>0.497530779565721</v>
      </c>
      <c r="U15" s="1" t="n">
        <v>0.029</v>
      </c>
    </row>
    <row r="16" customFormat="false" ht="16" hidden="false" customHeight="false" outlineLevel="0" collapsed="false">
      <c r="J16" s="1" t="n">
        <v>14</v>
      </c>
      <c r="K16" s="1" t="n">
        <f aca="false">AVERAGE(G2:G6)</f>
        <v>5.3599472</v>
      </c>
      <c r="M16" s="1" t="n">
        <v>14</v>
      </c>
      <c r="N16" s="1" t="n">
        <v>1.3</v>
      </c>
      <c r="O16" s="1" t="n">
        <f aca="false">O$9*N16</f>
        <v>4.407</v>
      </c>
      <c r="P16" s="1" t="n">
        <f aca="false">(K16-O16)^2</f>
        <v>0.908108365987839</v>
      </c>
      <c r="Q16" s="1" t="n">
        <f aca="false">Q$9*J16^2*EXP(-J16/Q$8)+N$10</f>
        <v>1.26277040717506</v>
      </c>
      <c r="T16" s="1" t="n">
        <f aca="false">1-(1-U$6)/K16*K$10</f>
        <v>0.417130220390638</v>
      </c>
      <c r="U16" s="1" t="n">
        <v>0.029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0.50390625" defaultRowHeight="16" zeroHeight="false" outlineLevelRow="0" outlineLevelCol="0"/>
  <sheetData>
    <row r="1" customFormat="false" ht="34.3" hidden="false" customHeight="false" outlineLevel="0" collapsed="false">
      <c r="A1" s="5" t="s">
        <v>138</v>
      </c>
      <c r="B1" s="5" t="s">
        <v>139</v>
      </c>
    </row>
    <row r="2" customFormat="false" ht="16" hidden="false" customHeight="false" outlineLevel="0" collapsed="false">
      <c r="A2" s="1" t="n">
        <v>2.268314</v>
      </c>
      <c r="B2" s="1" t="n">
        <v>9.576005</v>
      </c>
    </row>
    <row r="3" customFormat="false" ht="16" hidden="false" customHeight="false" outlineLevel="0" collapsed="false">
      <c r="A3" s="1" t="n">
        <v>2.351619</v>
      </c>
      <c r="B3" s="1" t="n">
        <v>6.213977</v>
      </c>
    </row>
    <row r="4" customFormat="false" ht="16" hidden="false" customHeight="false" outlineLevel="0" collapsed="false">
      <c r="A4" s="1" t="n">
        <v>4.303462</v>
      </c>
      <c r="B4" s="1" t="n">
        <v>9.824569</v>
      </c>
    </row>
    <row r="5" customFormat="false" ht="16" hidden="false" customHeight="false" outlineLevel="0" collapsed="false">
      <c r="A5" s="1" t="n">
        <v>4.239707</v>
      </c>
      <c r="B5" s="1" t="n">
        <v>15.54303</v>
      </c>
    </row>
    <row r="6" customFormat="false" ht="16" hidden="false" customHeight="false" outlineLevel="0" collapsed="false">
      <c r="B6" s="1" t="n">
        <v>10.64536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ColWidth="10.50390625" defaultRowHeight="16" zeroHeight="false" outlineLevelRow="0" outlineLevelCol="0"/>
  <sheetData>
    <row r="1" customFormat="false" ht="16" hidden="false" customHeight="false" outlineLevel="0" collapsed="false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</row>
    <row r="2" customFormat="false" ht="16" hidden="false" customHeight="false" outlineLevel="0" collapsed="false">
      <c r="A2" s="1" t="n">
        <v>395.1616</v>
      </c>
      <c r="B2" s="1" t="n">
        <v>1203.935</v>
      </c>
      <c r="C2" s="1" t="n">
        <v>2516.958</v>
      </c>
      <c r="D2" s="1" t="n">
        <v>2667.754</v>
      </c>
      <c r="E2" s="1" t="n">
        <v>2714.713</v>
      </c>
      <c r="F2" s="1" t="n">
        <v>5608.521</v>
      </c>
      <c r="G2" s="1" t="n">
        <v>2636.613</v>
      </c>
      <c r="H2" s="1" t="n">
        <v>2959.284</v>
      </c>
      <c r="I2" s="1" t="n">
        <v>2964.729</v>
      </c>
      <c r="J2" s="1" t="n">
        <v>3258.559</v>
      </c>
    </row>
    <row r="3" customFormat="false" ht="16" hidden="false" customHeight="false" outlineLevel="0" collapsed="false">
      <c r="A3" s="1" t="n">
        <v>392.9688</v>
      </c>
      <c r="B3" s="1" t="n">
        <v>1095.96</v>
      </c>
      <c r="C3" s="1" t="n">
        <v>1771.974</v>
      </c>
      <c r="D3" s="1" t="n">
        <v>2465.908</v>
      </c>
      <c r="E3" s="1" t="n">
        <v>2726.458</v>
      </c>
      <c r="F3" s="1" t="n">
        <v>5471.908</v>
      </c>
      <c r="G3" s="1" t="n">
        <v>2733.111</v>
      </c>
      <c r="H3" s="1" t="n">
        <v>3258.661</v>
      </c>
      <c r="I3" s="1" t="n">
        <v>3289.717</v>
      </c>
      <c r="J3" s="1" t="n">
        <v>3600.47</v>
      </c>
    </row>
    <row r="4" customFormat="false" ht="16" hidden="false" customHeight="false" outlineLevel="0" collapsed="false">
      <c r="A4" s="1" t="n">
        <v>316.8072</v>
      </c>
      <c r="B4" s="1" t="n">
        <v>1345.937</v>
      </c>
      <c r="C4" s="1" t="n">
        <v>2262.525</v>
      </c>
      <c r="D4" s="1" t="n">
        <v>2397.31</v>
      </c>
      <c r="E4" s="1" t="n">
        <v>2491.168</v>
      </c>
      <c r="F4" s="1" t="n">
        <v>5841.032</v>
      </c>
      <c r="G4" s="1" t="n">
        <v>2651.556</v>
      </c>
      <c r="H4" s="1" t="n">
        <v>3113.966</v>
      </c>
      <c r="I4" s="1" t="n">
        <v>2857.4</v>
      </c>
      <c r="J4" s="1" t="n">
        <v>3524.763</v>
      </c>
    </row>
    <row r="5" customFormat="false" ht="16" hidden="false" customHeight="false" outlineLevel="0" collapsed="false">
      <c r="A5" s="1" t="n">
        <v>344.9834</v>
      </c>
      <c r="B5" s="1" t="n">
        <v>696.9318</v>
      </c>
      <c r="C5" s="1" t="n">
        <v>3486.688</v>
      </c>
      <c r="D5" s="1" t="n">
        <v>2800.339</v>
      </c>
      <c r="E5" s="1" t="n">
        <v>2876.513</v>
      </c>
      <c r="F5" s="1" t="n">
        <v>2469.577</v>
      </c>
      <c r="G5" s="1" t="n">
        <v>3344.696</v>
      </c>
      <c r="H5" s="1" t="n">
        <v>3101.668</v>
      </c>
      <c r="I5" s="1" t="n">
        <v>3529.271</v>
      </c>
      <c r="J5" s="1" t="n">
        <v>4021.276</v>
      </c>
    </row>
    <row r="6" customFormat="false" ht="16" hidden="false" customHeight="false" outlineLevel="0" collapsed="false">
      <c r="A6" s="1" t="n">
        <v>387.7463</v>
      </c>
      <c r="B6" s="1" t="n">
        <v>898.1115</v>
      </c>
      <c r="C6" s="1" t="n">
        <v>3128</v>
      </c>
      <c r="D6" s="1" t="n">
        <v>4219.35</v>
      </c>
      <c r="E6" s="1" t="n">
        <v>4169.403</v>
      </c>
      <c r="F6" s="1" t="n">
        <v>2749.491</v>
      </c>
      <c r="G6" s="1" t="n">
        <v>2692.776</v>
      </c>
      <c r="H6" s="1" t="n">
        <v>2865.203</v>
      </c>
      <c r="I6" s="1" t="n">
        <v>4232.356</v>
      </c>
    </row>
    <row r="7" customFormat="false" ht="16" hidden="false" customHeight="false" outlineLevel="0" collapsed="false">
      <c r="B7" s="1" t="n">
        <v>1114.01</v>
      </c>
      <c r="C7" s="1" t="n">
        <v>2684.358</v>
      </c>
      <c r="D7" s="1" t="n">
        <v>3045.149</v>
      </c>
      <c r="E7" s="1" t="n">
        <v>3012.922</v>
      </c>
      <c r="F7" s="1" t="n">
        <v>2535.593</v>
      </c>
      <c r="G7" s="1" t="n">
        <v>3149.813</v>
      </c>
      <c r="H7" s="1" t="n">
        <v>3610.471</v>
      </c>
      <c r="I7" s="1" t="n">
        <v>4223.092</v>
      </c>
    </row>
    <row r="8" customFormat="false" ht="16" hidden="false" customHeight="false" outlineLevel="0" collapsed="false">
      <c r="B8" s="1" t="n">
        <v>660.9087</v>
      </c>
      <c r="C8" s="1" t="n">
        <v>2246.84</v>
      </c>
      <c r="D8" s="1" t="n">
        <v>2518.221</v>
      </c>
      <c r="E8" s="1" t="n">
        <v>2981.379</v>
      </c>
      <c r="F8" s="1" t="n">
        <v>2904.958</v>
      </c>
      <c r="G8" s="1" t="n">
        <v>3774.656</v>
      </c>
      <c r="I8" s="1" t="n">
        <v>4552.44</v>
      </c>
    </row>
    <row r="9" customFormat="false" ht="16" hidden="false" customHeight="false" outlineLevel="0" collapsed="false">
      <c r="B9" s="1" t="n">
        <v>689.3493</v>
      </c>
      <c r="C9" s="1" t="n">
        <v>1685.419</v>
      </c>
      <c r="D9" s="1" t="n">
        <v>2288.559</v>
      </c>
      <c r="F9" s="1" t="n">
        <v>4223.7</v>
      </c>
      <c r="G9" s="1" t="n">
        <v>4819.15</v>
      </c>
      <c r="I9" s="1" t="n">
        <v>4417.922</v>
      </c>
    </row>
    <row r="10" customFormat="false" ht="16" hidden="false" customHeight="false" outlineLevel="0" collapsed="false">
      <c r="B10" s="1" t="n">
        <v>684.846</v>
      </c>
      <c r="C10" s="1" t="n">
        <v>2062.143</v>
      </c>
      <c r="D10" s="1" t="n">
        <v>2347.201</v>
      </c>
      <c r="F10" s="1" t="n">
        <v>2996.364</v>
      </c>
      <c r="G10" s="1" t="n">
        <v>4611.759</v>
      </c>
    </row>
    <row r="11" customFormat="false" ht="16" hidden="false" customHeight="false" outlineLevel="0" collapsed="false">
      <c r="B11" s="1" t="n">
        <v>793.7217</v>
      </c>
      <c r="C11" s="1" t="n">
        <v>4019.724</v>
      </c>
      <c r="D11" s="1" t="n">
        <v>3481.864</v>
      </c>
      <c r="F11" s="1" t="n">
        <v>3039.489</v>
      </c>
      <c r="G11" s="1" t="n">
        <v>4109.401</v>
      </c>
    </row>
    <row r="12" customFormat="false" ht="16" hidden="false" customHeight="false" outlineLevel="0" collapsed="false">
      <c r="B12" s="1" t="n">
        <v>1063.546</v>
      </c>
      <c r="C12" s="1" t="n">
        <v>2649.634</v>
      </c>
      <c r="D12" s="1" t="n">
        <v>3342.565</v>
      </c>
      <c r="F12" s="1" t="n">
        <v>3511.989</v>
      </c>
    </row>
    <row r="13" customFormat="false" ht="16" hidden="false" customHeight="false" outlineLevel="0" collapsed="false">
      <c r="B13" s="1" t="n">
        <v>1047.281</v>
      </c>
      <c r="C13" s="1" t="n">
        <v>2654.382</v>
      </c>
      <c r="D13" s="1" t="n">
        <v>2859.396</v>
      </c>
      <c r="F13" s="1" t="n">
        <v>3353.967</v>
      </c>
    </row>
    <row r="14" customFormat="false" ht="16" hidden="false" customHeight="false" outlineLevel="0" collapsed="false">
      <c r="B14" s="1" t="n">
        <v>1094.401</v>
      </c>
      <c r="C14" s="1" t="n">
        <v>3067.718</v>
      </c>
      <c r="D14" s="1" t="n">
        <v>3754.212</v>
      </c>
      <c r="F14" s="1" t="n">
        <v>3713.041</v>
      </c>
    </row>
    <row r="15" customFormat="false" ht="16" hidden="false" customHeight="false" outlineLevel="0" collapsed="false">
      <c r="F15" s="1" t="n">
        <v>4043.281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10.50390625" defaultRowHeight="16" zeroHeight="false" outlineLevelRow="0" outlineLevelCol="0"/>
  <sheetData>
    <row r="1" customFormat="false" ht="16" hidden="false" customHeight="false" outlineLevel="0" collapsed="false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</row>
    <row r="2" customFormat="false" ht="16" hidden="false" customHeight="false" outlineLevel="0" collapsed="false">
      <c r="A2" s="1" t="n">
        <v>206.9109</v>
      </c>
      <c r="B2" s="1" t="n">
        <v>451.2423</v>
      </c>
      <c r="C2" s="1" t="n">
        <v>711.6246</v>
      </c>
      <c r="D2" s="1" t="n">
        <v>742.2529</v>
      </c>
      <c r="E2" s="1" t="n">
        <v>750.2396</v>
      </c>
      <c r="F2" s="1" t="n">
        <v>1218.019</v>
      </c>
      <c r="G2" s="1" t="n">
        <v>732.7253</v>
      </c>
      <c r="H2" s="1" t="n">
        <v>792.4592</v>
      </c>
      <c r="I2" s="1" t="n">
        <v>793.6354</v>
      </c>
      <c r="J2" s="1" t="n">
        <v>849.1699</v>
      </c>
    </row>
    <row r="3" customFormat="false" ht="16" hidden="false" customHeight="false" outlineLevel="0" collapsed="false">
      <c r="A3" s="1" t="n">
        <v>207.0311</v>
      </c>
      <c r="B3" s="1" t="n">
        <v>433.3245</v>
      </c>
      <c r="C3" s="1" t="n">
        <v>570.1558</v>
      </c>
      <c r="D3" s="1" t="n">
        <v>718.1016</v>
      </c>
      <c r="E3" s="1" t="n">
        <v>756.8895</v>
      </c>
      <c r="F3" s="1" t="n">
        <v>1192.499</v>
      </c>
      <c r="G3" s="1" t="n">
        <v>759.1893</v>
      </c>
      <c r="H3" s="1" t="n">
        <v>849.4133</v>
      </c>
      <c r="I3" s="1" t="n">
        <v>855.9993</v>
      </c>
      <c r="J3" s="1" t="n">
        <v>906.8337</v>
      </c>
    </row>
    <row r="4" customFormat="false" ht="16" hidden="false" customHeight="false" outlineLevel="0" collapsed="false">
      <c r="A4" s="1" t="n">
        <v>182.7858</v>
      </c>
      <c r="B4" s="1" t="n">
        <v>496.5077</v>
      </c>
      <c r="C4" s="1" t="n">
        <v>674.8976</v>
      </c>
      <c r="D4" s="1" t="n">
        <v>704.7335</v>
      </c>
      <c r="E4" s="1" t="n">
        <v>713.4084</v>
      </c>
      <c r="F4" s="1" t="n">
        <v>1244.693</v>
      </c>
      <c r="G4" s="1" t="n">
        <v>737.2546</v>
      </c>
      <c r="H4" s="1" t="n">
        <v>825.7223</v>
      </c>
      <c r="I4" s="1" t="n">
        <v>783.0811</v>
      </c>
      <c r="J4" s="1" t="n">
        <v>918.5418</v>
      </c>
    </row>
    <row r="5" customFormat="false" ht="16" hidden="false" customHeight="false" outlineLevel="0" collapsed="false">
      <c r="A5" s="1" t="n">
        <v>180.6371</v>
      </c>
      <c r="B5" s="1" t="n">
        <v>304.2133</v>
      </c>
      <c r="C5" s="1" t="n">
        <v>916.4178</v>
      </c>
      <c r="D5" s="1" t="n">
        <v>768.887</v>
      </c>
      <c r="E5" s="1" t="n">
        <v>780.0452</v>
      </c>
      <c r="F5" s="1" t="n">
        <v>701.6324</v>
      </c>
      <c r="G5" s="1" t="n">
        <v>864.5746</v>
      </c>
      <c r="H5" s="1" t="n">
        <v>823.5634</v>
      </c>
      <c r="I5" s="1" t="n">
        <v>893.8004</v>
      </c>
      <c r="J5" s="1" t="n">
        <v>1046.932</v>
      </c>
    </row>
    <row r="6" customFormat="false" ht="16" hidden="false" customHeight="false" outlineLevel="0" collapsed="false">
      <c r="A6" s="1" t="n">
        <v>203.0282</v>
      </c>
      <c r="B6" s="1" t="n">
        <v>366.2413</v>
      </c>
      <c r="C6" s="1" t="n">
        <v>841.1561</v>
      </c>
      <c r="D6" s="1" t="n">
        <v>1030.524</v>
      </c>
      <c r="E6" s="1" t="n">
        <v>1022.762</v>
      </c>
      <c r="F6" s="1" t="n">
        <v>761.7233</v>
      </c>
      <c r="G6" s="1" t="n">
        <v>758.039</v>
      </c>
      <c r="H6" s="1" t="n">
        <v>785.4204</v>
      </c>
      <c r="I6" s="1" t="n">
        <v>1026.505</v>
      </c>
    </row>
    <row r="7" customFormat="false" ht="16" hidden="false" customHeight="false" outlineLevel="0" collapsed="false">
      <c r="B7" s="1" t="n">
        <v>419.8675</v>
      </c>
      <c r="C7" s="1" t="n">
        <v>773.5264</v>
      </c>
      <c r="D7" s="1" t="n">
        <v>823.8032</v>
      </c>
      <c r="E7" s="1" t="n">
        <v>832.216</v>
      </c>
      <c r="F7" s="1" t="n">
        <v>722.1364</v>
      </c>
      <c r="G7" s="1" t="n">
        <v>831.7341</v>
      </c>
      <c r="H7" s="1" t="n">
        <v>908.5955</v>
      </c>
      <c r="I7" s="1" t="n">
        <v>1027.576</v>
      </c>
    </row>
    <row r="8" customFormat="false" ht="16" hidden="false" customHeight="false" outlineLevel="0" collapsed="false">
      <c r="B8" s="1" t="n">
        <v>301.4513</v>
      </c>
      <c r="C8" s="1" t="n">
        <v>673.813</v>
      </c>
      <c r="D8" s="1" t="n">
        <v>732.9514</v>
      </c>
      <c r="E8" s="1" t="n">
        <v>800.002</v>
      </c>
      <c r="F8" s="1" t="n">
        <v>784.9523</v>
      </c>
      <c r="G8" s="1" t="n">
        <v>972.113</v>
      </c>
      <c r="I8" s="1" t="n">
        <v>1097.269</v>
      </c>
    </row>
    <row r="9" customFormat="false" ht="16" hidden="false" customHeight="false" outlineLevel="0" collapsed="false">
      <c r="B9" s="1" t="n">
        <v>306.8414</v>
      </c>
      <c r="C9" s="1" t="n">
        <v>556.4761</v>
      </c>
      <c r="D9" s="1" t="n">
        <v>667.9713</v>
      </c>
      <c r="F9" s="1" t="n">
        <v>1031.328</v>
      </c>
      <c r="G9" s="1" t="n">
        <v>1165.538</v>
      </c>
      <c r="I9" s="1" t="n">
        <v>1069.227</v>
      </c>
    </row>
    <row r="10" customFormat="false" ht="16" hidden="false" customHeight="false" outlineLevel="0" collapsed="false">
      <c r="B10" s="1" t="n">
        <v>312.2793</v>
      </c>
      <c r="C10" s="1" t="n">
        <v>640.4114</v>
      </c>
      <c r="D10" s="1" t="n">
        <v>689.5156</v>
      </c>
      <c r="F10" s="1" t="n">
        <v>829.0862</v>
      </c>
      <c r="G10" s="1" t="n">
        <v>1107.531</v>
      </c>
    </row>
    <row r="11" customFormat="false" ht="16" hidden="false" customHeight="false" outlineLevel="0" collapsed="false">
      <c r="B11" s="1" t="n">
        <v>334.3557</v>
      </c>
      <c r="C11" s="1" t="n">
        <v>1080.18</v>
      </c>
      <c r="D11" s="1" t="n">
        <v>930.8883</v>
      </c>
      <c r="F11" s="1" t="n">
        <v>810.1937</v>
      </c>
      <c r="G11" s="1" t="n">
        <v>1028.915</v>
      </c>
    </row>
    <row r="12" customFormat="false" ht="16" hidden="false" customHeight="false" outlineLevel="0" collapsed="false">
      <c r="B12" s="1" t="n">
        <v>428.4693</v>
      </c>
      <c r="C12" s="1" t="n">
        <v>767.2664</v>
      </c>
      <c r="D12" s="1" t="n">
        <v>872.9457</v>
      </c>
      <c r="F12" s="1" t="n">
        <v>892.8017</v>
      </c>
    </row>
    <row r="13" customFormat="false" ht="16" hidden="false" customHeight="false" outlineLevel="0" collapsed="false">
      <c r="B13" s="1" t="n">
        <v>426.9146</v>
      </c>
      <c r="C13" s="1" t="n">
        <v>764.9543</v>
      </c>
      <c r="D13" s="1" t="n">
        <v>786.1229</v>
      </c>
      <c r="F13" s="1" t="n">
        <v>896.5496</v>
      </c>
    </row>
    <row r="14" customFormat="false" ht="16" hidden="false" customHeight="false" outlineLevel="0" collapsed="false">
      <c r="B14" s="1" t="n">
        <v>425.0181</v>
      </c>
      <c r="C14" s="1" t="n">
        <v>847.2236</v>
      </c>
      <c r="D14" s="1" t="n">
        <v>998.0681</v>
      </c>
      <c r="F14" s="1" t="n">
        <v>941.1108</v>
      </c>
    </row>
    <row r="15" customFormat="false" ht="16" hidden="false" customHeight="false" outlineLevel="0" collapsed="false">
      <c r="F15" s="1" t="n">
        <v>1000.973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10.50390625" defaultRowHeight="16" zeroHeight="false" outlineLevelRow="0" outlineLevelCol="0"/>
  <sheetData>
    <row r="1" customFormat="false" ht="16" hidden="false" customHeight="false" outlineLevel="0" collapsed="false">
      <c r="A1" s="1" t="s">
        <v>150</v>
      </c>
      <c r="B1" s="1" t="s">
        <v>70</v>
      </c>
      <c r="C1" s="1" t="s">
        <v>72</v>
      </c>
      <c r="D1" s="1" t="s">
        <v>74</v>
      </c>
      <c r="E1" s="1" t="s">
        <v>76</v>
      </c>
      <c r="F1" s="1" t="s">
        <v>78</v>
      </c>
    </row>
    <row r="2" customFormat="false" ht="16" hidden="false" customHeight="false" outlineLevel="0" collapsed="false">
      <c r="A2" s="1" t="n">
        <v>1425265</v>
      </c>
      <c r="B2" s="1" t="n">
        <v>1468234</v>
      </c>
      <c r="C2" s="1" t="n">
        <v>3280499</v>
      </c>
      <c r="D2" s="1" t="n">
        <v>1851199</v>
      </c>
      <c r="E2" s="1" t="n">
        <v>2573951</v>
      </c>
      <c r="F2" s="1" t="n">
        <v>3879999</v>
      </c>
    </row>
    <row r="3" customFormat="false" ht="16" hidden="false" customHeight="false" outlineLevel="0" collapsed="false">
      <c r="A3" s="1" t="n">
        <v>1515082</v>
      </c>
      <c r="B3" s="1" t="n">
        <v>1523774</v>
      </c>
      <c r="C3" s="1" t="n">
        <v>2311681</v>
      </c>
      <c r="D3" s="1" t="n">
        <v>3877592</v>
      </c>
      <c r="E3" s="1" t="n">
        <v>2267552</v>
      </c>
      <c r="F3" s="1" t="n">
        <v>2311681</v>
      </c>
    </row>
    <row r="4" customFormat="false" ht="16" hidden="false" customHeight="false" outlineLevel="0" collapsed="false">
      <c r="A4" s="1" t="n">
        <v>1852713</v>
      </c>
      <c r="B4" s="1" t="n">
        <v>1609976</v>
      </c>
      <c r="C4" s="1" t="n">
        <v>2976500</v>
      </c>
      <c r="D4" s="1" t="n">
        <v>2227200</v>
      </c>
      <c r="E4" s="1" t="n">
        <v>2812675</v>
      </c>
      <c r="F4" s="1" t="n">
        <v>3331122</v>
      </c>
    </row>
    <row r="5" customFormat="false" ht="16" hidden="false" customHeight="false" outlineLevel="0" collapsed="false">
      <c r="A5" s="1" t="n">
        <v>1600020</v>
      </c>
      <c r="B5" s="1" t="n">
        <v>1620514</v>
      </c>
      <c r="C5" s="1" t="n">
        <v>3213746</v>
      </c>
      <c r="D5" s="1" t="n">
        <v>3507163</v>
      </c>
      <c r="E5" s="1" t="n">
        <v>3812675</v>
      </c>
      <c r="F5" s="1" t="n">
        <v>3454396</v>
      </c>
    </row>
    <row r="6" customFormat="false" ht="16" hidden="false" customHeight="false" outlineLevel="0" collapsed="false">
      <c r="A6" s="1" t="n">
        <v>1761127</v>
      </c>
      <c r="D6" s="1" t="n">
        <v>3281600</v>
      </c>
    </row>
    <row r="7" customFormat="false" ht="16" hidden="false" customHeight="false" outlineLevel="0" collapsed="false">
      <c r="A7" s="1" t="n">
        <v>1453242</v>
      </c>
    </row>
    <row r="8" customFormat="false" ht="16" hidden="false" customHeight="false" outlineLevel="0" collapsed="false">
      <c r="A8" s="1" t="n">
        <v>1577851</v>
      </c>
    </row>
    <row r="9" customFormat="false" ht="16" hidden="false" customHeight="false" outlineLevel="0" collapsed="false">
      <c r="A9" s="1" t="n">
        <v>1458954</v>
      </c>
    </row>
    <row r="10" customFormat="false" ht="16" hidden="false" customHeight="false" outlineLevel="0" collapsed="false">
      <c r="A10" s="1" t="n">
        <v>1507536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0.50390625" defaultRowHeight="16" zeroHeight="false" outlineLevelRow="0" outlineLevelCol="0"/>
  <sheetData>
    <row r="1" customFormat="false" ht="34.3" hidden="false" customHeight="false" outlineLevel="0" collapsed="false">
      <c r="A1" s="5" t="s">
        <v>127</v>
      </c>
      <c r="B1" s="5" t="s">
        <v>128</v>
      </c>
      <c r="C1" s="5" t="s">
        <v>129</v>
      </c>
      <c r="D1" s="5" t="s">
        <v>130</v>
      </c>
      <c r="E1" s="5" t="s">
        <v>131</v>
      </c>
      <c r="F1" s="1" t="s">
        <v>149</v>
      </c>
    </row>
    <row r="2" customFormat="false" ht="16" hidden="false" customHeight="false" outlineLevel="0" collapsed="false">
      <c r="A2" s="1" t="n">
        <v>57.39357</v>
      </c>
      <c r="B2" s="1" t="n">
        <v>95.54538</v>
      </c>
      <c r="C2" s="1" t="n">
        <v>68.10179</v>
      </c>
      <c r="D2" s="1" t="n">
        <v>96.53437</v>
      </c>
      <c r="E2" s="1" t="n">
        <v>55.25</v>
      </c>
      <c r="F2" s="1" t="n">
        <v>46.04809</v>
      </c>
    </row>
    <row r="3" customFormat="false" ht="16" hidden="false" customHeight="false" outlineLevel="0" collapsed="false">
      <c r="A3" s="1" t="n">
        <v>46.32708</v>
      </c>
      <c r="B3" s="1" t="n">
        <v>79.95866</v>
      </c>
      <c r="C3" s="1" t="n">
        <v>58</v>
      </c>
      <c r="D3" s="1" t="n">
        <v>79.10393</v>
      </c>
      <c r="E3" s="1" t="n">
        <v>52.02744</v>
      </c>
      <c r="F3" s="1" t="n">
        <v>40.38402</v>
      </c>
    </row>
    <row r="4" customFormat="false" ht="16" hidden="false" customHeight="false" outlineLevel="0" collapsed="false">
      <c r="A4" s="1" t="n">
        <v>62.08919</v>
      </c>
      <c r="B4" s="1" t="n">
        <v>100.1205</v>
      </c>
      <c r="C4" s="1" t="n">
        <v>78.77876</v>
      </c>
      <c r="D4" s="1" t="n">
        <v>75.23095</v>
      </c>
      <c r="E4" s="1" t="n">
        <v>44.33977</v>
      </c>
      <c r="F4" s="1" t="n">
        <v>44.51504</v>
      </c>
    </row>
    <row r="5" customFormat="false" ht="16" hidden="false" customHeight="false" outlineLevel="0" collapsed="false">
      <c r="A5" s="1" t="n">
        <v>56.15891</v>
      </c>
      <c r="B5" s="1" t="n">
        <v>80.70851</v>
      </c>
      <c r="C5" s="1" t="n">
        <v>83.41298</v>
      </c>
      <c r="D5" s="1" t="n">
        <v>74.64096</v>
      </c>
      <c r="E5" s="1" t="n">
        <v>42.18804</v>
      </c>
      <c r="F5" s="1" t="n">
        <v>51.21067</v>
      </c>
    </row>
    <row r="6" customFormat="false" ht="16" hidden="false" customHeight="false" outlineLevel="0" collapsed="false">
      <c r="A6" s="1" t="n">
        <v>33.69706</v>
      </c>
      <c r="B6" s="1" t="n">
        <v>81.80128</v>
      </c>
      <c r="C6" s="1" t="n">
        <v>80.34325</v>
      </c>
      <c r="D6" s="1" t="n">
        <v>89.78772</v>
      </c>
      <c r="F6" s="1" t="n">
        <v>48.29259</v>
      </c>
    </row>
    <row r="7" customFormat="false" ht="16" hidden="false" customHeight="false" outlineLevel="0" collapsed="false">
      <c r="A7" s="1" t="n">
        <v>43.79004</v>
      </c>
    </row>
    <row r="8" customFormat="false" ht="16" hidden="false" customHeight="false" outlineLevel="0" collapsed="false">
      <c r="A8" s="1" t="n">
        <v>52.33459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0.50390625" defaultRowHeight="16" zeroHeight="false" outlineLevelRow="0" outlineLevelCol="0"/>
  <sheetData>
    <row r="1" customFormat="false" ht="34.3" hidden="false" customHeight="false" outlineLevel="0" collapsed="false">
      <c r="A1" s="5" t="s">
        <v>127</v>
      </c>
      <c r="B1" s="5" t="s">
        <v>128</v>
      </c>
      <c r="C1" s="5" t="s">
        <v>129</v>
      </c>
      <c r="D1" s="5" t="s">
        <v>130</v>
      </c>
      <c r="E1" s="5" t="s">
        <v>131</v>
      </c>
      <c r="F1" s="5" t="s">
        <v>133</v>
      </c>
    </row>
    <row r="2" customFormat="false" ht="16" hidden="false" customHeight="false" outlineLevel="0" collapsed="false">
      <c r="A2" s="1" t="n">
        <v>10.92</v>
      </c>
      <c r="B2" s="1" t="n">
        <v>10.16</v>
      </c>
      <c r="C2" s="1" t="n">
        <v>9.44</v>
      </c>
      <c r="D2" s="1" t="n">
        <v>12.465</v>
      </c>
      <c r="E2" s="1" t="n">
        <v>12.67</v>
      </c>
      <c r="F2" s="1" t="n">
        <v>12.43</v>
      </c>
    </row>
    <row r="3" customFormat="false" ht="16" hidden="false" customHeight="false" outlineLevel="0" collapsed="false">
      <c r="A3" s="1" t="n">
        <v>11.97</v>
      </c>
      <c r="B3" s="1" t="n">
        <v>8.895</v>
      </c>
      <c r="C3" s="1" t="n">
        <v>9.655</v>
      </c>
      <c r="D3" s="1" t="n">
        <v>14.105</v>
      </c>
      <c r="E3" s="1" t="n">
        <v>12.13</v>
      </c>
      <c r="F3" s="1" t="n">
        <v>12.16</v>
      </c>
    </row>
    <row r="4" customFormat="false" ht="16" hidden="false" customHeight="false" outlineLevel="0" collapsed="false">
      <c r="A4" s="1" t="n">
        <v>11.04</v>
      </c>
      <c r="B4" s="1" t="n">
        <v>9.704166</v>
      </c>
      <c r="C4" s="1" t="n">
        <v>11.245</v>
      </c>
      <c r="D4" s="1" t="n">
        <v>12.99</v>
      </c>
      <c r="E4" s="1" t="n">
        <v>14.12</v>
      </c>
      <c r="F4" s="1" t="n">
        <v>12.265</v>
      </c>
    </row>
    <row r="5" customFormat="false" ht="16" hidden="false" customHeight="false" outlineLevel="0" collapsed="false">
      <c r="A5" s="1" t="n">
        <v>15.635</v>
      </c>
      <c r="B5" s="1" t="n">
        <v>11.1</v>
      </c>
      <c r="C5" s="1" t="n">
        <v>12.53</v>
      </c>
      <c r="D5" s="1" t="n">
        <v>11.89</v>
      </c>
      <c r="E5" s="1" t="n">
        <v>13.135</v>
      </c>
      <c r="F5" s="1" t="n">
        <v>12.825</v>
      </c>
    </row>
    <row r="6" customFormat="false" ht="16" hidden="false" customHeight="false" outlineLevel="0" collapsed="false">
      <c r="A6" s="1" t="n">
        <v>15.36</v>
      </c>
      <c r="B6" s="1" t="n">
        <v>8.352</v>
      </c>
      <c r="C6" s="1" t="n">
        <v>11.635</v>
      </c>
      <c r="D6" s="1" t="n">
        <v>11.764</v>
      </c>
    </row>
    <row r="7" customFormat="false" ht="16" hidden="false" customHeight="false" outlineLevel="0" collapsed="false">
      <c r="A7" s="1" t="n">
        <v>14.155</v>
      </c>
    </row>
    <row r="8" customFormat="false" ht="16" hidden="false" customHeight="false" outlineLevel="0" collapsed="false">
      <c r="A8" s="1" t="n">
        <v>11.41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2018-03-06T13:50:18Z</dcterms:created>
  <dc:creator>Mariaceleste</dc:creator>
  <dc:description/>
  <dc:language>en-AU</dc:language>
  <cp:lastModifiedBy/>
  <dcterms:modified xsi:type="dcterms:W3CDTF">2025-04-12T19:38:02Z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